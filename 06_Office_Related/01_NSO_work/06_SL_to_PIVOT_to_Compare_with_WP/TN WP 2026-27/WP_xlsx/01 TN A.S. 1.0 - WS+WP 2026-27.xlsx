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1 Work Programme - TN 2026-27\"/>
    </mc:Choice>
  </mc:AlternateContent>
  <xr:revisionPtr revIDLastSave="0" documentId="13_ncr:1_{170D40C6-47FC-4B9D-86B8-CAB81037890B}" xr6:coauthVersionLast="47" xr6:coauthVersionMax="47" xr10:uidLastSave="{00000000-0000-0000-0000-000000000000}"/>
  <bookViews>
    <workbookView xWindow="-108" yWindow="-108" windowWidth="23256" windowHeight="12456" tabRatio="739" activeTab="2" xr2:uid="{00000000-000D-0000-FFFF-FFFF00000000}"/>
  </bookViews>
  <sheets>
    <sheet name="GCA" sheetId="11" r:id="rId1"/>
    <sheet name="1.0WS_TN" sheetId="26" r:id="rId2"/>
    <sheet name="1.0WP" sheetId="27" r:id="rId3"/>
  </sheets>
  <definedNames>
    <definedName name="_xlnm._FilterDatabase" localSheetId="2" hidden="1">'1.0WP'!$R$6:$T$638</definedName>
    <definedName name="_xlnm._FilterDatabase" localSheetId="1" hidden="1">'1.0WS_TN'!$R$6:$T$638</definedName>
    <definedName name="_xlnm._FilterDatabase" localSheetId="0" hidden="1">GCA!$A$2:$H$2</definedName>
    <definedName name="_xlnm.Print_Area" localSheetId="2">'1.0WP'!$A$1:$P$642</definedName>
    <definedName name="_xlnm.Print_Area" localSheetId="1">'1.0WS_TN'!$A$1:$P$642</definedName>
    <definedName name="_xlnm.Print_Titles" localSheetId="2">'1.0WP'!$4:$5</definedName>
    <definedName name="_xlnm.Print_Titles" localSheetId="1">'1.0WS_TN'!$4:$5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38" i="27" l="1"/>
  <c r="S638" i="27"/>
  <c r="T637" i="27"/>
  <c r="S637" i="27"/>
  <c r="T636" i="27"/>
  <c r="S636" i="27"/>
  <c r="T635" i="27"/>
  <c r="S635" i="27"/>
  <c r="T634" i="27"/>
  <c r="S634" i="27"/>
  <c r="T633" i="27"/>
  <c r="S633" i="27"/>
  <c r="T632" i="27"/>
  <c r="S632" i="27"/>
  <c r="T631" i="27"/>
  <c r="S631" i="27"/>
  <c r="T630" i="27"/>
  <c r="S630" i="27"/>
  <c r="T629" i="27"/>
  <c r="S629" i="27"/>
  <c r="T628" i="27"/>
  <c r="S628" i="27"/>
  <c r="T627" i="27"/>
  <c r="S627" i="27"/>
  <c r="T626" i="27"/>
  <c r="S626" i="27"/>
  <c r="T625" i="27"/>
  <c r="S625" i="27"/>
  <c r="R625" i="27"/>
  <c r="T624" i="27"/>
  <c r="S624" i="27"/>
  <c r="R624" i="27"/>
  <c r="U624" i="27" s="1"/>
  <c r="T623" i="27"/>
  <c r="S623" i="27"/>
  <c r="R623" i="27"/>
  <c r="U623" i="27" s="1"/>
  <c r="T622" i="27"/>
  <c r="S622" i="27"/>
  <c r="U622" i="27" s="1"/>
  <c r="R622" i="27"/>
  <c r="T621" i="27"/>
  <c r="S621" i="27"/>
  <c r="T620" i="27"/>
  <c r="S620" i="27"/>
  <c r="T619" i="27"/>
  <c r="S619" i="27"/>
  <c r="T618" i="27"/>
  <c r="S618" i="27"/>
  <c r="T617" i="27"/>
  <c r="S617" i="27"/>
  <c r="T616" i="27"/>
  <c r="S616" i="27"/>
  <c r="T615" i="27"/>
  <c r="S615" i="27"/>
  <c r="T614" i="27"/>
  <c r="S614" i="27"/>
  <c r="T613" i="27"/>
  <c r="S613" i="27"/>
  <c r="T612" i="27"/>
  <c r="S612" i="27"/>
  <c r="T611" i="27"/>
  <c r="S611" i="27"/>
  <c r="T610" i="27"/>
  <c r="S610" i="27"/>
  <c r="T609" i="27"/>
  <c r="S609" i="27"/>
  <c r="T608" i="27"/>
  <c r="S608" i="27"/>
  <c r="T607" i="27"/>
  <c r="S607" i="27"/>
  <c r="T606" i="27"/>
  <c r="S606" i="27"/>
  <c r="T605" i="27"/>
  <c r="S605" i="27"/>
  <c r="T604" i="27"/>
  <c r="S604" i="27"/>
  <c r="T603" i="27"/>
  <c r="S603" i="27"/>
  <c r="T602" i="27"/>
  <c r="S602" i="27"/>
  <c r="T601" i="27"/>
  <c r="S601" i="27"/>
  <c r="T600" i="27"/>
  <c r="S600" i="27"/>
  <c r="R600" i="27"/>
  <c r="T599" i="27"/>
  <c r="S599" i="27"/>
  <c r="R599" i="27"/>
  <c r="T598" i="27"/>
  <c r="S598" i="27"/>
  <c r="R598" i="27"/>
  <c r="U598" i="27" s="1"/>
  <c r="T597" i="27"/>
  <c r="S597" i="27"/>
  <c r="T596" i="27"/>
  <c r="S596" i="27"/>
  <c r="T595" i="27"/>
  <c r="S595" i="27"/>
  <c r="T594" i="27"/>
  <c r="S594" i="27"/>
  <c r="T593" i="27"/>
  <c r="S593" i="27"/>
  <c r="T592" i="27"/>
  <c r="S592" i="27"/>
  <c r="T591" i="27"/>
  <c r="S591" i="27"/>
  <c r="T590" i="27"/>
  <c r="S590" i="27"/>
  <c r="T589" i="27"/>
  <c r="S589" i="27"/>
  <c r="T588" i="27"/>
  <c r="S588" i="27"/>
  <c r="T587" i="27"/>
  <c r="S587" i="27"/>
  <c r="T586" i="27"/>
  <c r="S586" i="27"/>
  <c r="T585" i="27"/>
  <c r="S585" i="27"/>
  <c r="T584" i="27"/>
  <c r="S584" i="27"/>
  <c r="T583" i="27"/>
  <c r="S583" i="27"/>
  <c r="T582" i="27"/>
  <c r="S582" i="27"/>
  <c r="T581" i="27"/>
  <c r="S581" i="27"/>
  <c r="T580" i="27"/>
  <c r="S580" i="27"/>
  <c r="T579" i="27"/>
  <c r="S579" i="27"/>
  <c r="T578" i="27"/>
  <c r="S578" i="27"/>
  <c r="T577" i="27"/>
  <c r="S577" i="27"/>
  <c r="T576" i="27"/>
  <c r="S576" i="27"/>
  <c r="R576" i="27"/>
  <c r="T575" i="27"/>
  <c r="S575" i="27"/>
  <c r="R575" i="27"/>
  <c r="T574" i="27"/>
  <c r="S574" i="27"/>
  <c r="T573" i="27"/>
  <c r="S573" i="27"/>
  <c r="T572" i="27"/>
  <c r="S572" i="27"/>
  <c r="T571" i="27"/>
  <c r="S571" i="27"/>
  <c r="T570" i="27"/>
  <c r="S570" i="27"/>
  <c r="T569" i="27"/>
  <c r="S569" i="27"/>
  <c r="T568" i="27"/>
  <c r="S568" i="27"/>
  <c r="T567" i="27"/>
  <c r="S567" i="27"/>
  <c r="T566" i="27"/>
  <c r="S566" i="27"/>
  <c r="T565" i="27"/>
  <c r="S565" i="27"/>
  <c r="T564" i="27"/>
  <c r="S564" i="27"/>
  <c r="R564" i="27"/>
  <c r="T563" i="27"/>
  <c r="S563" i="27"/>
  <c r="U563" i="27" s="1"/>
  <c r="R563" i="27"/>
  <c r="T562" i="27"/>
  <c r="S562" i="27"/>
  <c r="T561" i="27"/>
  <c r="S561" i="27"/>
  <c r="T560" i="27"/>
  <c r="S560" i="27"/>
  <c r="T559" i="27"/>
  <c r="S559" i="27"/>
  <c r="T558" i="27"/>
  <c r="S558" i="27"/>
  <c r="T557" i="27"/>
  <c r="S557" i="27"/>
  <c r="T556" i="27"/>
  <c r="S556" i="27"/>
  <c r="T555" i="27"/>
  <c r="S555" i="27"/>
  <c r="T554" i="27"/>
  <c r="S554" i="27"/>
  <c r="T553" i="27"/>
  <c r="S553" i="27"/>
  <c r="T552" i="27"/>
  <c r="S552" i="27"/>
  <c r="T551" i="27"/>
  <c r="S551" i="27"/>
  <c r="T550" i="27"/>
  <c r="S550" i="27"/>
  <c r="T549" i="27"/>
  <c r="S549" i="27"/>
  <c r="T548" i="27"/>
  <c r="S548" i="27"/>
  <c r="T547" i="27"/>
  <c r="S547" i="27"/>
  <c r="T546" i="27"/>
  <c r="S546" i="27"/>
  <c r="T545" i="27"/>
  <c r="S545" i="27"/>
  <c r="R545" i="27"/>
  <c r="T544" i="27"/>
  <c r="S544" i="27"/>
  <c r="T543" i="27"/>
  <c r="S543" i="27"/>
  <c r="T542" i="27"/>
  <c r="S542" i="27"/>
  <c r="T541" i="27"/>
  <c r="S541" i="27"/>
  <c r="T540" i="27"/>
  <c r="S540" i="27"/>
  <c r="T539" i="27"/>
  <c r="S539" i="27"/>
  <c r="T538" i="27"/>
  <c r="S538" i="27"/>
  <c r="T537" i="27"/>
  <c r="S537" i="27"/>
  <c r="T536" i="27"/>
  <c r="S536" i="27"/>
  <c r="T535" i="27"/>
  <c r="S535" i="27"/>
  <c r="T534" i="27"/>
  <c r="S534" i="27"/>
  <c r="T533" i="27"/>
  <c r="S533" i="27"/>
  <c r="T532" i="27"/>
  <c r="S532" i="27"/>
  <c r="T531" i="27"/>
  <c r="S531" i="27"/>
  <c r="T530" i="27"/>
  <c r="S530" i="27"/>
  <c r="T529" i="27"/>
  <c r="S529" i="27"/>
  <c r="T528" i="27"/>
  <c r="S528" i="27"/>
  <c r="T527" i="27"/>
  <c r="S527" i="27"/>
  <c r="T526" i="27"/>
  <c r="S526" i="27"/>
  <c r="T525" i="27"/>
  <c r="S525" i="27"/>
  <c r="T524" i="27"/>
  <c r="S524" i="27"/>
  <c r="R524" i="27"/>
  <c r="T523" i="27"/>
  <c r="S523" i="27"/>
  <c r="U523" i="27" s="1"/>
  <c r="X522" i="27"/>
  <c r="J522" i="27" s="1"/>
  <c r="W522" i="27"/>
  <c r="I522" i="27" s="1"/>
  <c r="V522" i="27"/>
  <c r="H522" i="27" s="1"/>
  <c r="U522" i="27"/>
  <c r="T522" i="27"/>
  <c r="S522" i="27"/>
  <c r="R522" i="27"/>
  <c r="R523" i="27" s="1"/>
  <c r="T521" i="27"/>
  <c r="S521" i="27"/>
  <c r="R521" i="27"/>
  <c r="U521" i="27" s="1"/>
  <c r="T520" i="27"/>
  <c r="S520" i="27"/>
  <c r="T519" i="27"/>
  <c r="S519" i="27"/>
  <c r="T518" i="27"/>
  <c r="S518" i="27"/>
  <c r="T517" i="27"/>
  <c r="S517" i="27"/>
  <c r="T516" i="27"/>
  <c r="S516" i="27"/>
  <c r="T515" i="27"/>
  <c r="S515" i="27"/>
  <c r="T514" i="27"/>
  <c r="S514" i="27"/>
  <c r="T513" i="27"/>
  <c r="S513" i="27"/>
  <c r="T512" i="27"/>
  <c r="S512" i="27"/>
  <c r="T511" i="27"/>
  <c r="S511" i="27"/>
  <c r="T510" i="27"/>
  <c r="S510" i="27"/>
  <c r="T509" i="27"/>
  <c r="S509" i="27"/>
  <c r="T508" i="27"/>
  <c r="S508" i="27"/>
  <c r="T507" i="27"/>
  <c r="S507" i="27"/>
  <c r="T506" i="27"/>
  <c r="S506" i="27"/>
  <c r="T505" i="27"/>
  <c r="S505" i="27"/>
  <c r="T504" i="27"/>
  <c r="S504" i="27"/>
  <c r="T503" i="27"/>
  <c r="S503" i="27"/>
  <c r="T502" i="27"/>
  <c r="S502" i="27"/>
  <c r="T501" i="27"/>
  <c r="S501" i="27"/>
  <c r="T500" i="27"/>
  <c r="S500" i="27"/>
  <c r="R500" i="27"/>
  <c r="R501" i="27" s="1"/>
  <c r="U501" i="27" s="1"/>
  <c r="X501" i="27" s="1"/>
  <c r="J501" i="27" s="1"/>
  <c r="U499" i="27"/>
  <c r="T499" i="27"/>
  <c r="S499" i="27"/>
  <c r="R499" i="27"/>
  <c r="T498" i="27"/>
  <c r="S498" i="27"/>
  <c r="T497" i="27"/>
  <c r="S497" i="27"/>
  <c r="T496" i="27"/>
  <c r="S496" i="27"/>
  <c r="T495" i="27"/>
  <c r="S495" i="27"/>
  <c r="T494" i="27"/>
  <c r="S494" i="27"/>
  <c r="T493" i="27"/>
  <c r="S493" i="27"/>
  <c r="T492" i="27"/>
  <c r="S492" i="27"/>
  <c r="T491" i="27"/>
  <c r="S491" i="27"/>
  <c r="T490" i="27"/>
  <c r="S490" i="27"/>
  <c r="T489" i="27"/>
  <c r="S489" i="27"/>
  <c r="T488" i="27"/>
  <c r="S488" i="27"/>
  <c r="T487" i="27"/>
  <c r="S487" i="27"/>
  <c r="T486" i="27"/>
  <c r="S486" i="27"/>
  <c r="T485" i="27"/>
  <c r="S485" i="27"/>
  <c r="T484" i="27"/>
  <c r="S484" i="27"/>
  <c r="T483" i="27"/>
  <c r="S483" i="27"/>
  <c r="T482" i="27"/>
  <c r="S482" i="27"/>
  <c r="T481" i="27"/>
  <c r="S481" i="27"/>
  <c r="T480" i="27"/>
  <c r="S480" i="27"/>
  <c r="T479" i="27"/>
  <c r="S479" i="27"/>
  <c r="T478" i="27"/>
  <c r="S478" i="27"/>
  <c r="R478" i="27"/>
  <c r="X477" i="27"/>
  <c r="J477" i="27" s="1"/>
  <c r="W477" i="27"/>
  <c r="I477" i="27" s="1"/>
  <c r="V477" i="27"/>
  <c r="T477" i="27"/>
  <c r="S477" i="27"/>
  <c r="H477" i="27"/>
  <c r="K477" i="27" s="1"/>
  <c r="X476" i="27"/>
  <c r="J476" i="27" s="1"/>
  <c r="T476" i="27"/>
  <c r="S476" i="27"/>
  <c r="U476" i="27" s="1"/>
  <c r="R476" i="27"/>
  <c r="R477" i="27" s="1"/>
  <c r="U477" i="27" s="1"/>
  <c r="T475" i="27"/>
  <c r="S475" i="27"/>
  <c r="T474" i="27"/>
  <c r="S474" i="27"/>
  <c r="T473" i="27"/>
  <c r="S473" i="27"/>
  <c r="T472" i="27"/>
  <c r="S472" i="27"/>
  <c r="T471" i="27"/>
  <c r="S471" i="27"/>
  <c r="T470" i="27"/>
  <c r="S470" i="27"/>
  <c r="T469" i="27"/>
  <c r="S469" i="27"/>
  <c r="T468" i="27"/>
  <c r="S468" i="27"/>
  <c r="T467" i="27"/>
  <c r="S467" i="27"/>
  <c r="T466" i="27"/>
  <c r="S466" i="27"/>
  <c r="T465" i="27"/>
  <c r="S465" i="27"/>
  <c r="T464" i="27"/>
  <c r="S464" i="27"/>
  <c r="T463" i="27"/>
  <c r="S463" i="27"/>
  <c r="T462" i="27"/>
  <c r="S462" i="27"/>
  <c r="T461" i="27"/>
  <c r="S461" i="27"/>
  <c r="T460" i="27"/>
  <c r="S460" i="27"/>
  <c r="T459" i="27"/>
  <c r="S459" i="27"/>
  <c r="T458" i="27"/>
  <c r="S458" i="27"/>
  <c r="T457" i="27"/>
  <c r="S457" i="27"/>
  <c r="T456" i="27"/>
  <c r="S456" i="27"/>
  <c r="T455" i="27"/>
  <c r="S455" i="27"/>
  <c r="T454" i="27"/>
  <c r="S454" i="27"/>
  <c r="T453" i="27"/>
  <c r="S453" i="27"/>
  <c r="R453" i="27"/>
  <c r="R454" i="27" s="1"/>
  <c r="T452" i="27"/>
  <c r="S452" i="27"/>
  <c r="T451" i="27"/>
  <c r="S451" i="27"/>
  <c r="T450" i="27"/>
  <c r="S450" i="27"/>
  <c r="T449" i="27"/>
  <c r="S449" i="27"/>
  <c r="T448" i="27"/>
  <c r="S448" i="27"/>
  <c r="T447" i="27"/>
  <c r="S447" i="27"/>
  <c r="T446" i="27"/>
  <c r="S446" i="27"/>
  <c r="T445" i="27"/>
  <c r="S445" i="27"/>
  <c r="R445" i="27"/>
  <c r="T444" i="27"/>
  <c r="S444" i="27"/>
  <c r="U444" i="27" s="1"/>
  <c r="R444" i="27"/>
  <c r="T443" i="27"/>
  <c r="S443" i="27"/>
  <c r="R443" i="27"/>
  <c r="U443" i="27" s="1"/>
  <c r="U442" i="27"/>
  <c r="T442" i="27"/>
  <c r="S442" i="27"/>
  <c r="R442" i="27"/>
  <c r="T441" i="27"/>
  <c r="S441" i="27"/>
  <c r="T440" i="27"/>
  <c r="S440" i="27"/>
  <c r="T439" i="27"/>
  <c r="S439" i="27"/>
  <c r="T438" i="27"/>
  <c r="S438" i="27"/>
  <c r="T437" i="27"/>
  <c r="S437" i="27"/>
  <c r="T436" i="27"/>
  <c r="S436" i="27"/>
  <c r="R436" i="27"/>
  <c r="X435" i="27"/>
  <c r="J435" i="27" s="1"/>
  <c r="T435" i="27"/>
  <c r="S435" i="27"/>
  <c r="R435" i="27"/>
  <c r="U435" i="27" s="1"/>
  <c r="X434" i="27"/>
  <c r="J434" i="27" s="1"/>
  <c r="W434" i="27"/>
  <c r="I434" i="27" s="1"/>
  <c r="T434" i="27"/>
  <c r="S434" i="27"/>
  <c r="U434" i="27" s="1"/>
  <c r="V434" i="27" s="1"/>
  <c r="H434" i="27" s="1"/>
  <c r="X433" i="27"/>
  <c r="J433" i="27" s="1"/>
  <c r="T433" i="27"/>
  <c r="S433" i="27"/>
  <c r="U433" i="27" s="1"/>
  <c r="R433" i="27"/>
  <c r="R434" i="27" s="1"/>
  <c r="T432" i="27"/>
  <c r="S432" i="27"/>
  <c r="T431" i="27"/>
  <c r="S431" i="27"/>
  <c r="T430" i="27"/>
  <c r="S430" i="27"/>
  <c r="T429" i="27"/>
  <c r="S429" i="27"/>
  <c r="T428" i="27"/>
  <c r="S428" i="27"/>
  <c r="T427" i="27"/>
  <c r="S427" i="27"/>
  <c r="T426" i="27"/>
  <c r="S426" i="27"/>
  <c r="T425" i="27"/>
  <c r="S425" i="27"/>
  <c r="T424" i="27"/>
  <c r="S424" i="27"/>
  <c r="T423" i="27"/>
  <c r="S423" i="27"/>
  <c r="T422" i="27"/>
  <c r="S422" i="27"/>
  <c r="T421" i="27"/>
  <c r="S421" i="27"/>
  <c r="T420" i="27"/>
  <c r="S420" i="27"/>
  <c r="T419" i="27"/>
  <c r="S419" i="27"/>
  <c r="R419" i="27"/>
  <c r="T418" i="27"/>
  <c r="S418" i="27"/>
  <c r="U417" i="27"/>
  <c r="T417" i="27"/>
  <c r="S417" i="27"/>
  <c r="R417" i="27"/>
  <c r="R418" i="27" s="1"/>
  <c r="T416" i="27"/>
  <c r="S416" i="27"/>
  <c r="T415" i="27"/>
  <c r="S415" i="27"/>
  <c r="T414" i="27"/>
  <c r="S414" i="27"/>
  <c r="T413" i="27"/>
  <c r="S413" i="27"/>
  <c r="T412" i="27"/>
  <c r="S412" i="27"/>
  <c r="T411" i="27"/>
  <c r="S411" i="27"/>
  <c r="T410" i="27"/>
  <c r="S410" i="27"/>
  <c r="T409" i="27"/>
  <c r="S409" i="27"/>
  <c r="T408" i="27"/>
  <c r="S408" i="27"/>
  <c r="T407" i="27"/>
  <c r="S407" i="27"/>
  <c r="T406" i="27"/>
  <c r="S406" i="27"/>
  <c r="T405" i="27"/>
  <c r="S405" i="27"/>
  <c r="T404" i="27"/>
  <c r="S404" i="27"/>
  <c r="T403" i="27"/>
  <c r="S403" i="27"/>
  <c r="T402" i="27"/>
  <c r="S402" i="27"/>
  <c r="T401" i="27"/>
  <c r="S401" i="27"/>
  <c r="T400" i="27"/>
  <c r="S400" i="27"/>
  <c r="T399" i="27"/>
  <c r="S399" i="27"/>
  <c r="T398" i="27"/>
  <c r="S398" i="27"/>
  <c r="T397" i="27"/>
  <c r="S397" i="27"/>
  <c r="T396" i="27"/>
  <c r="S396" i="27"/>
  <c r="T395" i="27"/>
  <c r="S395" i="27"/>
  <c r="T394" i="27"/>
  <c r="S394" i="27"/>
  <c r="R394" i="27"/>
  <c r="T393" i="27"/>
  <c r="S393" i="27"/>
  <c r="R393" i="27"/>
  <c r="U393" i="27" s="1"/>
  <c r="T392" i="27"/>
  <c r="S392" i="27"/>
  <c r="R392" i="27"/>
  <c r="T391" i="27"/>
  <c r="S391" i="27"/>
  <c r="U391" i="27" s="1"/>
  <c r="R391" i="27"/>
  <c r="T390" i="27"/>
  <c r="S390" i="27"/>
  <c r="T389" i="27"/>
  <c r="S389" i="27"/>
  <c r="T388" i="27"/>
  <c r="S388" i="27"/>
  <c r="T387" i="27"/>
  <c r="S387" i="27"/>
  <c r="T386" i="27"/>
  <c r="S386" i="27"/>
  <c r="T385" i="27"/>
  <c r="S385" i="27"/>
  <c r="T384" i="27"/>
  <c r="S384" i="27"/>
  <c r="T383" i="27"/>
  <c r="S383" i="27"/>
  <c r="T382" i="27"/>
  <c r="S382" i="27"/>
  <c r="T381" i="27"/>
  <c r="S381" i="27"/>
  <c r="T380" i="27"/>
  <c r="S380" i="27"/>
  <c r="T379" i="27"/>
  <c r="S379" i="27"/>
  <c r="T378" i="27"/>
  <c r="S378" i="27"/>
  <c r="T377" i="27"/>
  <c r="S377" i="27"/>
  <c r="T376" i="27"/>
  <c r="S376" i="27"/>
  <c r="T375" i="27"/>
  <c r="S375" i="27"/>
  <c r="T374" i="27"/>
  <c r="S374" i="27"/>
  <c r="T373" i="27"/>
  <c r="S373" i="27"/>
  <c r="R373" i="27"/>
  <c r="T372" i="27"/>
  <c r="S372" i="27"/>
  <c r="R372" i="27"/>
  <c r="X371" i="27"/>
  <c r="V371" i="27"/>
  <c r="U371" i="27"/>
  <c r="W371" i="27" s="1"/>
  <c r="T371" i="27"/>
  <c r="S371" i="27"/>
  <c r="R371" i="27"/>
  <c r="T370" i="27"/>
  <c r="S370" i="27"/>
  <c r="T369" i="27"/>
  <c r="S369" i="27"/>
  <c r="T368" i="27"/>
  <c r="S368" i="27"/>
  <c r="T367" i="27"/>
  <c r="S367" i="27"/>
  <c r="T366" i="27"/>
  <c r="S366" i="27"/>
  <c r="T365" i="27"/>
  <c r="S365" i="27"/>
  <c r="T364" i="27"/>
  <c r="S364" i="27"/>
  <c r="T363" i="27"/>
  <c r="S363" i="27"/>
  <c r="T362" i="27"/>
  <c r="S362" i="27"/>
  <c r="T361" i="27"/>
  <c r="S361" i="27"/>
  <c r="T360" i="27"/>
  <c r="S360" i="27"/>
  <c r="T359" i="27"/>
  <c r="S359" i="27"/>
  <c r="R359" i="27"/>
  <c r="T358" i="27"/>
  <c r="S358" i="27"/>
  <c r="T357" i="27"/>
  <c r="S357" i="27"/>
  <c r="T356" i="27"/>
  <c r="S356" i="27"/>
  <c r="T355" i="27"/>
  <c r="S355" i="27"/>
  <c r="T354" i="27"/>
  <c r="S354" i="27"/>
  <c r="T353" i="27"/>
  <c r="S353" i="27"/>
  <c r="T352" i="27"/>
  <c r="S352" i="27"/>
  <c r="T351" i="27"/>
  <c r="S351" i="27"/>
  <c r="T350" i="27"/>
  <c r="S350" i="27"/>
  <c r="T349" i="27"/>
  <c r="S349" i="27"/>
  <c r="T348" i="27"/>
  <c r="S348" i="27"/>
  <c r="T347" i="27"/>
  <c r="S347" i="27"/>
  <c r="T346" i="27"/>
  <c r="S346" i="27"/>
  <c r="T345" i="27"/>
  <c r="S345" i="27"/>
  <c r="T344" i="27"/>
  <c r="S344" i="27"/>
  <c r="T343" i="27"/>
  <c r="S343" i="27"/>
  <c r="T342" i="27"/>
  <c r="S342" i="27"/>
  <c r="T341" i="27"/>
  <c r="S341" i="27"/>
  <c r="T340" i="27"/>
  <c r="S340" i="27"/>
  <c r="T339" i="27"/>
  <c r="S339" i="27"/>
  <c r="T338" i="27"/>
  <c r="S338" i="27"/>
  <c r="T337" i="27"/>
  <c r="S337" i="27"/>
  <c r="T336" i="27"/>
  <c r="S336" i="27"/>
  <c r="T335" i="27"/>
  <c r="S335" i="27"/>
  <c r="T334" i="27"/>
  <c r="S334" i="27"/>
  <c r="R334" i="27"/>
  <c r="U334" i="27" s="1"/>
  <c r="X333" i="27"/>
  <c r="J333" i="27" s="1"/>
  <c r="T333" i="27"/>
  <c r="S333" i="27"/>
  <c r="U333" i="27" s="1"/>
  <c r="R333" i="27"/>
  <c r="T332" i="27"/>
  <c r="S332" i="27"/>
  <c r="T331" i="27"/>
  <c r="S331" i="27"/>
  <c r="T330" i="27"/>
  <c r="S330" i="27"/>
  <c r="T329" i="27"/>
  <c r="S329" i="27"/>
  <c r="T328" i="27"/>
  <c r="S328" i="27"/>
  <c r="T327" i="27"/>
  <c r="S327" i="27"/>
  <c r="T326" i="27"/>
  <c r="S326" i="27"/>
  <c r="T325" i="27"/>
  <c r="S325" i="27"/>
  <c r="T324" i="27"/>
  <c r="S324" i="27"/>
  <c r="X323" i="27"/>
  <c r="J323" i="27" s="1"/>
  <c r="T323" i="27"/>
  <c r="S323" i="27"/>
  <c r="R323" i="27"/>
  <c r="U323" i="27" s="1"/>
  <c r="T322" i="27"/>
  <c r="S322" i="27"/>
  <c r="R322" i="27"/>
  <c r="T321" i="27"/>
  <c r="S321" i="27"/>
  <c r="T320" i="27"/>
  <c r="S320" i="27"/>
  <c r="T319" i="27"/>
  <c r="S319" i="27"/>
  <c r="T318" i="27"/>
  <c r="S318" i="27"/>
  <c r="T317" i="27"/>
  <c r="S317" i="27"/>
  <c r="T316" i="27"/>
  <c r="S316" i="27"/>
  <c r="T315" i="27"/>
  <c r="S315" i="27"/>
  <c r="T314" i="27"/>
  <c r="S314" i="27"/>
  <c r="R314" i="27"/>
  <c r="T313" i="27"/>
  <c r="S313" i="27"/>
  <c r="T312" i="27"/>
  <c r="S312" i="27"/>
  <c r="T311" i="27"/>
  <c r="S311" i="27"/>
  <c r="T310" i="27"/>
  <c r="S310" i="27"/>
  <c r="T309" i="27"/>
  <c r="S309" i="27"/>
  <c r="O309" i="27"/>
  <c r="P309" i="27" s="1"/>
  <c r="T308" i="27"/>
  <c r="S308" i="27"/>
  <c r="T307" i="27"/>
  <c r="S307" i="27"/>
  <c r="T306" i="27"/>
  <c r="S306" i="27"/>
  <c r="T305" i="27"/>
  <c r="S305" i="27"/>
  <c r="T304" i="27"/>
  <c r="S304" i="27"/>
  <c r="T303" i="27"/>
  <c r="S303" i="27"/>
  <c r="T302" i="27"/>
  <c r="S302" i="27"/>
  <c r="T301" i="27"/>
  <c r="S301" i="27"/>
  <c r="T300" i="27"/>
  <c r="S300" i="27"/>
  <c r="T299" i="27"/>
  <c r="S299" i="27"/>
  <c r="T298" i="27"/>
  <c r="S298" i="27"/>
  <c r="T297" i="27"/>
  <c r="S297" i="27"/>
  <c r="T296" i="27"/>
  <c r="S296" i="27"/>
  <c r="T295" i="27"/>
  <c r="S295" i="27"/>
  <c r="R295" i="27"/>
  <c r="T294" i="27"/>
  <c r="S294" i="27"/>
  <c r="T293" i="27"/>
  <c r="S293" i="27"/>
  <c r="T292" i="27"/>
  <c r="S292" i="27"/>
  <c r="T291" i="27"/>
  <c r="S291" i="27"/>
  <c r="T290" i="27"/>
  <c r="S290" i="27"/>
  <c r="T289" i="27"/>
  <c r="S289" i="27"/>
  <c r="T288" i="27"/>
  <c r="S288" i="27"/>
  <c r="T287" i="27"/>
  <c r="S287" i="27"/>
  <c r="T286" i="27"/>
  <c r="S286" i="27"/>
  <c r="T285" i="27"/>
  <c r="S285" i="27"/>
  <c r="T284" i="27"/>
  <c r="S284" i="27"/>
  <c r="T283" i="27"/>
  <c r="S283" i="27"/>
  <c r="T282" i="27"/>
  <c r="S282" i="27"/>
  <c r="T281" i="27"/>
  <c r="S281" i="27"/>
  <c r="T280" i="27"/>
  <c r="S280" i="27"/>
  <c r="T279" i="27"/>
  <c r="S279" i="27"/>
  <c r="T278" i="27"/>
  <c r="S278" i="27"/>
  <c r="T277" i="27"/>
  <c r="S277" i="27"/>
  <c r="T276" i="27"/>
  <c r="S276" i="27"/>
  <c r="T275" i="27"/>
  <c r="S275" i="27"/>
  <c r="T274" i="27"/>
  <c r="S274" i="27"/>
  <c r="R274" i="27"/>
  <c r="U274" i="27" s="1"/>
  <c r="T273" i="27"/>
  <c r="S273" i="27"/>
  <c r="R273" i="27"/>
  <c r="T272" i="27"/>
  <c r="S272" i="27"/>
  <c r="T271" i="27"/>
  <c r="S271" i="27"/>
  <c r="T270" i="27"/>
  <c r="S270" i="27"/>
  <c r="T269" i="27"/>
  <c r="S269" i="27"/>
  <c r="T268" i="27"/>
  <c r="S268" i="27"/>
  <c r="T267" i="27"/>
  <c r="S267" i="27"/>
  <c r="T266" i="27"/>
  <c r="S266" i="27"/>
  <c r="T265" i="27"/>
  <c r="S265" i="27"/>
  <c r="T264" i="27"/>
  <c r="S264" i="27"/>
  <c r="T263" i="27"/>
  <c r="S263" i="27"/>
  <c r="T262" i="27"/>
  <c r="S262" i="27"/>
  <c r="T261" i="27"/>
  <c r="S261" i="27"/>
  <c r="T260" i="27"/>
  <c r="S260" i="27"/>
  <c r="T259" i="27"/>
  <c r="S259" i="27"/>
  <c r="T258" i="27"/>
  <c r="S258" i="27"/>
  <c r="T257" i="27"/>
  <c r="S257" i="27"/>
  <c r="T256" i="27"/>
  <c r="S256" i="27"/>
  <c r="U255" i="27"/>
  <c r="T255" i="27"/>
  <c r="S255" i="27"/>
  <c r="T254" i="27"/>
  <c r="S254" i="27"/>
  <c r="U254" i="27" s="1"/>
  <c r="R254" i="27"/>
  <c r="R255" i="27" s="1"/>
  <c r="R256" i="27" s="1"/>
  <c r="T253" i="27"/>
  <c r="U253" i="27" s="1"/>
  <c r="S253" i="27"/>
  <c r="R253" i="27"/>
  <c r="T252" i="27"/>
  <c r="S252" i="27"/>
  <c r="T251" i="27"/>
  <c r="S251" i="27"/>
  <c r="T250" i="27"/>
  <c r="S250" i="27"/>
  <c r="T249" i="27"/>
  <c r="S249" i="27"/>
  <c r="T248" i="27"/>
  <c r="S248" i="27"/>
  <c r="T247" i="27"/>
  <c r="S247" i="27"/>
  <c r="T246" i="27"/>
  <c r="S246" i="27"/>
  <c r="T245" i="27"/>
  <c r="S245" i="27"/>
  <c r="T244" i="27"/>
  <c r="S244" i="27"/>
  <c r="T243" i="27"/>
  <c r="S243" i="27"/>
  <c r="R243" i="27"/>
  <c r="T242" i="27"/>
  <c r="S242" i="27"/>
  <c r="R242" i="27"/>
  <c r="X241" i="27"/>
  <c r="J241" i="27" s="1"/>
  <c r="W241" i="27"/>
  <c r="I241" i="27" s="1"/>
  <c r="T241" i="27"/>
  <c r="S241" i="27"/>
  <c r="U241" i="27" s="1"/>
  <c r="V241" i="27" s="1"/>
  <c r="R241" i="27"/>
  <c r="H241" i="27"/>
  <c r="T240" i="27"/>
  <c r="S240" i="27"/>
  <c r="T239" i="27"/>
  <c r="S239" i="27"/>
  <c r="T238" i="27"/>
  <c r="S238" i="27"/>
  <c r="T237" i="27"/>
  <c r="S237" i="27"/>
  <c r="T236" i="27"/>
  <c r="S236" i="27"/>
  <c r="R236" i="27"/>
  <c r="T235" i="27"/>
  <c r="U235" i="27" s="1"/>
  <c r="S235" i="27"/>
  <c r="R235" i="27"/>
  <c r="T234" i="27"/>
  <c r="S234" i="27"/>
  <c r="R234" i="27"/>
  <c r="U234" i="27" s="1"/>
  <c r="T233" i="27"/>
  <c r="U233" i="27" s="1"/>
  <c r="X233" i="27" s="1"/>
  <c r="J233" i="27" s="1"/>
  <c r="S233" i="27"/>
  <c r="R233" i="27"/>
  <c r="P233" i="27"/>
  <c r="O233" i="27"/>
  <c r="T232" i="27"/>
  <c r="S232" i="27"/>
  <c r="T231" i="27"/>
  <c r="S231" i="27"/>
  <c r="T230" i="27"/>
  <c r="S230" i="27"/>
  <c r="T229" i="27"/>
  <c r="S229" i="27"/>
  <c r="T228" i="27"/>
  <c r="S228" i="27"/>
  <c r="T227" i="27"/>
  <c r="S227" i="27"/>
  <c r="T226" i="27"/>
  <c r="S226" i="27"/>
  <c r="T225" i="27"/>
  <c r="S225" i="27"/>
  <c r="T224" i="27"/>
  <c r="S224" i="27"/>
  <c r="T223" i="27"/>
  <c r="S223" i="27"/>
  <c r="T222" i="27"/>
  <c r="S222" i="27"/>
  <c r="T221" i="27"/>
  <c r="S221" i="27"/>
  <c r="T220" i="27"/>
  <c r="S220" i="27"/>
  <c r="T219" i="27"/>
  <c r="S219" i="27"/>
  <c r="T218" i="27"/>
  <c r="S218" i="27"/>
  <c r="T217" i="27"/>
  <c r="S217" i="27"/>
  <c r="T216" i="27"/>
  <c r="S216" i="27"/>
  <c r="T215" i="27"/>
  <c r="S215" i="27"/>
  <c r="R215" i="27"/>
  <c r="V214" i="27"/>
  <c r="H214" i="27" s="1"/>
  <c r="T214" i="27"/>
  <c r="S214" i="27"/>
  <c r="R214" i="27"/>
  <c r="U214" i="27" s="1"/>
  <c r="X213" i="27"/>
  <c r="W213" i="27"/>
  <c r="T213" i="27"/>
  <c r="S213" i="27"/>
  <c r="R213" i="27"/>
  <c r="U213" i="27" s="1"/>
  <c r="V213" i="27" s="1"/>
  <c r="T212" i="27"/>
  <c r="S212" i="27"/>
  <c r="U212" i="27" s="1"/>
  <c r="R212" i="27"/>
  <c r="T211" i="27"/>
  <c r="S211" i="27"/>
  <c r="T210" i="27"/>
  <c r="S210" i="27"/>
  <c r="T209" i="27"/>
  <c r="S209" i="27"/>
  <c r="T208" i="27"/>
  <c r="S208" i="27"/>
  <c r="T207" i="27"/>
  <c r="S207" i="27"/>
  <c r="T206" i="27"/>
  <c r="S206" i="27"/>
  <c r="T205" i="27"/>
  <c r="S205" i="27"/>
  <c r="R205" i="27"/>
  <c r="T204" i="27"/>
  <c r="S204" i="27"/>
  <c r="T203" i="27"/>
  <c r="S203" i="27"/>
  <c r="T202" i="27"/>
  <c r="S202" i="27"/>
  <c r="T201" i="27"/>
  <c r="S201" i="27"/>
  <c r="R201" i="27"/>
  <c r="T200" i="27"/>
  <c r="S200" i="27"/>
  <c r="R200" i="27"/>
  <c r="T199" i="27"/>
  <c r="S199" i="27"/>
  <c r="T198" i="27"/>
  <c r="S198" i="27"/>
  <c r="T197" i="27"/>
  <c r="S197" i="27"/>
  <c r="T196" i="27"/>
  <c r="S196" i="27"/>
  <c r="T195" i="27"/>
  <c r="S195" i="27"/>
  <c r="T194" i="27"/>
  <c r="S194" i="27"/>
  <c r="T193" i="27"/>
  <c r="S193" i="27"/>
  <c r="T192" i="27"/>
  <c r="S192" i="27"/>
  <c r="T191" i="27"/>
  <c r="S191" i="27"/>
  <c r="T190" i="27"/>
  <c r="S190" i="27"/>
  <c r="T189" i="27"/>
  <c r="S189" i="27"/>
  <c r="T188" i="27"/>
  <c r="S188" i="27"/>
  <c r="T187" i="27"/>
  <c r="S187" i="27"/>
  <c r="T186" i="27"/>
  <c r="S186" i="27"/>
  <c r="T185" i="27"/>
  <c r="S185" i="27"/>
  <c r="T184" i="27"/>
  <c r="S184" i="27"/>
  <c r="T183" i="27"/>
  <c r="S183" i="27"/>
  <c r="T182" i="27"/>
  <c r="S182" i="27"/>
  <c r="U181" i="27"/>
  <c r="T181" i="27"/>
  <c r="S181" i="27"/>
  <c r="R181" i="27"/>
  <c r="R182" i="27" s="1"/>
  <c r="T180" i="27"/>
  <c r="S180" i="27"/>
  <c r="T179" i="27"/>
  <c r="S179" i="27"/>
  <c r="T178" i="27"/>
  <c r="S178" i="27"/>
  <c r="T177" i="27"/>
  <c r="S177" i="27"/>
  <c r="T176" i="27"/>
  <c r="S176" i="27"/>
  <c r="T175" i="27"/>
  <c r="S175" i="27"/>
  <c r="T174" i="27"/>
  <c r="S174" i="27"/>
  <c r="T173" i="27"/>
  <c r="S173" i="27"/>
  <c r="T172" i="27"/>
  <c r="S172" i="27"/>
  <c r="T171" i="27"/>
  <c r="S171" i="27"/>
  <c r="T170" i="27"/>
  <c r="S170" i="27"/>
  <c r="T169" i="27"/>
  <c r="S169" i="27"/>
  <c r="R169" i="27"/>
  <c r="T168" i="27"/>
  <c r="S168" i="27"/>
  <c r="U167" i="27"/>
  <c r="T167" i="27"/>
  <c r="S167" i="27"/>
  <c r="R167" i="27"/>
  <c r="R168" i="27" s="1"/>
  <c r="U168" i="27" s="1"/>
  <c r="T166" i="27"/>
  <c r="S166" i="27"/>
  <c r="R166" i="27"/>
  <c r="U166" i="27" s="1"/>
  <c r="T165" i="27"/>
  <c r="S165" i="27"/>
  <c r="T164" i="27"/>
  <c r="S164" i="27"/>
  <c r="T163" i="27"/>
  <c r="S163" i="27"/>
  <c r="T162" i="27"/>
  <c r="S162" i="27"/>
  <c r="T161" i="27"/>
  <c r="S161" i="27"/>
  <c r="T160" i="27"/>
  <c r="S160" i="27"/>
  <c r="T159" i="27"/>
  <c r="S159" i="27"/>
  <c r="T158" i="27"/>
  <c r="S158" i="27"/>
  <c r="T157" i="27"/>
  <c r="S157" i="27"/>
  <c r="T156" i="27"/>
  <c r="S156" i="27"/>
  <c r="T155" i="27"/>
  <c r="S155" i="27"/>
  <c r="T154" i="27"/>
  <c r="S154" i="27"/>
  <c r="T153" i="27"/>
  <c r="S153" i="27"/>
  <c r="T152" i="27"/>
  <c r="S152" i="27"/>
  <c r="T151" i="27"/>
  <c r="S151" i="27"/>
  <c r="T150" i="27"/>
  <c r="S150" i="27"/>
  <c r="T149" i="27"/>
  <c r="S149" i="27"/>
  <c r="T148" i="27"/>
  <c r="S148" i="27"/>
  <c r="T147" i="27"/>
  <c r="S147" i="27"/>
  <c r="R147" i="27"/>
  <c r="R148" i="27" s="1"/>
  <c r="T146" i="27"/>
  <c r="S146" i="27"/>
  <c r="U146" i="27" s="1"/>
  <c r="R146" i="27"/>
  <c r="T145" i="27"/>
  <c r="S145" i="27"/>
  <c r="T144" i="27"/>
  <c r="S144" i="27"/>
  <c r="T143" i="27"/>
  <c r="S143" i="27"/>
  <c r="T142" i="27"/>
  <c r="S142" i="27"/>
  <c r="T141" i="27"/>
  <c r="S141" i="27"/>
  <c r="T140" i="27"/>
  <c r="S140" i="27"/>
  <c r="T139" i="27"/>
  <c r="S139" i="27"/>
  <c r="T138" i="27"/>
  <c r="S138" i="27"/>
  <c r="T137" i="27"/>
  <c r="S137" i="27"/>
  <c r="T136" i="27"/>
  <c r="S136" i="27"/>
  <c r="T135" i="27"/>
  <c r="S135" i="27"/>
  <c r="T134" i="27"/>
  <c r="S134" i="27"/>
  <c r="T133" i="27"/>
  <c r="S133" i="27"/>
  <c r="T132" i="27"/>
  <c r="S132" i="27"/>
  <c r="T131" i="27"/>
  <c r="S131" i="27"/>
  <c r="T130" i="27"/>
  <c r="S130" i="27"/>
  <c r="T129" i="27"/>
  <c r="S129" i="27"/>
  <c r="T128" i="27"/>
  <c r="S128" i="27"/>
  <c r="T127" i="27"/>
  <c r="S127" i="27"/>
  <c r="T126" i="27"/>
  <c r="S126" i="27"/>
  <c r="T125" i="27"/>
  <c r="S125" i="27"/>
  <c r="T124" i="27"/>
  <c r="S124" i="27"/>
  <c r="T123" i="27"/>
  <c r="S123" i="27"/>
  <c r="T122" i="27"/>
  <c r="S122" i="27"/>
  <c r="T121" i="27"/>
  <c r="S121" i="27"/>
  <c r="R121" i="27"/>
  <c r="R122" i="27" s="1"/>
  <c r="U120" i="27"/>
  <c r="T120" i="27"/>
  <c r="S120" i="27"/>
  <c r="R120" i="27"/>
  <c r="X119" i="27"/>
  <c r="J119" i="27" s="1"/>
  <c r="U119" i="27"/>
  <c r="W119" i="27" s="1"/>
  <c r="T119" i="27"/>
  <c r="S119" i="27"/>
  <c r="R119" i="27"/>
  <c r="I119" i="27"/>
  <c r="T118" i="27"/>
  <c r="S118" i="27"/>
  <c r="U118" i="27" s="1"/>
  <c r="R118" i="27"/>
  <c r="T117" i="27"/>
  <c r="S117" i="27"/>
  <c r="T116" i="27"/>
  <c r="S116" i="27"/>
  <c r="T115" i="27"/>
  <c r="S115" i="27"/>
  <c r="T114" i="27"/>
  <c r="S114" i="27"/>
  <c r="T113" i="27"/>
  <c r="S113" i="27"/>
  <c r="T112" i="27"/>
  <c r="S112" i="27"/>
  <c r="T111" i="27"/>
  <c r="S111" i="27"/>
  <c r="T110" i="27"/>
  <c r="S110" i="27"/>
  <c r="T109" i="27"/>
  <c r="S109" i="27"/>
  <c r="R109" i="27"/>
  <c r="R110" i="27" s="1"/>
  <c r="W108" i="27"/>
  <c r="I108" i="27" s="1"/>
  <c r="V108" i="27"/>
  <c r="H108" i="27" s="1"/>
  <c r="T108" i="27"/>
  <c r="S108" i="27"/>
  <c r="T107" i="27"/>
  <c r="S107" i="27"/>
  <c r="U107" i="27" s="1"/>
  <c r="R107" i="27"/>
  <c r="R108" i="27" s="1"/>
  <c r="U108" i="27" s="1"/>
  <c r="X108" i="27" s="1"/>
  <c r="J108" i="27" s="1"/>
  <c r="T106" i="27"/>
  <c r="S106" i="27"/>
  <c r="T105" i="27"/>
  <c r="S105" i="27"/>
  <c r="T104" i="27"/>
  <c r="S104" i="27"/>
  <c r="T103" i="27"/>
  <c r="S103" i="27"/>
  <c r="T102" i="27"/>
  <c r="S102" i="27"/>
  <c r="T101" i="27"/>
  <c r="S101" i="27"/>
  <c r="T100" i="27"/>
  <c r="S100" i="27"/>
  <c r="T99" i="27"/>
  <c r="S99" i="27"/>
  <c r="T98" i="27"/>
  <c r="S98" i="27"/>
  <c r="T97" i="27"/>
  <c r="S97" i="27"/>
  <c r="T96" i="27"/>
  <c r="S96" i="27"/>
  <c r="T95" i="27"/>
  <c r="S95" i="27"/>
  <c r="T94" i="27"/>
  <c r="S94" i="27"/>
  <c r="T93" i="27"/>
  <c r="S93" i="27"/>
  <c r="T92" i="27"/>
  <c r="S92" i="27"/>
  <c r="T91" i="27"/>
  <c r="S91" i="27"/>
  <c r="T90" i="27"/>
  <c r="S90" i="27"/>
  <c r="R90" i="27"/>
  <c r="P90" i="27"/>
  <c r="O90" i="27"/>
  <c r="T89" i="27"/>
  <c r="S89" i="27"/>
  <c r="T88" i="27"/>
  <c r="S88" i="27"/>
  <c r="T87" i="27"/>
  <c r="S87" i="27"/>
  <c r="T86" i="27"/>
  <c r="S86" i="27"/>
  <c r="T85" i="27"/>
  <c r="S85" i="27"/>
  <c r="T84" i="27"/>
  <c r="S84" i="27"/>
  <c r="T83" i="27"/>
  <c r="S83" i="27"/>
  <c r="T82" i="27"/>
  <c r="S82" i="27"/>
  <c r="T81" i="27"/>
  <c r="S81" i="27"/>
  <c r="T80" i="27"/>
  <c r="S80" i="27"/>
  <c r="T79" i="27"/>
  <c r="S79" i="27"/>
  <c r="T78" i="27"/>
  <c r="S78" i="27"/>
  <c r="T77" i="27"/>
  <c r="S77" i="27"/>
  <c r="T76" i="27"/>
  <c r="S76" i="27"/>
  <c r="T75" i="27"/>
  <c r="S75" i="27"/>
  <c r="T74" i="27"/>
  <c r="S74" i="27"/>
  <c r="R74" i="27"/>
  <c r="X73" i="27"/>
  <c r="V73" i="27"/>
  <c r="T73" i="27"/>
  <c r="S73" i="27"/>
  <c r="R73" i="27"/>
  <c r="U73" i="27" s="1"/>
  <c r="W73" i="27" s="1"/>
  <c r="T72" i="27"/>
  <c r="S72" i="27"/>
  <c r="T71" i="27"/>
  <c r="S71" i="27"/>
  <c r="T70" i="27"/>
  <c r="S70" i="27"/>
  <c r="T69" i="27"/>
  <c r="S69" i="27"/>
  <c r="T68" i="27"/>
  <c r="S68" i="27"/>
  <c r="T67" i="27"/>
  <c r="S67" i="27"/>
  <c r="T66" i="27"/>
  <c r="S66" i="27"/>
  <c r="T65" i="27"/>
  <c r="S65" i="27"/>
  <c r="T64" i="27"/>
  <c r="S64" i="27"/>
  <c r="T63" i="27"/>
  <c r="S63" i="27"/>
  <c r="T62" i="27"/>
  <c r="S62" i="27"/>
  <c r="T61" i="27"/>
  <c r="S61" i="27"/>
  <c r="T60" i="27"/>
  <c r="S60" i="27"/>
  <c r="T59" i="27"/>
  <c r="S59" i="27"/>
  <c r="T58" i="27"/>
  <c r="S58" i="27"/>
  <c r="T57" i="27"/>
  <c r="S57" i="27"/>
  <c r="T56" i="27"/>
  <c r="S56" i="27"/>
  <c r="T55" i="27"/>
  <c r="S55" i="27"/>
  <c r="T54" i="27"/>
  <c r="S54" i="27"/>
  <c r="R54" i="27"/>
  <c r="R55" i="27" s="1"/>
  <c r="U55" i="27" s="1"/>
  <c r="T53" i="27"/>
  <c r="S53" i="27"/>
  <c r="T52" i="27"/>
  <c r="S52" i="27"/>
  <c r="T51" i="27"/>
  <c r="S51" i="27"/>
  <c r="T50" i="27"/>
  <c r="S50" i="27"/>
  <c r="T49" i="27"/>
  <c r="S49" i="27"/>
  <c r="T48" i="27"/>
  <c r="S48" i="27"/>
  <c r="T47" i="27"/>
  <c r="S47" i="27"/>
  <c r="T46" i="27"/>
  <c r="S46" i="27"/>
  <c r="T45" i="27"/>
  <c r="S45" i="27"/>
  <c r="T44" i="27"/>
  <c r="S44" i="27"/>
  <c r="T43" i="27"/>
  <c r="S43" i="27"/>
  <c r="T42" i="27"/>
  <c r="S42" i="27"/>
  <c r="T41" i="27"/>
  <c r="S41" i="27"/>
  <c r="T40" i="27"/>
  <c r="S40" i="27"/>
  <c r="T39" i="27"/>
  <c r="S39" i="27"/>
  <c r="T38" i="27"/>
  <c r="S38" i="27"/>
  <c r="T37" i="27"/>
  <c r="S37" i="27"/>
  <c r="T36" i="27"/>
  <c r="S36" i="27"/>
  <c r="T35" i="27"/>
  <c r="S35" i="27"/>
  <c r="T34" i="27"/>
  <c r="S34" i="27"/>
  <c r="U34" i="27" s="1"/>
  <c r="R34" i="27"/>
  <c r="R35" i="27" s="1"/>
  <c r="T33" i="27"/>
  <c r="S33" i="27"/>
  <c r="T32" i="27"/>
  <c r="S32" i="27"/>
  <c r="T31" i="27"/>
  <c r="S31" i="27"/>
  <c r="T30" i="27"/>
  <c r="S30" i="27"/>
  <c r="T29" i="27"/>
  <c r="S29" i="27"/>
  <c r="T28" i="27"/>
  <c r="S28" i="27"/>
  <c r="T27" i="27"/>
  <c r="S27" i="27"/>
  <c r="R27" i="27"/>
  <c r="W26" i="27"/>
  <c r="I26" i="27" s="1"/>
  <c r="V26" i="27"/>
  <c r="H26" i="27" s="1"/>
  <c r="T26" i="27"/>
  <c r="S26" i="27"/>
  <c r="U25" i="27"/>
  <c r="V25" i="27" s="1"/>
  <c r="H25" i="27" s="1"/>
  <c r="T25" i="27"/>
  <c r="S25" i="27"/>
  <c r="R25" i="27"/>
  <c r="R26" i="27" s="1"/>
  <c r="U26" i="27" s="1"/>
  <c r="X26" i="27" s="1"/>
  <c r="J26" i="27" s="1"/>
  <c r="T24" i="27"/>
  <c r="S24" i="27"/>
  <c r="T23" i="27"/>
  <c r="S23" i="27"/>
  <c r="T22" i="27"/>
  <c r="S22" i="27"/>
  <c r="T21" i="27"/>
  <c r="S21" i="27"/>
  <c r="T20" i="27"/>
  <c r="S20" i="27"/>
  <c r="T19" i="27"/>
  <c r="S19" i="27"/>
  <c r="T18" i="27"/>
  <c r="S18" i="27"/>
  <c r="T17" i="27"/>
  <c r="S17" i="27"/>
  <c r="T16" i="27"/>
  <c r="S16" i="27"/>
  <c r="T15" i="27"/>
  <c r="S15" i="27"/>
  <c r="T14" i="27"/>
  <c r="S14" i="27"/>
  <c r="T13" i="27"/>
  <c r="S13" i="27"/>
  <c r="T12" i="27"/>
  <c r="S12" i="27"/>
  <c r="T11" i="27"/>
  <c r="S11" i="27"/>
  <c r="T10" i="27"/>
  <c r="S10" i="27"/>
  <c r="T9" i="27"/>
  <c r="S9" i="27"/>
  <c r="T8" i="27"/>
  <c r="S8" i="27"/>
  <c r="T7" i="27"/>
  <c r="S7" i="27"/>
  <c r="T6" i="27"/>
  <c r="S6" i="27"/>
  <c r="R6" i="27"/>
  <c r="R7" i="27" s="1"/>
  <c r="T520" i="26"/>
  <c r="S520" i="26"/>
  <c r="T519" i="26"/>
  <c r="S519" i="26"/>
  <c r="T518" i="26"/>
  <c r="S518" i="26"/>
  <c r="T517" i="26"/>
  <c r="S517" i="26"/>
  <c r="T516" i="26"/>
  <c r="S516" i="26"/>
  <c r="T515" i="26"/>
  <c r="S515" i="26"/>
  <c r="T514" i="26"/>
  <c r="S514" i="26"/>
  <c r="T513" i="26"/>
  <c r="S513" i="26"/>
  <c r="T512" i="26"/>
  <c r="S512" i="26"/>
  <c r="T511" i="26"/>
  <c r="S511" i="26"/>
  <c r="T510" i="26"/>
  <c r="S510" i="26"/>
  <c r="T509" i="26"/>
  <c r="S509" i="26"/>
  <c r="T508" i="26"/>
  <c r="S508" i="26"/>
  <c r="T507" i="26"/>
  <c r="S507" i="26"/>
  <c r="T506" i="26"/>
  <c r="S506" i="26"/>
  <c r="T505" i="26"/>
  <c r="S505" i="26"/>
  <c r="T504" i="26"/>
  <c r="S504" i="26"/>
  <c r="T503" i="26"/>
  <c r="S503" i="26"/>
  <c r="T502" i="26"/>
  <c r="S502" i="26"/>
  <c r="T501" i="26"/>
  <c r="S501" i="26"/>
  <c r="T500" i="26"/>
  <c r="S500" i="26"/>
  <c r="T499" i="26"/>
  <c r="S499" i="26"/>
  <c r="R499" i="26"/>
  <c r="U499" i="26" s="1"/>
  <c r="R8" i="27" l="1"/>
  <c r="U7" i="27"/>
  <c r="V107" i="27"/>
  <c r="H107" i="27" s="1"/>
  <c r="X107" i="27"/>
  <c r="J107" i="27" s="1"/>
  <c r="W107" i="27"/>
  <c r="I107" i="27" s="1"/>
  <c r="X34" i="27"/>
  <c r="J34" i="27" s="1"/>
  <c r="V34" i="27"/>
  <c r="H34" i="27" s="1"/>
  <c r="W34" i="27"/>
  <c r="I34" i="27" s="1"/>
  <c r="K26" i="27"/>
  <c r="U201" i="27"/>
  <c r="R202" i="27"/>
  <c r="W167" i="27"/>
  <c r="I167" i="27" s="1"/>
  <c r="V167" i="27"/>
  <c r="H167" i="27" s="1"/>
  <c r="X167" i="27"/>
  <c r="J167" i="27" s="1"/>
  <c r="R111" i="27"/>
  <c r="U110" i="27"/>
  <c r="R56" i="27"/>
  <c r="U295" i="27"/>
  <c r="R296" i="27"/>
  <c r="X255" i="27"/>
  <c r="J255" i="27" s="1"/>
  <c r="W255" i="27"/>
  <c r="I255" i="27" s="1"/>
  <c r="V255" i="27"/>
  <c r="H255" i="27" s="1"/>
  <c r="K255" i="27" s="1"/>
  <c r="X235" i="27"/>
  <c r="J235" i="27" s="1"/>
  <c r="V235" i="27"/>
  <c r="H235" i="27" s="1"/>
  <c r="W235" i="27"/>
  <c r="I235" i="27" s="1"/>
  <c r="U35" i="27"/>
  <c r="R36" i="27"/>
  <c r="K108" i="27"/>
  <c r="X120" i="27"/>
  <c r="J120" i="27" s="1"/>
  <c r="V120" i="27"/>
  <c r="H120" i="27" s="1"/>
  <c r="W120" i="27"/>
  <c r="I120" i="27" s="1"/>
  <c r="R123" i="27"/>
  <c r="U122" i="27"/>
  <c r="R170" i="27"/>
  <c r="U169" i="27"/>
  <c r="U6" i="27"/>
  <c r="W118" i="27"/>
  <c r="V118" i="27"/>
  <c r="X118" i="27"/>
  <c r="U121" i="27"/>
  <c r="U27" i="27"/>
  <c r="R28" i="27"/>
  <c r="U54" i="27"/>
  <c r="W181" i="27"/>
  <c r="I181" i="27" s="1"/>
  <c r="V181" i="27"/>
  <c r="H181" i="27" s="1"/>
  <c r="X181" i="27"/>
  <c r="J181" i="27" s="1"/>
  <c r="R75" i="27"/>
  <c r="U74" i="27"/>
  <c r="U109" i="27"/>
  <c r="R374" i="27"/>
  <c r="U373" i="27"/>
  <c r="U205" i="27"/>
  <c r="R206" i="27"/>
  <c r="K25" i="27"/>
  <c r="W55" i="27"/>
  <c r="I55" i="27" s="1"/>
  <c r="V55" i="27"/>
  <c r="H55" i="27" s="1"/>
  <c r="K55" i="27" s="1"/>
  <c r="X55" i="27"/>
  <c r="J55" i="27" s="1"/>
  <c r="W25" i="27"/>
  <c r="I25" i="27" s="1"/>
  <c r="X25" i="27"/>
  <c r="J25" i="27" s="1"/>
  <c r="U90" i="27"/>
  <c r="R91" i="27"/>
  <c r="R244" i="27"/>
  <c r="U243" i="27"/>
  <c r="X274" i="27"/>
  <c r="J274" i="27" s="1"/>
  <c r="V274" i="27"/>
  <c r="H274" i="27" s="1"/>
  <c r="W274" i="27"/>
  <c r="I274" i="27" s="1"/>
  <c r="X391" i="27"/>
  <c r="J391" i="27" s="1"/>
  <c r="W391" i="27"/>
  <c r="I391" i="27" s="1"/>
  <c r="V391" i="27"/>
  <c r="H391" i="27" s="1"/>
  <c r="R275" i="27"/>
  <c r="W146" i="27"/>
  <c r="I146" i="27" s="1"/>
  <c r="X146" i="27"/>
  <c r="J146" i="27" s="1"/>
  <c r="V146" i="27"/>
  <c r="H146" i="27" s="1"/>
  <c r="R149" i="27"/>
  <c r="U148" i="27"/>
  <c r="U419" i="27"/>
  <c r="R420" i="27"/>
  <c r="U147" i="27"/>
  <c r="V168" i="27"/>
  <c r="H168" i="27" s="1"/>
  <c r="K168" i="27" s="1"/>
  <c r="W168" i="27"/>
  <c r="I168" i="27" s="1"/>
  <c r="X168" i="27"/>
  <c r="J168" i="27" s="1"/>
  <c r="R183" i="27"/>
  <c r="U182" i="27"/>
  <c r="X253" i="27"/>
  <c r="V253" i="27"/>
  <c r="W253" i="27"/>
  <c r="V233" i="27"/>
  <c r="H233" i="27" s="1"/>
  <c r="W417" i="27"/>
  <c r="I417" i="27" s="1"/>
  <c r="V417" i="27"/>
  <c r="H417" i="27" s="1"/>
  <c r="X417" i="27"/>
  <c r="J417" i="27" s="1"/>
  <c r="W233" i="27"/>
  <c r="I233" i="27" s="1"/>
  <c r="X212" i="27"/>
  <c r="W212" i="27"/>
  <c r="V212" i="27"/>
  <c r="U215" i="27"/>
  <c r="R216" i="27"/>
  <c r="X166" i="27"/>
  <c r="W166" i="27"/>
  <c r="V166" i="27"/>
  <c r="U256" i="27"/>
  <c r="R257" i="27"/>
  <c r="V119" i="27"/>
  <c r="H119" i="27" s="1"/>
  <c r="V254" i="27"/>
  <c r="H254" i="27" s="1"/>
  <c r="X254" i="27"/>
  <c r="J254" i="27" s="1"/>
  <c r="W254" i="27"/>
  <c r="I254" i="27" s="1"/>
  <c r="U314" i="27"/>
  <c r="R315" i="27"/>
  <c r="V444" i="27"/>
  <c r="H444" i="27" s="1"/>
  <c r="X444" i="27"/>
  <c r="J444" i="27" s="1"/>
  <c r="W444" i="27"/>
  <c r="I444" i="27" s="1"/>
  <c r="R237" i="27"/>
  <c r="U236" i="27"/>
  <c r="K434" i="27"/>
  <c r="K241" i="27"/>
  <c r="U200" i="27"/>
  <c r="X214" i="27"/>
  <c r="J214" i="27" s="1"/>
  <c r="W214" i="27"/>
  <c r="I214" i="27" s="1"/>
  <c r="V443" i="27"/>
  <c r="H443" i="27" s="1"/>
  <c r="W443" i="27"/>
  <c r="I443" i="27" s="1"/>
  <c r="X443" i="27"/>
  <c r="J443" i="27" s="1"/>
  <c r="U322" i="27"/>
  <c r="R395" i="27"/>
  <c r="U394" i="27"/>
  <c r="U242" i="27"/>
  <c r="U273" i="27"/>
  <c r="X234" i="27"/>
  <c r="J234" i="27" s="1"/>
  <c r="W234" i="27"/>
  <c r="I234" i="27" s="1"/>
  <c r="V234" i="27"/>
  <c r="H234" i="27" s="1"/>
  <c r="X393" i="27"/>
  <c r="J393" i="27" s="1"/>
  <c r="W393" i="27"/>
  <c r="I393" i="27" s="1"/>
  <c r="V393" i="27"/>
  <c r="H393" i="27" s="1"/>
  <c r="U454" i="27"/>
  <c r="R455" i="27"/>
  <c r="W333" i="27"/>
  <c r="I333" i="27" s="1"/>
  <c r="V333" i="27"/>
  <c r="H333" i="27" s="1"/>
  <c r="U453" i="27"/>
  <c r="R360" i="27"/>
  <c r="U359" i="27"/>
  <c r="V323" i="27"/>
  <c r="H323" i="27" s="1"/>
  <c r="W323" i="27"/>
  <c r="I323" i="27" s="1"/>
  <c r="U372" i="27"/>
  <c r="K522" i="27"/>
  <c r="X334" i="27"/>
  <c r="J334" i="27" s="1"/>
  <c r="W334" i="27"/>
  <c r="I334" i="27" s="1"/>
  <c r="V334" i="27"/>
  <c r="H334" i="27" s="1"/>
  <c r="W433" i="27"/>
  <c r="I433" i="27" s="1"/>
  <c r="V433" i="27"/>
  <c r="H433" i="27" s="1"/>
  <c r="X499" i="27"/>
  <c r="J499" i="27" s="1"/>
  <c r="W499" i="27"/>
  <c r="I499" i="27" s="1"/>
  <c r="V499" i="27"/>
  <c r="H499" i="27" s="1"/>
  <c r="R324" i="27"/>
  <c r="U392" i="27"/>
  <c r="R437" i="27"/>
  <c r="U436" i="27"/>
  <c r="W442" i="27"/>
  <c r="X442" i="27"/>
  <c r="V442" i="27"/>
  <c r="R446" i="27"/>
  <c r="U445" i="27"/>
  <c r="R335" i="27"/>
  <c r="U564" i="27"/>
  <c r="R565" i="27"/>
  <c r="W623" i="27"/>
  <c r="I623" i="27" s="1"/>
  <c r="V623" i="27"/>
  <c r="H623" i="27" s="1"/>
  <c r="X623" i="27"/>
  <c r="J623" i="27" s="1"/>
  <c r="R546" i="27"/>
  <c r="U545" i="27"/>
  <c r="X523" i="27"/>
  <c r="J523" i="27" s="1"/>
  <c r="W523" i="27"/>
  <c r="I523" i="27" s="1"/>
  <c r="V523" i="27"/>
  <c r="H523" i="27" s="1"/>
  <c r="U418" i="27"/>
  <c r="W435" i="27"/>
  <c r="I435" i="27" s="1"/>
  <c r="V435" i="27"/>
  <c r="H435" i="27" s="1"/>
  <c r="K435" i="27" s="1"/>
  <c r="V598" i="27"/>
  <c r="W598" i="27"/>
  <c r="X598" i="27"/>
  <c r="W563" i="27"/>
  <c r="I563" i="27" s="1"/>
  <c r="V563" i="27"/>
  <c r="H563" i="27" s="1"/>
  <c r="X563" i="27"/>
  <c r="J563" i="27" s="1"/>
  <c r="X521" i="27"/>
  <c r="W521" i="27"/>
  <c r="V521" i="27"/>
  <c r="U478" i="27"/>
  <c r="R601" i="27"/>
  <c r="U600" i="27"/>
  <c r="W476" i="27"/>
  <c r="I476" i="27" s="1"/>
  <c r="V476" i="27"/>
  <c r="H476" i="27" s="1"/>
  <c r="R502" i="27"/>
  <c r="W622" i="27"/>
  <c r="I622" i="27" s="1"/>
  <c r="V622" i="27"/>
  <c r="H622" i="27" s="1"/>
  <c r="X622" i="27"/>
  <c r="J622" i="27" s="1"/>
  <c r="R479" i="27"/>
  <c r="U500" i="27"/>
  <c r="U576" i="27"/>
  <c r="R577" i="27"/>
  <c r="X624" i="27"/>
  <c r="J624" i="27" s="1"/>
  <c r="V624" i="27"/>
  <c r="H624" i="27" s="1"/>
  <c r="W624" i="27"/>
  <c r="I624" i="27" s="1"/>
  <c r="V501" i="27"/>
  <c r="H501" i="27" s="1"/>
  <c r="W501" i="27"/>
  <c r="I501" i="27" s="1"/>
  <c r="U625" i="27"/>
  <c r="R626" i="27"/>
  <c r="U575" i="27"/>
  <c r="U524" i="27"/>
  <c r="R525" i="27"/>
  <c r="U599" i="27"/>
  <c r="R500" i="26"/>
  <c r="V499" i="26"/>
  <c r="H499" i="26" s="1"/>
  <c r="W499" i="26"/>
  <c r="I499" i="26" s="1"/>
  <c r="X499" i="26"/>
  <c r="J499" i="26" s="1"/>
  <c r="K444" i="27" l="1"/>
  <c r="U206" i="27"/>
  <c r="R207" i="27"/>
  <c r="W169" i="27"/>
  <c r="I169" i="27" s="1"/>
  <c r="V169" i="27"/>
  <c r="H169" i="27" s="1"/>
  <c r="X169" i="27"/>
  <c r="J169" i="27" s="1"/>
  <c r="R112" i="27"/>
  <c r="U111" i="27"/>
  <c r="U565" i="27"/>
  <c r="R566" i="27"/>
  <c r="X564" i="27"/>
  <c r="J564" i="27" s="1"/>
  <c r="W564" i="27"/>
  <c r="I564" i="27" s="1"/>
  <c r="V564" i="27"/>
  <c r="H564" i="27" s="1"/>
  <c r="X273" i="27"/>
  <c r="J273" i="27" s="1"/>
  <c r="W273" i="27"/>
  <c r="I273" i="27" s="1"/>
  <c r="V273" i="27"/>
  <c r="H273" i="27" s="1"/>
  <c r="U315" i="27"/>
  <c r="R316" i="27"/>
  <c r="K417" i="27"/>
  <c r="X205" i="27"/>
  <c r="J205" i="27" s="1"/>
  <c r="W205" i="27"/>
  <c r="I205" i="27" s="1"/>
  <c r="V205" i="27"/>
  <c r="H205" i="27" s="1"/>
  <c r="U170" i="27"/>
  <c r="R171" i="27"/>
  <c r="K146" i="27"/>
  <c r="V6" i="27"/>
  <c r="H6" i="27" s="1"/>
  <c r="W6" i="27"/>
  <c r="I6" i="27" s="1"/>
  <c r="X6" i="27"/>
  <c r="J6" i="27" s="1"/>
  <c r="W110" i="27"/>
  <c r="I110" i="27" s="1"/>
  <c r="V110" i="27"/>
  <c r="H110" i="27" s="1"/>
  <c r="X110" i="27"/>
  <c r="J110" i="27" s="1"/>
  <c r="X625" i="27"/>
  <c r="J625" i="27" s="1"/>
  <c r="W625" i="27"/>
  <c r="I625" i="27" s="1"/>
  <c r="V625" i="27"/>
  <c r="H625" i="27" s="1"/>
  <c r="K625" i="27" s="1"/>
  <c r="K501" i="27"/>
  <c r="U335" i="27"/>
  <c r="R336" i="27"/>
  <c r="X242" i="27"/>
  <c r="J242" i="27" s="1"/>
  <c r="W242" i="27"/>
  <c r="I242" i="27" s="1"/>
  <c r="V242" i="27"/>
  <c r="H242" i="27" s="1"/>
  <c r="V314" i="27"/>
  <c r="H314" i="27" s="1"/>
  <c r="W314" i="27"/>
  <c r="I314" i="27" s="1"/>
  <c r="X314" i="27"/>
  <c r="J314" i="27" s="1"/>
  <c r="R276" i="27"/>
  <c r="U275" i="27"/>
  <c r="X373" i="27"/>
  <c r="J373" i="27" s="1"/>
  <c r="W373" i="27"/>
  <c r="I373" i="27" s="1"/>
  <c r="V373" i="27"/>
  <c r="H373" i="27" s="1"/>
  <c r="X122" i="27"/>
  <c r="J122" i="27" s="1"/>
  <c r="W122" i="27"/>
  <c r="I122" i="27" s="1"/>
  <c r="V122" i="27"/>
  <c r="H122" i="27" s="1"/>
  <c r="K122" i="27" s="1"/>
  <c r="K563" i="27"/>
  <c r="X445" i="27"/>
  <c r="J445" i="27" s="1"/>
  <c r="W445" i="27"/>
  <c r="I445" i="27" s="1"/>
  <c r="V445" i="27"/>
  <c r="H445" i="27" s="1"/>
  <c r="X394" i="27"/>
  <c r="J394" i="27" s="1"/>
  <c r="W394" i="27"/>
  <c r="I394" i="27" s="1"/>
  <c r="V394" i="27"/>
  <c r="H394" i="27" s="1"/>
  <c r="K394" i="27" s="1"/>
  <c r="K233" i="27"/>
  <c r="K391" i="27"/>
  <c r="R375" i="27"/>
  <c r="U374" i="27"/>
  <c r="R124" i="27"/>
  <c r="U123" i="27"/>
  <c r="K167" i="27"/>
  <c r="U56" i="27"/>
  <c r="R57" i="27"/>
  <c r="U626" i="27"/>
  <c r="R627" i="27"/>
  <c r="K624" i="27"/>
  <c r="U446" i="27"/>
  <c r="R447" i="27"/>
  <c r="X372" i="27"/>
  <c r="W372" i="27"/>
  <c r="V372" i="27"/>
  <c r="R396" i="27"/>
  <c r="U395" i="27"/>
  <c r="X109" i="27"/>
  <c r="J109" i="27" s="1"/>
  <c r="W109" i="27"/>
  <c r="I109" i="27" s="1"/>
  <c r="V109" i="27"/>
  <c r="H109" i="27" s="1"/>
  <c r="V74" i="27"/>
  <c r="H74" i="27" s="1"/>
  <c r="X74" i="27"/>
  <c r="J74" i="27" s="1"/>
  <c r="W74" i="27"/>
  <c r="I74" i="27" s="1"/>
  <c r="K120" i="27"/>
  <c r="R203" i="27"/>
  <c r="U202" i="27"/>
  <c r="X576" i="27"/>
  <c r="J576" i="27" s="1"/>
  <c r="W576" i="27"/>
  <c r="I576" i="27" s="1"/>
  <c r="V576" i="27"/>
  <c r="H576" i="27" s="1"/>
  <c r="K576" i="27" s="1"/>
  <c r="K119" i="27"/>
  <c r="K274" i="27"/>
  <c r="X201" i="27"/>
  <c r="J201" i="27" s="1"/>
  <c r="W201" i="27"/>
  <c r="I201" i="27" s="1"/>
  <c r="V201" i="27"/>
  <c r="H201" i="27" s="1"/>
  <c r="X359" i="27"/>
  <c r="J359" i="27" s="1"/>
  <c r="V359" i="27"/>
  <c r="H359" i="27" s="1"/>
  <c r="W359" i="27"/>
  <c r="I359" i="27" s="1"/>
  <c r="U36" i="27"/>
  <c r="R37" i="27"/>
  <c r="W524" i="27"/>
  <c r="I524" i="27" s="1"/>
  <c r="X524" i="27"/>
  <c r="J524" i="27" s="1"/>
  <c r="V524" i="27"/>
  <c r="H524" i="27" s="1"/>
  <c r="X478" i="27"/>
  <c r="J478" i="27" s="1"/>
  <c r="V478" i="27"/>
  <c r="H478" i="27" s="1"/>
  <c r="W478" i="27"/>
  <c r="I478" i="27" s="1"/>
  <c r="K443" i="27"/>
  <c r="U257" i="27"/>
  <c r="R258" i="27"/>
  <c r="R480" i="27"/>
  <c r="U479" i="27"/>
  <c r="R438" i="27"/>
  <c r="U437" i="27"/>
  <c r="R361" i="27"/>
  <c r="U360" i="27"/>
  <c r="K214" i="27"/>
  <c r="X256" i="27"/>
  <c r="J256" i="27" s="1"/>
  <c r="W256" i="27"/>
  <c r="I256" i="27" s="1"/>
  <c r="V256" i="27"/>
  <c r="H256" i="27" s="1"/>
  <c r="K256" i="27" s="1"/>
  <c r="X182" i="27"/>
  <c r="J182" i="27" s="1"/>
  <c r="W182" i="27"/>
  <c r="I182" i="27" s="1"/>
  <c r="V182" i="27"/>
  <c r="H182" i="27" s="1"/>
  <c r="X243" i="27"/>
  <c r="J243" i="27" s="1"/>
  <c r="W243" i="27"/>
  <c r="I243" i="27" s="1"/>
  <c r="V243" i="27"/>
  <c r="H243" i="27" s="1"/>
  <c r="K243" i="27" s="1"/>
  <c r="K181" i="27"/>
  <c r="V35" i="27"/>
  <c r="H35" i="27" s="1"/>
  <c r="X35" i="27"/>
  <c r="J35" i="27" s="1"/>
  <c r="W35" i="27"/>
  <c r="I35" i="27" s="1"/>
  <c r="K254" i="27"/>
  <c r="U183" i="27"/>
  <c r="R184" i="27"/>
  <c r="R245" i="27"/>
  <c r="U244" i="27"/>
  <c r="K622" i="27"/>
  <c r="K523" i="27"/>
  <c r="U324" i="27"/>
  <c r="R325" i="27"/>
  <c r="K333" i="27"/>
  <c r="X200" i="27"/>
  <c r="J200" i="27" s="1"/>
  <c r="W200" i="27"/>
  <c r="I200" i="27" s="1"/>
  <c r="V200" i="27"/>
  <c r="H200" i="27" s="1"/>
  <c r="U91" i="27"/>
  <c r="R92" i="27"/>
  <c r="X54" i="27"/>
  <c r="J54" i="27" s="1"/>
  <c r="W54" i="27"/>
  <c r="I54" i="27" s="1"/>
  <c r="V54" i="27"/>
  <c r="H54" i="27" s="1"/>
  <c r="K235" i="27"/>
  <c r="K34" i="27"/>
  <c r="K623" i="27"/>
  <c r="K234" i="27"/>
  <c r="K499" i="27"/>
  <c r="W90" i="27"/>
  <c r="I90" i="27" s="1"/>
  <c r="V90" i="27"/>
  <c r="H90" i="27" s="1"/>
  <c r="X90" i="27"/>
  <c r="J90" i="27" s="1"/>
  <c r="R29" i="27"/>
  <c r="U28" i="27"/>
  <c r="X27" i="27"/>
  <c r="J27" i="27" s="1"/>
  <c r="W27" i="27"/>
  <c r="I27" i="27" s="1"/>
  <c r="V27" i="27"/>
  <c r="H27" i="27" s="1"/>
  <c r="R456" i="27"/>
  <c r="U455" i="27"/>
  <c r="K476" i="27"/>
  <c r="W545" i="27"/>
  <c r="I545" i="27" s="1"/>
  <c r="V545" i="27"/>
  <c r="H545" i="27" s="1"/>
  <c r="X545" i="27"/>
  <c r="J545" i="27" s="1"/>
  <c r="V454" i="27"/>
  <c r="H454" i="27" s="1"/>
  <c r="X454" i="27"/>
  <c r="J454" i="27" s="1"/>
  <c r="W454" i="27"/>
  <c r="I454" i="27" s="1"/>
  <c r="R217" i="27"/>
  <c r="U216" i="27"/>
  <c r="X147" i="27"/>
  <c r="J147" i="27" s="1"/>
  <c r="W147" i="27"/>
  <c r="I147" i="27" s="1"/>
  <c r="V147" i="27"/>
  <c r="H147" i="27" s="1"/>
  <c r="U546" i="27"/>
  <c r="R547" i="27"/>
  <c r="K393" i="27"/>
  <c r="W215" i="27"/>
  <c r="I215" i="27" s="1"/>
  <c r="V215" i="27"/>
  <c r="H215" i="27" s="1"/>
  <c r="X215" i="27"/>
  <c r="J215" i="27" s="1"/>
  <c r="R421" i="27"/>
  <c r="U420" i="27"/>
  <c r="W121" i="27"/>
  <c r="I121" i="27" s="1"/>
  <c r="V121" i="27"/>
  <c r="H121" i="27" s="1"/>
  <c r="X121" i="27"/>
  <c r="J121" i="27" s="1"/>
  <c r="K107" i="27"/>
  <c r="U601" i="27"/>
  <c r="R602" i="27"/>
  <c r="W575" i="27"/>
  <c r="I575" i="27" s="1"/>
  <c r="X575" i="27"/>
  <c r="J575" i="27" s="1"/>
  <c r="V575" i="27"/>
  <c r="H575" i="27" s="1"/>
  <c r="K334" i="27"/>
  <c r="U149" i="27"/>
  <c r="R150" i="27"/>
  <c r="V322" i="27"/>
  <c r="X322" i="27"/>
  <c r="W322" i="27"/>
  <c r="U577" i="27"/>
  <c r="R578" i="27"/>
  <c r="K323" i="27"/>
  <c r="U75" i="27"/>
  <c r="R76" i="27"/>
  <c r="V500" i="27"/>
  <c r="H500" i="27" s="1"/>
  <c r="K500" i="27" s="1"/>
  <c r="W500" i="27"/>
  <c r="I500" i="27" s="1"/>
  <c r="X500" i="27"/>
  <c r="J500" i="27" s="1"/>
  <c r="X436" i="27"/>
  <c r="J436" i="27" s="1"/>
  <c r="V436" i="27"/>
  <c r="H436" i="27" s="1"/>
  <c r="K436" i="27" s="1"/>
  <c r="W436" i="27"/>
  <c r="I436" i="27" s="1"/>
  <c r="V418" i="27"/>
  <c r="H418" i="27" s="1"/>
  <c r="W418" i="27"/>
  <c r="I418" i="27" s="1"/>
  <c r="X418" i="27"/>
  <c r="J418" i="27" s="1"/>
  <c r="X392" i="27"/>
  <c r="J392" i="27" s="1"/>
  <c r="W392" i="27"/>
  <c r="I392" i="27" s="1"/>
  <c r="V392" i="27"/>
  <c r="H392" i="27" s="1"/>
  <c r="X453" i="27"/>
  <c r="J453" i="27" s="1"/>
  <c r="W453" i="27"/>
  <c r="I453" i="27" s="1"/>
  <c r="V453" i="27"/>
  <c r="H453" i="27" s="1"/>
  <c r="U502" i="27"/>
  <c r="R503" i="27"/>
  <c r="X599" i="27"/>
  <c r="J599" i="27" s="1"/>
  <c r="W599" i="27"/>
  <c r="I599" i="27" s="1"/>
  <c r="V599" i="27"/>
  <c r="H599" i="27" s="1"/>
  <c r="U525" i="27"/>
  <c r="R526" i="27"/>
  <c r="V600" i="27"/>
  <c r="H600" i="27" s="1"/>
  <c r="K600" i="27" s="1"/>
  <c r="X600" i="27"/>
  <c r="J600" i="27" s="1"/>
  <c r="W600" i="27"/>
  <c r="I600" i="27" s="1"/>
  <c r="K433" i="27"/>
  <c r="X236" i="27"/>
  <c r="J236" i="27" s="1"/>
  <c r="W236" i="27"/>
  <c r="I236" i="27" s="1"/>
  <c r="V236" i="27"/>
  <c r="H236" i="27" s="1"/>
  <c r="K236" i="27" s="1"/>
  <c r="W419" i="27"/>
  <c r="I419" i="27" s="1"/>
  <c r="X419" i="27"/>
  <c r="J419" i="27" s="1"/>
  <c r="V419" i="27"/>
  <c r="H419" i="27" s="1"/>
  <c r="R297" i="27"/>
  <c r="U296" i="27"/>
  <c r="X7" i="27"/>
  <c r="J7" i="27" s="1"/>
  <c r="V7" i="27"/>
  <c r="H7" i="27" s="1"/>
  <c r="W7" i="27"/>
  <c r="I7" i="27" s="1"/>
  <c r="R238" i="27"/>
  <c r="U237" i="27"/>
  <c r="V148" i="27"/>
  <c r="H148" i="27" s="1"/>
  <c r="X148" i="27"/>
  <c r="J148" i="27" s="1"/>
  <c r="W148" i="27"/>
  <c r="I148" i="27" s="1"/>
  <c r="W295" i="27"/>
  <c r="I295" i="27" s="1"/>
  <c r="X295" i="27"/>
  <c r="J295" i="27" s="1"/>
  <c r="V295" i="27"/>
  <c r="H295" i="27" s="1"/>
  <c r="U8" i="27"/>
  <c r="R9" i="27"/>
  <c r="U500" i="26"/>
  <c r="R501" i="26"/>
  <c r="K499" i="26"/>
  <c r="K314" i="27" l="1"/>
  <c r="X565" i="27"/>
  <c r="J565" i="27" s="1"/>
  <c r="V565" i="27"/>
  <c r="H565" i="27" s="1"/>
  <c r="W565" i="27"/>
  <c r="I565" i="27" s="1"/>
  <c r="K7" i="27"/>
  <c r="R326" i="27"/>
  <c r="U325" i="27"/>
  <c r="V420" i="27"/>
  <c r="H420" i="27" s="1"/>
  <c r="W420" i="27"/>
  <c r="I420" i="27" s="1"/>
  <c r="X420" i="27"/>
  <c r="J420" i="27" s="1"/>
  <c r="K478" i="27"/>
  <c r="R448" i="27"/>
  <c r="U447" i="27"/>
  <c r="K242" i="27"/>
  <c r="W502" i="27"/>
  <c r="I502" i="27" s="1"/>
  <c r="V502" i="27"/>
  <c r="H502" i="27" s="1"/>
  <c r="X502" i="27"/>
  <c r="J502" i="27" s="1"/>
  <c r="K90" i="27"/>
  <c r="X296" i="27"/>
  <c r="J296" i="27" s="1"/>
  <c r="V296" i="27"/>
  <c r="H296" i="27" s="1"/>
  <c r="W296" i="27"/>
  <c r="I296" i="27" s="1"/>
  <c r="W324" i="27"/>
  <c r="I324" i="27" s="1"/>
  <c r="X324" i="27"/>
  <c r="J324" i="27" s="1"/>
  <c r="V324" i="27"/>
  <c r="H324" i="27" s="1"/>
  <c r="R298" i="27"/>
  <c r="U297" i="27"/>
  <c r="K453" i="27"/>
  <c r="R422" i="27"/>
  <c r="U421" i="27"/>
  <c r="K545" i="27"/>
  <c r="K182" i="27"/>
  <c r="V202" i="27"/>
  <c r="H202" i="27" s="1"/>
  <c r="X202" i="27"/>
  <c r="J202" i="27" s="1"/>
  <c r="W202" i="27"/>
  <c r="I202" i="27" s="1"/>
  <c r="X446" i="27"/>
  <c r="J446" i="27" s="1"/>
  <c r="V446" i="27"/>
  <c r="H446" i="27" s="1"/>
  <c r="W446" i="27"/>
  <c r="I446" i="27" s="1"/>
  <c r="V111" i="27"/>
  <c r="H111" i="27" s="1"/>
  <c r="X111" i="27"/>
  <c r="J111" i="27" s="1"/>
  <c r="W111" i="27"/>
  <c r="I111" i="27" s="1"/>
  <c r="R504" i="27"/>
  <c r="U503" i="27"/>
  <c r="K419" i="27"/>
  <c r="U578" i="27"/>
  <c r="R579" i="27"/>
  <c r="L622" i="27"/>
  <c r="K524" i="27"/>
  <c r="R204" i="27"/>
  <c r="U204" i="27" s="1"/>
  <c r="U203" i="27"/>
  <c r="K445" i="27"/>
  <c r="U171" i="27"/>
  <c r="R172" i="27"/>
  <c r="U112" i="27"/>
  <c r="R113" i="27"/>
  <c r="V626" i="27"/>
  <c r="H626" i="27" s="1"/>
  <c r="X626" i="27"/>
  <c r="J626" i="27" s="1"/>
  <c r="W626" i="27"/>
  <c r="I626" i="27" s="1"/>
  <c r="R337" i="27"/>
  <c r="U336" i="27"/>
  <c r="R38" i="27"/>
  <c r="U37" i="27"/>
  <c r="R548" i="27"/>
  <c r="U547" i="27"/>
  <c r="R58" i="27"/>
  <c r="U57" i="27"/>
  <c r="V8" i="27"/>
  <c r="H8" i="27" s="1"/>
  <c r="W8" i="27"/>
  <c r="I8" i="27" s="1"/>
  <c r="X8" i="27"/>
  <c r="J8" i="27" s="1"/>
  <c r="R151" i="27"/>
  <c r="U150" i="27"/>
  <c r="V546" i="27"/>
  <c r="H546" i="27" s="1"/>
  <c r="X546" i="27"/>
  <c r="J546" i="27" s="1"/>
  <c r="W546" i="27"/>
  <c r="I546" i="27" s="1"/>
  <c r="X455" i="27"/>
  <c r="J455" i="27" s="1"/>
  <c r="W455" i="27"/>
  <c r="I455" i="27" s="1"/>
  <c r="V455" i="27"/>
  <c r="H455" i="27" s="1"/>
  <c r="K455" i="27" s="1"/>
  <c r="U245" i="27"/>
  <c r="R246" i="27"/>
  <c r="V56" i="27"/>
  <c r="H56" i="27" s="1"/>
  <c r="X56" i="27"/>
  <c r="J56" i="27" s="1"/>
  <c r="W56" i="27"/>
  <c r="I56" i="27" s="1"/>
  <c r="X206" i="27"/>
  <c r="J206" i="27" s="1"/>
  <c r="W206" i="27"/>
  <c r="I206" i="27" s="1"/>
  <c r="V206" i="27"/>
  <c r="H206" i="27" s="1"/>
  <c r="K206" i="27" s="1"/>
  <c r="R77" i="27"/>
  <c r="U76" i="27"/>
  <c r="R30" i="27"/>
  <c r="U29" i="27"/>
  <c r="K454" i="27"/>
  <c r="R628" i="27"/>
  <c r="U627" i="27"/>
  <c r="X335" i="27"/>
  <c r="J335" i="27" s="1"/>
  <c r="W335" i="27"/>
  <c r="I335" i="27" s="1"/>
  <c r="V335" i="27"/>
  <c r="H335" i="27" s="1"/>
  <c r="K359" i="27"/>
  <c r="K575" i="27"/>
  <c r="R362" i="27"/>
  <c r="U361" i="27"/>
  <c r="K109" i="27"/>
  <c r="X123" i="27"/>
  <c r="J123" i="27" s="1"/>
  <c r="V123" i="27"/>
  <c r="H123" i="27" s="1"/>
  <c r="W123" i="27"/>
  <c r="I123" i="27" s="1"/>
  <c r="R317" i="27"/>
  <c r="U316" i="27"/>
  <c r="K6" i="27"/>
  <c r="W75" i="27"/>
  <c r="I75" i="27" s="1"/>
  <c r="V75" i="27"/>
  <c r="H75" i="27" s="1"/>
  <c r="X75" i="27"/>
  <c r="J75" i="27" s="1"/>
  <c r="X149" i="27"/>
  <c r="J149" i="27" s="1"/>
  <c r="W149" i="27"/>
  <c r="I149" i="27" s="1"/>
  <c r="V149" i="27"/>
  <c r="H149" i="27" s="1"/>
  <c r="U184" i="27"/>
  <c r="R185" i="27"/>
  <c r="K147" i="27"/>
  <c r="K27" i="27"/>
  <c r="W437" i="27"/>
  <c r="I437" i="27" s="1"/>
  <c r="X437" i="27"/>
  <c r="J437" i="27" s="1"/>
  <c r="V437" i="27"/>
  <c r="H437" i="27" s="1"/>
  <c r="K201" i="27"/>
  <c r="U124" i="27"/>
  <c r="R125" i="27"/>
  <c r="K373" i="27"/>
  <c r="V315" i="27"/>
  <c r="H315" i="27" s="1"/>
  <c r="K315" i="27" s="1"/>
  <c r="X315" i="27"/>
  <c r="J315" i="27" s="1"/>
  <c r="W315" i="27"/>
  <c r="I315" i="27" s="1"/>
  <c r="K273" i="27"/>
  <c r="R567" i="27"/>
  <c r="U566" i="27"/>
  <c r="X577" i="27"/>
  <c r="J577" i="27" s="1"/>
  <c r="W577" i="27"/>
  <c r="I577" i="27" s="1"/>
  <c r="V577" i="27"/>
  <c r="H577" i="27" s="1"/>
  <c r="K577" i="27" s="1"/>
  <c r="K392" i="27"/>
  <c r="R10" i="27"/>
  <c r="U9" i="27"/>
  <c r="V36" i="27"/>
  <c r="H36" i="27" s="1"/>
  <c r="X36" i="27"/>
  <c r="J36" i="27" s="1"/>
  <c r="W36" i="27"/>
  <c r="I36" i="27" s="1"/>
  <c r="K295" i="27"/>
  <c r="R457" i="27"/>
  <c r="U456" i="27"/>
  <c r="K54" i="27"/>
  <c r="V91" i="27"/>
  <c r="H91" i="27" s="1"/>
  <c r="X91" i="27"/>
  <c r="J91" i="27" s="1"/>
  <c r="W91" i="27"/>
  <c r="I91" i="27" s="1"/>
  <c r="W479" i="27"/>
  <c r="I479" i="27" s="1"/>
  <c r="X479" i="27"/>
  <c r="J479" i="27" s="1"/>
  <c r="V479" i="27"/>
  <c r="H479" i="27" s="1"/>
  <c r="U375" i="27"/>
  <c r="R376" i="27"/>
  <c r="K110" i="27"/>
  <c r="K169" i="27"/>
  <c r="K74" i="27"/>
  <c r="R208" i="27"/>
  <c r="U207" i="27"/>
  <c r="U92" i="27"/>
  <c r="R93" i="27"/>
  <c r="R439" i="27"/>
  <c r="U438" i="27"/>
  <c r="X374" i="27"/>
  <c r="J374" i="27" s="1"/>
  <c r="W374" i="27"/>
  <c r="I374" i="27" s="1"/>
  <c r="V374" i="27"/>
  <c r="H374" i="27" s="1"/>
  <c r="K374" i="27" s="1"/>
  <c r="K148" i="27"/>
  <c r="R603" i="27"/>
  <c r="U602" i="27"/>
  <c r="X237" i="27"/>
  <c r="J237" i="27" s="1"/>
  <c r="W237" i="27"/>
  <c r="I237" i="27" s="1"/>
  <c r="V237" i="27"/>
  <c r="H237" i="27" s="1"/>
  <c r="X525" i="27"/>
  <c r="J525" i="27" s="1"/>
  <c r="W525" i="27"/>
  <c r="I525" i="27" s="1"/>
  <c r="V525" i="27"/>
  <c r="H525" i="27" s="1"/>
  <c r="V601" i="27"/>
  <c r="H601" i="27" s="1"/>
  <c r="X601" i="27"/>
  <c r="J601" i="27" s="1"/>
  <c r="W601" i="27"/>
  <c r="I601" i="27" s="1"/>
  <c r="X216" i="27"/>
  <c r="J216" i="27" s="1"/>
  <c r="W216" i="27"/>
  <c r="I216" i="27" s="1"/>
  <c r="V216" i="27"/>
  <c r="H216" i="27" s="1"/>
  <c r="K216" i="27" s="1"/>
  <c r="K200" i="27"/>
  <c r="R481" i="27"/>
  <c r="U480" i="27"/>
  <c r="X275" i="27"/>
  <c r="J275" i="27" s="1"/>
  <c r="W275" i="27"/>
  <c r="I275" i="27" s="1"/>
  <c r="V275" i="27"/>
  <c r="H275" i="27" s="1"/>
  <c r="K275" i="27" s="1"/>
  <c r="K205" i="27"/>
  <c r="K418" i="27"/>
  <c r="W183" i="27"/>
  <c r="I183" i="27" s="1"/>
  <c r="V183" i="27"/>
  <c r="H183" i="27" s="1"/>
  <c r="X183" i="27"/>
  <c r="J183" i="27" s="1"/>
  <c r="X360" i="27"/>
  <c r="J360" i="27" s="1"/>
  <c r="W360" i="27"/>
  <c r="I360" i="27" s="1"/>
  <c r="V360" i="27"/>
  <c r="H360" i="27" s="1"/>
  <c r="K360" i="27" s="1"/>
  <c r="R527" i="27"/>
  <c r="U526" i="27"/>
  <c r="U238" i="27"/>
  <c r="R239" i="27"/>
  <c r="K599" i="27"/>
  <c r="U217" i="27"/>
  <c r="R218" i="27"/>
  <c r="K35" i="27"/>
  <c r="R259" i="27"/>
  <c r="U258" i="27"/>
  <c r="X395" i="27"/>
  <c r="J395" i="27" s="1"/>
  <c r="V395" i="27"/>
  <c r="H395" i="27" s="1"/>
  <c r="W395" i="27"/>
  <c r="I395" i="27" s="1"/>
  <c r="R277" i="27"/>
  <c r="U276" i="27"/>
  <c r="K564" i="27"/>
  <c r="K121" i="27"/>
  <c r="K215" i="27"/>
  <c r="W170" i="27"/>
  <c r="I170" i="27" s="1"/>
  <c r="V170" i="27"/>
  <c r="H170" i="27" s="1"/>
  <c r="X170" i="27"/>
  <c r="J170" i="27" s="1"/>
  <c r="X244" i="27"/>
  <c r="J244" i="27" s="1"/>
  <c r="W244" i="27"/>
  <c r="I244" i="27" s="1"/>
  <c r="V244" i="27"/>
  <c r="H244" i="27" s="1"/>
  <c r="L433" i="27"/>
  <c r="X28" i="27"/>
  <c r="J28" i="27" s="1"/>
  <c r="W28" i="27"/>
  <c r="I28" i="27" s="1"/>
  <c r="V28" i="27"/>
  <c r="H28" i="27" s="1"/>
  <c r="K28" i="27" s="1"/>
  <c r="X257" i="27"/>
  <c r="J257" i="27" s="1"/>
  <c r="W257" i="27"/>
  <c r="I257" i="27" s="1"/>
  <c r="V257" i="27"/>
  <c r="H257" i="27" s="1"/>
  <c r="U396" i="27"/>
  <c r="R397" i="27"/>
  <c r="U501" i="26"/>
  <c r="R502" i="26"/>
  <c r="V500" i="26"/>
  <c r="H500" i="26" s="1"/>
  <c r="X500" i="26"/>
  <c r="J500" i="26" s="1"/>
  <c r="W500" i="26"/>
  <c r="I500" i="26" s="1"/>
  <c r="K237" i="27" l="1"/>
  <c r="X57" i="27"/>
  <c r="J57" i="27" s="1"/>
  <c r="V57" i="27"/>
  <c r="H57" i="27" s="1"/>
  <c r="W57" i="27"/>
  <c r="I57" i="27" s="1"/>
  <c r="R126" i="27"/>
  <c r="U125" i="27"/>
  <c r="U58" i="27"/>
  <c r="R59" i="27"/>
  <c r="W203" i="27"/>
  <c r="I203" i="27" s="1"/>
  <c r="I204" i="27" s="1"/>
  <c r="V203" i="27"/>
  <c r="H203" i="27" s="1"/>
  <c r="X203" i="27"/>
  <c r="J203" i="27" s="1"/>
  <c r="J204" i="27" s="1"/>
  <c r="K8" i="27"/>
  <c r="W124" i="27"/>
  <c r="I124" i="27" s="1"/>
  <c r="X124" i="27"/>
  <c r="J124" i="27" s="1"/>
  <c r="V124" i="27"/>
  <c r="H124" i="27" s="1"/>
  <c r="W547" i="27"/>
  <c r="I547" i="27" s="1"/>
  <c r="X547" i="27"/>
  <c r="J547" i="27" s="1"/>
  <c r="V547" i="27"/>
  <c r="H547" i="27" s="1"/>
  <c r="V204" i="27"/>
  <c r="X204" i="27"/>
  <c r="W204" i="27"/>
  <c r="K446" i="27"/>
  <c r="X238" i="27"/>
  <c r="J238" i="27" s="1"/>
  <c r="W238" i="27"/>
  <c r="I238" i="27" s="1"/>
  <c r="V238" i="27"/>
  <c r="H238" i="27" s="1"/>
  <c r="K238" i="27" s="1"/>
  <c r="X602" i="27"/>
  <c r="J602" i="27" s="1"/>
  <c r="V602" i="27"/>
  <c r="H602" i="27" s="1"/>
  <c r="W602" i="27"/>
  <c r="I602" i="27" s="1"/>
  <c r="K36" i="27"/>
  <c r="K75" i="27"/>
  <c r="R549" i="27"/>
  <c r="U548" i="27"/>
  <c r="K420" i="27"/>
  <c r="R78" i="27"/>
  <c r="U77" i="27"/>
  <c r="V276" i="27"/>
  <c r="H276" i="27" s="1"/>
  <c r="X276" i="27"/>
  <c r="J276" i="27" s="1"/>
  <c r="W276" i="27"/>
  <c r="I276" i="27" s="1"/>
  <c r="X526" i="27"/>
  <c r="J526" i="27" s="1"/>
  <c r="W526" i="27"/>
  <c r="I526" i="27" s="1"/>
  <c r="V526" i="27"/>
  <c r="H526" i="27" s="1"/>
  <c r="K526" i="27" s="1"/>
  <c r="R604" i="27"/>
  <c r="U603" i="27"/>
  <c r="U376" i="27"/>
  <c r="R377" i="27"/>
  <c r="X9" i="27"/>
  <c r="J9" i="27" s="1"/>
  <c r="V9" i="27"/>
  <c r="H9" i="27" s="1"/>
  <c r="K9" i="27" s="1"/>
  <c r="W9" i="27"/>
  <c r="I9" i="27" s="1"/>
  <c r="K437" i="27"/>
  <c r="K56" i="27"/>
  <c r="X37" i="27"/>
  <c r="J37" i="27" s="1"/>
  <c r="W37" i="27"/>
  <c r="I37" i="27" s="1"/>
  <c r="V37" i="27"/>
  <c r="H37" i="27" s="1"/>
  <c r="K37" i="27" s="1"/>
  <c r="K296" i="27"/>
  <c r="X325" i="27"/>
  <c r="J325" i="27" s="1"/>
  <c r="W325" i="27"/>
  <c r="I325" i="27" s="1"/>
  <c r="V325" i="27"/>
  <c r="H325" i="27" s="1"/>
  <c r="K325" i="27" s="1"/>
  <c r="K202" i="27"/>
  <c r="U246" i="27"/>
  <c r="R247" i="27"/>
  <c r="W336" i="27"/>
  <c r="I336" i="27" s="1"/>
  <c r="V336" i="27"/>
  <c r="H336" i="27" s="1"/>
  <c r="X336" i="27"/>
  <c r="J336" i="27" s="1"/>
  <c r="L90" i="27"/>
  <c r="X375" i="27"/>
  <c r="J375" i="27" s="1"/>
  <c r="W375" i="27"/>
  <c r="I375" i="27" s="1"/>
  <c r="V375" i="27"/>
  <c r="H375" i="27" s="1"/>
  <c r="R398" i="27"/>
  <c r="U397" i="27"/>
  <c r="U457" i="27"/>
  <c r="R458" i="27"/>
  <c r="R528" i="27"/>
  <c r="U527" i="27"/>
  <c r="U326" i="27"/>
  <c r="R327" i="27"/>
  <c r="V480" i="27"/>
  <c r="H480" i="27" s="1"/>
  <c r="W480" i="27"/>
  <c r="I480" i="27" s="1"/>
  <c r="X480" i="27"/>
  <c r="J480" i="27" s="1"/>
  <c r="U239" i="27"/>
  <c r="R240" i="27"/>
  <c r="U240" i="27" s="1"/>
  <c r="R11" i="27"/>
  <c r="U10" i="27"/>
  <c r="K479" i="27"/>
  <c r="R338" i="27"/>
  <c r="U337" i="27"/>
  <c r="H204" i="27"/>
  <c r="R580" i="27"/>
  <c r="U579" i="27"/>
  <c r="L119" i="27"/>
  <c r="L200" i="27"/>
  <c r="W578" i="27"/>
  <c r="I578" i="27" s="1"/>
  <c r="X578" i="27"/>
  <c r="J578" i="27" s="1"/>
  <c r="V578" i="27"/>
  <c r="H578" i="27" s="1"/>
  <c r="R94" i="27"/>
  <c r="U93" i="27"/>
  <c r="K91" i="27"/>
  <c r="U567" i="27"/>
  <c r="R568" i="27"/>
  <c r="R629" i="27"/>
  <c r="U628" i="27"/>
  <c r="W421" i="27"/>
  <c r="I421" i="27" s="1"/>
  <c r="X421" i="27"/>
  <c r="J421" i="27" s="1"/>
  <c r="V421" i="27"/>
  <c r="H421" i="27" s="1"/>
  <c r="K395" i="27"/>
  <c r="K502" i="27"/>
  <c r="X566" i="27"/>
  <c r="J566" i="27" s="1"/>
  <c r="V566" i="27"/>
  <c r="H566" i="27" s="1"/>
  <c r="W566" i="27"/>
  <c r="I566" i="27" s="1"/>
  <c r="V627" i="27"/>
  <c r="H627" i="27" s="1"/>
  <c r="X627" i="27"/>
  <c r="J627" i="27" s="1"/>
  <c r="W627" i="27"/>
  <c r="I627" i="27" s="1"/>
  <c r="W258" i="27"/>
  <c r="I258" i="27" s="1"/>
  <c r="X258" i="27"/>
  <c r="J258" i="27" s="1"/>
  <c r="V258" i="27"/>
  <c r="H258" i="27" s="1"/>
  <c r="K258" i="27" s="1"/>
  <c r="K183" i="27"/>
  <c r="X92" i="27"/>
  <c r="J92" i="27" s="1"/>
  <c r="V92" i="27"/>
  <c r="H92" i="27" s="1"/>
  <c r="W92" i="27"/>
  <c r="I92" i="27" s="1"/>
  <c r="U422" i="27"/>
  <c r="R423" i="27"/>
  <c r="L443" i="27"/>
  <c r="L314" i="27"/>
  <c r="X396" i="27"/>
  <c r="J396" i="27" s="1"/>
  <c r="W396" i="27"/>
  <c r="I396" i="27" s="1"/>
  <c r="V396" i="27"/>
  <c r="H396" i="27" s="1"/>
  <c r="X316" i="27"/>
  <c r="J316" i="27" s="1"/>
  <c r="V316" i="27"/>
  <c r="H316" i="27" s="1"/>
  <c r="W316" i="27"/>
  <c r="I316" i="27" s="1"/>
  <c r="W245" i="27"/>
  <c r="I245" i="27" s="1"/>
  <c r="V245" i="27"/>
  <c r="H245" i="27" s="1"/>
  <c r="X245" i="27"/>
  <c r="J245" i="27" s="1"/>
  <c r="R260" i="27"/>
  <c r="U259" i="27"/>
  <c r="K626" i="27"/>
  <c r="X503" i="27"/>
  <c r="J503" i="27" s="1"/>
  <c r="W503" i="27"/>
  <c r="I503" i="27" s="1"/>
  <c r="V503" i="27"/>
  <c r="H503" i="27" s="1"/>
  <c r="R449" i="27"/>
  <c r="U448" i="27"/>
  <c r="K335" i="27"/>
  <c r="R318" i="27"/>
  <c r="U317" i="27"/>
  <c r="K244" i="27"/>
  <c r="V207" i="27"/>
  <c r="H207" i="27" s="1"/>
  <c r="X207" i="27"/>
  <c r="J207" i="27" s="1"/>
  <c r="W207" i="27"/>
  <c r="I207" i="27" s="1"/>
  <c r="W361" i="27"/>
  <c r="I361" i="27" s="1"/>
  <c r="V361" i="27"/>
  <c r="H361" i="27" s="1"/>
  <c r="X361" i="27"/>
  <c r="J361" i="27" s="1"/>
  <c r="K546" i="27"/>
  <c r="U504" i="27"/>
  <c r="R505" i="27"/>
  <c r="W171" i="27"/>
  <c r="I171" i="27" s="1"/>
  <c r="V171" i="27"/>
  <c r="H171" i="27" s="1"/>
  <c r="X171" i="27"/>
  <c r="J171" i="27" s="1"/>
  <c r="X438" i="27"/>
  <c r="J438" i="27" s="1"/>
  <c r="V438" i="27"/>
  <c r="H438" i="27" s="1"/>
  <c r="W438" i="27"/>
  <c r="I438" i="27" s="1"/>
  <c r="K123" i="27"/>
  <c r="U208" i="27"/>
  <c r="R209" i="27"/>
  <c r="R186" i="27"/>
  <c r="U185" i="27"/>
  <c r="U362" i="27"/>
  <c r="R363" i="27"/>
  <c r="X29" i="27"/>
  <c r="J29" i="27" s="1"/>
  <c r="W29" i="27"/>
  <c r="I29" i="27" s="1"/>
  <c r="V29" i="27"/>
  <c r="H29" i="27" s="1"/>
  <c r="K29" i="27" s="1"/>
  <c r="X150" i="27"/>
  <c r="J150" i="27" s="1"/>
  <c r="W150" i="27"/>
  <c r="I150" i="27" s="1"/>
  <c r="V150" i="27"/>
  <c r="H150" i="27" s="1"/>
  <c r="K150" i="27" s="1"/>
  <c r="U113" i="27"/>
  <c r="R114" i="27"/>
  <c r="X297" i="27"/>
  <c r="J297" i="27" s="1"/>
  <c r="W297" i="27"/>
  <c r="I297" i="27" s="1"/>
  <c r="V297" i="27"/>
  <c r="H297" i="27" s="1"/>
  <c r="K257" i="27"/>
  <c r="R39" i="27"/>
  <c r="U38" i="27"/>
  <c r="K565" i="27"/>
  <c r="U439" i="27"/>
  <c r="R440" i="27"/>
  <c r="U218" i="27"/>
  <c r="R219" i="27"/>
  <c r="K601" i="27"/>
  <c r="W184" i="27"/>
  <c r="I184" i="27" s="1"/>
  <c r="V184" i="27"/>
  <c r="H184" i="27" s="1"/>
  <c r="X184" i="27"/>
  <c r="J184" i="27" s="1"/>
  <c r="U30" i="27"/>
  <c r="R31" i="27"/>
  <c r="U151" i="27"/>
  <c r="R152" i="27"/>
  <c r="X112" i="27"/>
  <c r="J112" i="27" s="1"/>
  <c r="W112" i="27"/>
  <c r="I112" i="27" s="1"/>
  <c r="V112" i="27"/>
  <c r="H112" i="27" s="1"/>
  <c r="U298" i="27"/>
  <c r="R299" i="27"/>
  <c r="L241" i="27"/>
  <c r="U277" i="27"/>
  <c r="R278" i="27"/>
  <c r="U481" i="27"/>
  <c r="R482" i="27"/>
  <c r="K170" i="27"/>
  <c r="X217" i="27"/>
  <c r="J217" i="27" s="1"/>
  <c r="W217" i="27"/>
  <c r="I217" i="27" s="1"/>
  <c r="V217" i="27"/>
  <c r="H217" i="27" s="1"/>
  <c r="K525" i="27"/>
  <c r="X456" i="27"/>
  <c r="J456" i="27" s="1"/>
  <c r="W456" i="27"/>
  <c r="I456" i="27" s="1"/>
  <c r="V456" i="27"/>
  <c r="H456" i="27" s="1"/>
  <c r="K456" i="27" s="1"/>
  <c r="K149" i="27"/>
  <c r="X76" i="27"/>
  <c r="J76" i="27" s="1"/>
  <c r="W76" i="27"/>
  <c r="I76" i="27" s="1"/>
  <c r="V76" i="27"/>
  <c r="H76" i="27" s="1"/>
  <c r="R173" i="27"/>
  <c r="U172" i="27"/>
  <c r="K111" i="27"/>
  <c r="K324" i="27"/>
  <c r="X447" i="27"/>
  <c r="J447" i="27" s="1"/>
  <c r="V447" i="27"/>
  <c r="H447" i="27" s="1"/>
  <c r="W447" i="27"/>
  <c r="I447" i="27" s="1"/>
  <c r="U502" i="26"/>
  <c r="R503" i="26"/>
  <c r="K500" i="26"/>
  <c r="X501" i="26"/>
  <c r="J501" i="26" s="1"/>
  <c r="W501" i="26"/>
  <c r="I501" i="26" s="1"/>
  <c r="V501" i="26"/>
  <c r="H501" i="26" s="1"/>
  <c r="K501" i="26" s="1"/>
  <c r="T416" i="26"/>
  <c r="S416" i="26"/>
  <c r="T415" i="26"/>
  <c r="S415" i="26"/>
  <c r="T414" i="26"/>
  <c r="S414" i="26"/>
  <c r="T413" i="26"/>
  <c r="S413" i="26"/>
  <c r="T412" i="26"/>
  <c r="S412" i="26"/>
  <c r="T411" i="26"/>
  <c r="S411" i="26"/>
  <c r="T410" i="26"/>
  <c r="S410" i="26"/>
  <c r="T409" i="26"/>
  <c r="S409" i="26"/>
  <c r="T408" i="26"/>
  <c r="S408" i="26"/>
  <c r="T407" i="26"/>
  <c r="S407" i="26"/>
  <c r="T406" i="26"/>
  <c r="S406" i="26"/>
  <c r="T405" i="26"/>
  <c r="S405" i="26"/>
  <c r="T404" i="26"/>
  <c r="S404" i="26"/>
  <c r="T403" i="26"/>
  <c r="S403" i="26"/>
  <c r="T402" i="26"/>
  <c r="S402" i="26"/>
  <c r="T401" i="26"/>
  <c r="S401" i="26"/>
  <c r="T400" i="26"/>
  <c r="S400" i="26"/>
  <c r="T399" i="26"/>
  <c r="S399" i="26"/>
  <c r="T398" i="26"/>
  <c r="S398" i="26"/>
  <c r="T397" i="26"/>
  <c r="S397" i="26"/>
  <c r="T396" i="26"/>
  <c r="S396" i="26"/>
  <c r="T395" i="26"/>
  <c r="S395" i="26"/>
  <c r="T394" i="26"/>
  <c r="S394" i="26"/>
  <c r="T393" i="26"/>
  <c r="S393" i="26"/>
  <c r="T392" i="26"/>
  <c r="S392" i="26"/>
  <c r="T391" i="26"/>
  <c r="S391" i="26"/>
  <c r="R391" i="26"/>
  <c r="R392" i="26" s="1"/>
  <c r="T321" i="26"/>
  <c r="S321" i="26"/>
  <c r="T320" i="26"/>
  <c r="S320" i="26"/>
  <c r="T319" i="26"/>
  <c r="S319" i="26"/>
  <c r="T318" i="26"/>
  <c r="S318" i="26"/>
  <c r="T317" i="26"/>
  <c r="S317" i="26"/>
  <c r="T316" i="26"/>
  <c r="S316" i="26"/>
  <c r="T315" i="26"/>
  <c r="S315" i="26"/>
  <c r="T314" i="26"/>
  <c r="S314" i="26"/>
  <c r="R314" i="26"/>
  <c r="R315" i="26" s="1"/>
  <c r="T117" i="26"/>
  <c r="S117" i="26"/>
  <c r="T116" i="26"/>
  <c r="S116" i="26"/>
  <c r="T115" i="26"/>
  <c r="S115" i="26"/>
  <c r="T114" i="26"/>
  <c r="S114" i="26"/>
  <c r="T113" i="26"/>
  <c r="S113" i="26"/>
  <c r="T112" i="26"/>
  <c r="S112" i="26"/>
  <c r="T111" i="26"/>
  <c r="S111" i="26"/>
  <c r="T110" i="26"/>
  <c r="S110" i="26"/>
  <c r="T109" i="26"/>
  <c r="S109" i="26"/>
  <c r="T108" i="26"/>
  <c r="S108" i="26"/>
  <c r="T107" i="26"/>
  <c r="S107" i="26"/>
  <c r="R107" i="26"/>
  <c r="R108" i="26" s="1"/>
  <c r="T464" i="26"/>
  <c r="S464" i="26"/>
  <c r="T463" i="26"/>
  <c r="S463" i="26"/>
  <c r="S7" i="26"/>
  <c r="T7" i="26"/>
  <c r="S8" i="26"/>
  <c r="T8" i="26"/>
  <c r="S9" i="26"/>
  <c r="T9" i="26"/>
  <c r="S10" i="26"/>
  <c r="T10" i="26"/>
  <c r="S11" i="26"/>
  <c r="T11" i="26"/>
  <c r="S12" i="26"/>
  <c r="T12" i="26"/>
  <c r="S13" i="26"/>
  <c r="T13" i="26"/>
  <c r="S14" i="26"/>
  <c r="T14" i="26"/>
  <c r="S15" i="26"/>
  <c r="T15" i="26"/>
  <c r="S16" i="26"/>
  <c r="T16" i="26"/>
  <c r="S17" i="26"/>
  <c r="T17" i="26"/>
  <c r="S18" i="26"/>
  <c r="T18" i="26"/>
  <c r="S19" i="26"/>
  <c r="T19" i="26"/>
  <c r="S20" i="26"/>
  <c r="T20" i="26"/>
  <c r="S21" i="26"/>
  <c r="T21" i="26"/>
  <c r="S22" i="26"/>
  <c r="T22" i="26"/>
  <c r="S23" i="26"/>
  <c r="T23" i="26"/>
  <c r="S24" i="26"/>
  <c r="T24" i="26"/>
  <c r="R25" i="26"/>
  <c r="S25" i="26"/>
  <c r="T25" i="26"/>
  <c r="S26" i="26"/>
  <c r="T26" i="26"/>
  <c r="S27" i="26"/>
  <c r="T27" i="26"/>
  <c r="S28" i="26"/>
  <c r="T28" i="26"/>
  <c r="S29" i="26"/>
  <c r="T29" i="26"/>
  <c r="S30" i="26"/>
  <c r="T30" i="26"/>
  <c r="S31" i="26"/>
  <c r="T31" i="26"/>
  <c r="S32" i="26"/>
  <c r="T32" i="26"/>
  <c r="S33" i="26"/>
  <c r="T33" i="26"/>
  <c r="R34" i="26"/>
  <c r="R35" i="26" s="1"/>
  <c r="S34" i="26"/>
  <c r="T34" i="26"/>
  <c r="S35" i="26"/>
  <c r="T35" i="26"/>
  <c r="S36" i="26"/>
  <c r="T36" i="26"/>
  <c r="S37" i="26"/>
  <c r="T37" i="26"/>
  <c r="S38" i="26"/>
  <c r="T38" i="26"/>
  <c r="S39" i="26"/>
  <c r="T39" i="26"/>
  <c r="S40" i="26"/>
  <c r="T40" i="26"/>
  <c r="S41" i="26"/>
  <c r="T41" i="26"/>
  <c r="S42" i="26"/>
  <c r="T42" i="26"/>
  <c r="S43" i="26"/>
  <c r="T43" i="26"/>
  <c r="S44" i="26"/>
  <c r="T44" i="26"/>
  <c r="S45" i="26"/>
  <c r="T45" i="26"/>
  <c r="S46" i="26"/>
  <c r="T46" i="26"/>
  <c r="S47" i="26"/>
  <c r="T47" i="26"/>
  <c r="S48" i="26"/>
  <c r="T48" i="26"/>
  <c r="S49" i="26"/>
  <c r="T49" i="26"/>
  <c r="S50" i="26"/>
  <c r="T50" i="26"/>
  <c r="S51" i="26"/>
  <c r="T51" i="26"/>
  <c r="S52" i="26"/>
  <c r="T52" i="26"/>
  <c r="S53" i="26"/>
  <c r="T53" i="26"/>
  <c r="R54" i="26"/>
  <c r="S54" i="26"/>
  <c r="T54" i="26"/>
  <c r="S55" i="26"/>
  <c r="T55" i="26"/>
  <c r="S56" i="26"/>
  <c r="T56" i="26"/>
  <c r="S57" i="26"/>
  <c r="T57" i="26"/>
  <c r="S58" i="26"/>
  <c r="T58" i="26"/>
  <c r="S59" i="26"/>
  <c r="T59" i="26"/>
  <c r="S60" i="26"/>
  <c r="T60" i="26"/>
  <c r="S61" i="26"/>
  <c r="T61" i="26"/>
  <c r="S62" i="26"/>
  <c r="T62" i="26"/>
  <c r="S63" i="26"/>
  <c r="T63" i="26"/>
  <c r="S64" i="26"/>
  <c r="T64" i="26"/>
  <c r="S65" i="26"/>
  <c r="T65" i="26"/>
  <c r="S66" i="26"/>
  <c r="T66" i="26"/>
  <c r="S67" i="26"/>
  <c r="T67" i="26"/>
  <c r="S68" i="26"/>
  <c r="T68" i="26"/>
  <c r="S69" i="26"/>
  <c r="T69" i="26"/>
  <c r="S70" i="26"/>
  <c r="T70" i="26"/>
  <c r="S71" i="26"/>
  <c r="T71" i="26"/>
  <c r="S72" i="26"/>
  <c r="T72" i="26"/>
  <c r="R73" i="26"/>
  <c r="S73" i="26"/>
  <c r="T73" i="26"/>
  <c r="R74" i="26"/>
  <c r="R75" i="26" s="1"/>
  <c r="S74" i="26"/>
  <c r="T74" i="26"/>
  <c r="S75" i="26"/>
  <c r="T75" i="26"/>
  <c r="S76" i="26"/>
  <c r="T76" i="26"/>
  <c r="S77" i="26"/>
  <c r="T77" i="26"/>
  <c r="S78" i="26"/>
  <c r="T78" i="26"/>
  <c r="S79" i="26"/>
  <c r="T79" i="26"/>
  <c r="S80" i="26"/>
  <c r="T80" i="26"/>
  <c r="S81" i="26"/>
  <c r="T81" i="26"/>
  <c r="S82" i="26"/>
  <c r="T82" i="26"/>
  <c r="S83" i="26"/>
  <c r="T83" i="26"/>
  <c r="S84" i="26"/>
  <c r="T84" i="26"/>
  <c r="S85" i="26"/>
  <c r="T85" i="26"/>
  <c r="S86" i="26"/>
  <c r="T86" i="26"/>
  <c r="S87" i="26"/>
  <c r="T87" i="26"/>
  <c r="S88" i="26"/>
  <c r="T88" i="26"/>
  <c r="S89" i="26"/>
  <c r="T89" i="26"/>
  <c r="R90" i="26"/>
  <c r="S90" i="26"/>
  <c r="T90" i="26"/>
  <c r="S91" i="26"/>
  <c r="T91" i="26"/>
  <c r="S92" i="26"/>
  <c r="T92" i="26"/>
  <c r="S93" i="26"/>
  <c r="T93" i="26"/>
  <c r="S94" i="26"/>
  <c r="T94" i="26"/>
  <c r="S95" i="26"/>
  <c r="T95" i="26"/>
  <c r="S96" i="26"/>
  <c r="T96" i="26"/>
  <c r="S97" i="26"/>
  <c r="T97" i="26"/>
  <c r="S98" i="26"/>
  <c r="T98" i="26"/>
  <c r="S99" i="26"/>
  <c r="T99" i="26"/>
  <c r="S100" i="26"/>
  <c r="T100" i="26"/>
  <c r="S101" i="26"/>
  <c r="T101" i="26"/>
  <c r="S102" i="26"/>
  <c r="T102" i="26"/>
  <c r="S103" i="26"/>
  <c r="T103" i="26"/>
  <c r="S104" i="26"/>
  <c r="T104" i="26"/>
  <c r="S105" i="26"/>
  <c r="T105" i="26"/>
  <c r="S106" i="26"/>
  <c r="T106" i="26"/>
  <c r="R118" i="26"/>
  <c r="S118" i="26"/>
  <c r="T118" i="26"/>
  <c r="R119" i="26"/>
  <c r="S119" i="26"/>
  <c r="T119" i="26"/>
  <c r="S120" i="26"/>
  <c r="T120" i="26"/>
  <c r="S121" i="26"/>
  <c r="T121" i="26"/>
  <c r="S122" i="26"/>
  <c r="T122" i="26"/>
  <c r="S123" i="26"/>
  <c r="T123" i="26"/>
  <c r="S124" i="26"/>
  <c r="T124" i="26"/>
  <c r="S125" i="26"/>
  <c r="T125" i="26"/>
  <c r="S126" i="26"/>
  <c r="T126" i="26"/>
  <c r="S127" i="26"/>
  <c r="T127" i="26"/>
  <c r="S128" i="26"/>
  <c r="T128" i="26"/>
  <c r="S129" i="26"/>
  <c r="T129" i="26"/>
  <c r="S130" i="26"/>
  <c r="T130" i="26"/>
  <c r="S131" i="26"/>
  <c r="T131" i="26"/>
  <c r="S132" i="26"/>
  <c r="T132" i="26"/>
  <c r="S133" i="26"/>
  <c r="T133" i="26"/>
  <c r="S134" i="26"/>
  <c r="T134" i="26"/>
  <c r="S135" i="26"/>
  <c r="T135" i="26"/>
  <c r="S136" i="26"/>
  <c r="T136" i="26"/>
  <c r="S137" i="26"/>
  <c r="T137" i="26"/>
  <c r="S138" i="26"/>
  <c r="T138" i="26"/>
  <c r="S139" i="26"/>
  <c r="T139" i="26"/>
  <c r="S140" i="26"/>
  <c r="T140" i="26"/>
  <c r="S141" i="26"/>
  <c r="T141" i="26"/>
  <c r="S142" i="26"/>
  <c r="T142" i="26"/>
  <c r="S143" i="26"/>
  <c r="T143" i="26"/>
  <c r="S144" i="26"/>
  <c r="T144" i="26"/>
  <c r="S145" i="26"/>
  <c r="T145" i="26"/>
  <c r="R146" i="26"/>
  <c r="S146" i="26"/>
  <c r="T146" i="26"/>
  <c r="S147" i="26"/>
  <c r="T147" i="26"/>
  <c r="S148" i="26"/>
  <c r="T148" i="26"/>
  <c r="S149" i="26"/>
  <c r="T149" i="26"/>
  <c r="S150" i="26"/>
  <c r="T150" i="26"/>
  <c r="S151" i="26"/>
  <c r="T151" i="26"/>
  <c r="S152" i="26"/>
  <c r="T152" i="26"/>
  <c r="S153" i="26"/>
  <c r="T153" i="26"/>
  <c r="S154" i="26"/>
  <c r="T154" i="26"/>
  <c r="S155" i="26"/>
  <c r="T155" i="26"/>
  <c r="S156" i="26"/>
  <c r="T156" i="26"/>
  <c r="S157" i="26"/>
  <c r="T157" i="26"/>
  <c r="S158" i="26"/>
  <c r="T158" i="26"/>
  <c r="S159" i="26"/>
  <c r="T159" i="26"/>
  <c r="S160" i="26"/>
  <c r="T160" i="26"/>
  <c r="S161" i="26"/>
  <c r="T161" i="26"/>
  <c r="S162" i="26"/>
  <c r="T162" i="26"/>
  <c r="S163" i="26"/>
  <c r="T163" i="26"/>
  <c r="S164" i="26"/>
  <c r="T164" i="26"/>
  <c r="S165" i="26"/>
  <c r="T165" i="26"/>
  <c r="R166" i="26"/>
  <c r="S166" i="26"/>
  <c r="T166" i="26"/>
  <c r="R167" i="26"/>
  <c r="S167" i="26"/>
  <c r="T167" i="26"/>
  <c r="S168" i="26"/>
  <c r="T168" i="26"/>
  <c r="S169" i="26"/>
  <c r="T169" i="26"/>
  <c r="S170" i="26"/>
  <c r="T170" i="26"/>
  <c r="S171" i="26"/>
  <c r="T171" i="26"/>
  <c r="S172" i="26"/>
  <c r="T172" i="26"/>
  <c r="S173" i="26"/>
  <c r="T173" i="26"/>
  <c r="S174" i="26"/>
  <c r="T174" i="26"/>
  <c r="S175" i="26"/>
  <c r="T175" i="26"/>
  <c r="S176" i="26"/>
  <c r="T176" i="26"/>
  <c r="S177" i="26"/>
  <c r="T177" i="26"/>
  <c r="S178" i="26"/>
  <c r="T178" i="26"/>
  <c r="S179" i="26"/>
  <c r="T179" i="26"/>
  <c r="S180" i="26"/>
  <c r="T180" i="26"/>
  <c r="R181" i="26"/>
  <c r="R182" i="26" s="1"/>
  <c r="S181" i="26"/>
  <c r="T181" i="26"/>
  <c r="S182" i="26"/>
  <c r="T182" i="26"/>
  <c r="S183" i="26"/>
  <c r="T183" i="26"/>
  <c r="S184" i="26"/>
  <c r="T184" i="26"/>
  <c r="S185" i="26"/>
  <c r="T185" i="26"/>
  <c r="S186" i="26"/>
  <c r="T186" i="26"/>
  <c r="S187" i="26"/>
  <c r="T187" i="26"/>
  <c r="S188" i="26"/>
  <c r="T188" i="26"/>
  <c r="S189" i="26"/>
  <c r="T189" i="26"/>
  <c r="S190" i="26"/>
  <c r="T190" i="26"/>
  <c r="S191" i="26"/>
  <c r="T191" i="26"/>
  <c r="S192" i="26"/>
  <c r="T192" i="26"/>
  <c r="S193" i="26"/>
  <c r="T193" i="26"/>
  <c r="S194" i="26"/>
  <c r="T194" i="26"/>
  <c r="S195" i="26"/>
  <c r="T195" i="26"/>
  <c r="S196" i="26"/>
  <c r="T196" i="26"/>
  <c r="S197" i="26"/>
  <c r="T197" i="26"/>
  <c r="S198" i="26"/>
  <c r="T198" i="26"/>
  <c r="S199" i="26"/>
  <c r="T199" i="26"/>
  <c r="R200" i="26"/>
  <c r="S200" i="26"/>
  <c r="T200" i="26"/>
  <c r="S201" i="26"/>
  <c r="T201" i="26"/>
  <c r="S202" i="26"/>
  <c r="T202" i="26"/>
  <c r="S203" i="26"/>
  <c r="T203" i="26"/>
  <c r="S204" i="26"/>
  <c r="T204" i="26"/>
  <c r="R205" i="26"/>
  <c r="R206" i="26" s="1"/>
  <c r="S205" i="26"/>
  <c r="T205" i="26"/>
  <c r="S206" i="26"/>
  <c r="T206" i="26"/>
  <c r="S207" i="26"/>
  <c r="T207" i="26"/>
  <c r="S208" i="26"/>
  <c r="T208" i="26"/>
  <c r="S209" i="26"/>
  <c r="T209" i="26"/>
  <c r="S210" i="26"/>
  <c r="T210" i="26"/>
  <c r="S211" i="26"/>
  <c r="T211" i="26"/>
  <c r="R212" i="26"/>
  <c r="R213" i="26" s="1"/>
  <c r="S212" i="26"/>
  <c r="T212" i="26"/>
  <c r="S213" i="26"/>
  <c r="T213" i="26"/>
  <c r="R214" i="26"/>
  <c r="R215" i="26" s="1"/>
  <c r="S214" i="26"/>
  <c r="T214" i="26"/>
  <c r="S215" i="26"/>
  <c r="T215" i="26"/>
  <c r="S216" i="26"/>
  <c r="T216" i="26"/>
  <c r="S217" i="26"/>
  <c r="T217" i="26"/>
  <c r="S218" i="26"/>
  <c r="T218" i="26"/>
  <c r="S219" i="26"/>
  <c r="T219" i="26"/>
  <c r="S220" i="26"/>
  <c r="T220" i="26"/>
  <c r="S221" i="26"/>
  <c r="T221" i="26"/>
  <c r="S222" i="26"/>
  <c r="T222" i="26"/>
  <c r="S223" i="26"/>
  <c r="T223" i="26"/>
  <c r="S224" i="26"/>
  <c r="T224" i="26"/>
  <c r="S225" i="26"/>
  <c r="T225" i="26"/>
  <c r="S226" i="26"/>
  <c r="T226" i="26"/>
  <c r="S227" i="26"/>
  <c r="T227" i="26"/>
  <c r="S228" i="26"/>
  <c r="T228" i="26"/>
  <c r="S229" i="26"/>
  <c r="T229" i="26"/>
  <c r="S230" i="26"/>
  <c r="T230" i="26"/>
  <c r="S231" i="26"/>
  <c r="T231" i="26"/>
  <c r="S232" i="26"/>
  <c r="T232" i="26"/>
  <c r="R233" i="26"/>
  <c r="S233" i="26"/>
  <c r="T233" i="26"/>
  <c r="S234" i="26"/>
  <c r="T234" i="26"/>
  <c r="S235" i="26"/>
  <c r="T235" i="26"/>
  <c r="S236" i="26"/>
  <c r="T236" i="26"/>
  <c r="S237" i="26"/>
  <c r="T237" i="26"/>
  <c r="S238" i="26"/>
  <c r="T238" i="26"/>
  <c r="S239" i="26"/>
  <c r="T239" i="26"/>
  <c r="S240" i="26"/>
  <c r="T240" i="26"/>
  <c r="R241" i="26"/>
  <c r="S241" i="26"/>
  <c r="T241" i="26"/>
  <c r="S242" i="26"/>
  <c r="T242" i="26"/>
  <c r="S243" i="26"/>
  <c r="T243" i="26"/>
  <c r="S244" i="26"/>
  <c r="T244" i="26"/>
  <c r="S245" i="26"/>
  <c r="T245" i="26"/>
  <c r="S246" i="26"/>
  <c r="T246" i="26"/>
  <c r="S247" i="26"/>
  <c r="T247" i="26"/>
  <c r="S248" i="26"/>
  <c r="T248" i="26"/>
  <c r="S249" i="26"/>
  <c r="T249" i="26"/>
  <c r="S250" i="26"/>
  <c r="T250" i="26"/>
  <c r="S251" i="26"/>
  <c r="T251" i="26"/>
  <c r="S252" i="26"/>
  <c r="T252" i="26"/>
  <c r="R253" i="26"/>
  <c r="S253" i="26"/>
  <c r="T253" i="26"/>
  <c r="R254" i="26"/>
  <c r="S254" i="26"/>
  <c r="T254" i="26"/>
  <c r="S255" i="26"/>
  <c r="T255" i="26"/>
  <c r="S256" i="26"/>
  <c r="T256" i="26"/>
  <c r="S257" i="26"/>
  <c r="T257" i="26"/>
  <c r="S258" i="26"/>
  <c r="T258" i="26"/>
  <c r="S259" i="26"/>
  <c r="T259" i="26"/>
  <c r="S260" i="26"/>
  <c r="T260" i="26"/>
  <c r="S261" i="26"/>
  <c r="T261" i="26"/>
  <c r="S262" i="26"/>
  <c r="T262" i="26"/>
  <c r="S263" i="26"/>
  <c r="T263" i="26"/>
  <c r="S264" i="26"/>
  <c r="T264" i="26"/>
  <c r="S265" i="26"/>
  <c r="T265" i="26"/>
  <c r="S266" i="26"/>
  <c r="T266" i="26"/>
  <c r="S267" i="26"/>
  <c r="T267" i="26"/>
  <c r="S268" i="26"/>
  <c r="T268" i="26"/>
  <c r="S269" i="26"/>
  <c r="T269" i="26"/>
  <c r="S270" i="26"/>
  <c r="T270" i="26"/>
  <c r="S271" i="26"/>
  <c r="T271" i="26"/>
  <c r="S272" i="26"/>
  <c r="T272" i="26"/>
  <c r="R273" i="26"/>
  <c r="S273" i="26"/>
  <c r="T273" i="26"/>
  <c r="S274" i="26"/>
  <c r="T274" i="26"/>
  <c r="S275" i="26"/>
  <c r="T275" i="26"/>
  <c r="S276" i="26"/>
  <c r="T276" i="26"/>
  <c r="S277" i="26"/>
  <c r="T277" i="26"/>
  <c r="S278" i="26"/>
  <c r="T278" i="26"/>
  <c r="S279" i="26"/>
  <c r="T279" i="26"/>
  <c r="S280" i="26"/>
  <c r="T280" i="26"/>
  <c r="S281" i="26"/>
  <c r="T281" i="26"/>
  <c r="S282" i="26"/>
  <c r="T282" i="26"/>
  <c r="S283" i="26"/>
  <c r="T283" i="26"/>
  <c r="S284" i="26"/>
  <c r="T284" i="26"/>
  <c r="S285" i="26"/>
  <c r="T285" i="26"/>
  <c r="S286" i="26"/>
  <c r="T286" i="26"/>
  <c r="S287" i="26"/>
  <c r="T287" i="26"/>
  <c r="S288" i="26"/>
  <c r="T288" i="26"/>
  <c r="S289" i="26"/>
  <c r="T289" i="26"/>
  <c r="S290" i="26"/>
  <c r="T290" i="26"/>
  <c r="S291" i="26"/>
  <c r="T291" i="26"/>
  <c r="S292" i="26"/>
  <c r="T292" i="26"/>
  <c r="S293" i="26"/>
  <c r="T293" i="26"/>
  <c r="S294" i="26"/>
  <c r="T294" i="26"/>
  <c r="R295" i="26"/>
  <c r="R296" i="26" s="1"/>
  <c r="R297" i="26" s="1"/>
  <c r="R298" i="26" s="1"/>
  <c r="R299" i="26" s="1"/>
  <c r="S295" i="26"/>
  <c r="T295" i="26"/>
  <c r="S296" i="26"/>
  <c r="T296" i="26"/>
  <c r="S297" i="26"/>
  <c r="T297" i="26"/>
  <c r="S298" i="26"/>
  <c r="T298" i="26"/>
  <c r="S299" i="26"/>
  <c r="T299" i="26"/>
  <c r="S300" i="26"/>
  <c r="T300" i="26"/>
  <c r="S301" i="26"/>
  <c r="T301" i="26"/>
  <c r="S302" i="26"/>
  <c r="T302" i="26"/>
  <c r="S303" i="26"/>
  <c r="T303" i="26"/>
  <c r="S304" i="26"/>
  <c r="T304" i="26"/>
  <c r="S305" i="26"/>
  <c r="T305" i="26"/>
  <c r="S306" i="26"/>
  <c r="T306" i="26"/>
  <c r="S307" i="26"/>
  <c r="T307" i="26"/>
  <c r="S308" i="26"/>
  <c r="T308" i="26"/>
  <c r="S309" i="26"/>
  <c r="T309" i="26"/>
  <c r="S310" i="26"/>
  <c r="T310" i="26"/>
  <c r="S311" i="26"/>
  <c r="T311" i="26"/>
  <c r="S312" i="26"/>
  <c r="T312" i="26"/>
  <c r="S313" i="26"/>
  <c r="T313" i="26"/>
  <c r="R322" i="26"/>
  <c r="S322" i="26"/>
  <c r="T322" i="26"/>
  <c r="R323" i="26"/>
  <c r="S323" i="26"/>
  <c r="T323" i="26"/>
  <c r="S324" i="26"/>
  <c r="T324" i="26"/>
  <c r="S325" i="26"/>
  <c r="T325" i="26"/>
  <c r="S326" i="26"/>
  <c r="T326" i="26"/>
  <c r="S327" i="26"/>
  <c r="T327" i="26"/>
  <c r="S328" i="26"/>
  <c r="T328" i="26"/>
  <c r="S329" i="26"/>
  <c r="T329" i="26"/>
  <c r="S330" i="26"/>
  <c r="T330" i="26"/>
  <c r="S331" i="26"/>
  <c r="T331" i="26"/>
  <c r="S332" i="26"/>
  <c r="T332" i="26"/>
  <c r="R333" i="26"/>
  <c r="S333" i="26"/>
  <c r="T333" i="26"/>
  <c r="S334" i="26"/>
  <c r="T334" i="26"/>
  <c r="S335" i="26"/>
  <c r="T335" i="26"/>
  <c r="S336" i="26"/>
  <c r="T336" i="26"/>
  <c r="S337" i="26"/>
  <c r="T337" i="26"/>
  <c r="S338" i="26"/>
  <c r="T338" i="26"/>
  <c r="S339" i="26"/>
  <c r="T339" i="26"/>
  <c r="S340" i="26"/>
  <c r="T340" i="26"/>
  <c r="S341" i="26"/>
  <c r="T341" i="26"/>
  <c r="S342" i="26"/>
  <c r="T342" i="26"/>
  <c r="S343" i="26"/>
  <c r="T343" i="26"/>
  <c r="S344" i="26"/>
  <c r="T344" i="26"/>
  <c r="S345" i="26"/>
  <c r="T345" i="26"/>
  <c r="S346" i="26"/>
  <c r="T346" i="26"/>
  <c r="S347" i="26"/>
  <c r="T347" i="26"/>
  <c r="S348" i="26"/>
  <c r="T348" i="26"/>
  <c r="S349" i="26"/>
  <c r="T349" i="26"/>
  <c r="S350" i="26"/>
  <c r="T350" i="26"/>
  <c r="S351" i="26"/>
  <c r="T351" i="26"/>
  <c r="S352" i="26"/>
  <c r="T352" i="26"/>
  <c r="S353" i="26"/>
  <c r="T353" i="26"/>
  <c r="S354" i="26"/>
  <c r="T354" i="26"/>
  <c r="S355" i="26"/>
  <c r="T355" i="26"/>
  <c r="S356" i="26"/>
  <c r="T356" i="26"/>
  <c r="S357" i="26"/>
  <c r="T357" i="26"/>
  <c r="S358" i="26"/>
  <c r="T358" i="26"/>
  <c r="R359" i="26"/>
  <c r="R360" i="26" s="1"/>
  <c r="S359" i="26"/>
  <c r="T359" i="26"/>
  <c r="S360" i="26"/>
  <c r="T360" i="26"/>
  <c r="S361" i="26"/>
  <c r="T361" i="26"/>
  <c r="S362" i="26"/>
  <c r="T362" i="26"/>
  <c r="S363" i="26"/>
  <c r="T363" i="26"/>
  <c r="S364" i="26"/>
  <c r="T364" i="26"/>
  <c r="S365" i="26"/>
  <c r="T365" i="26"/>
  <c r="S366" i="26"/>
  <c r="T366" i="26"/>
  <c r="S367" i="26"/>
  <c r="T367" i="26"/>
  <c r="S368" i="26"/>
  <c r="T368" i="26"/>
  <c r="S369" i="26"/>
  <c r="T369" i="26"/>
  <c r="S370" i="26"/>
  <c r="T370" i="26"/>
  <c r="R371" i="26"/>
  <c r="S371" i="26"/>
  <c r="T371" i="26"/>
  <c r="S372" i="26"/>
  <c r="T372" i="26"/>
  <c r="R373" i="26"/>
  <c r="S373" i="26"/>
  <c r="T373" i="26"/>
  <c r="S374" i="26"/>
  <c r="T374" i="26"/>
  <c r="S375" i="26"/>
  <c r="T375" i="26"/>
  <c r="S376" i="26"/>
  <c r="T376" i="26"/>
  <c r="S377" i="26"/>
  <c r="T377" i="26"/>
  <c r="S378" i="26"/>
  <c r="T378" i="26"/>
  <c r="S379" i="26"/>
  <c r="T379" i="26"/>
  <c r="S380" i="26"/>
  <c r="T380" i="26"/>
  <c r="S381" i="26"/>
  <c r="T381" i="26"/>
  <c r="S382" i="26"/>
  <c r="T382" i="26"/>
  <c r="S383" i="26"/>
  <c r="T383" i="26"/>
  <c r="S384" i="26"/>
  <c r="T384" i="26"/>
  <c r="S385" i="26"/>
  <c r="T385" i="26"/>
  <c r="S386" i="26"/>
  <c r="T386" i="26"/>
  <c r="S387" i="26"/>
  <c r="T387" i="26"/>
  <c r="S388" i="26"/>
  <c r="T388" i="26"/>
  <c r="S389" i="26"/>
  <c r="T389" i="26"/>
  <c r="S390" i="26"/>
  <c r="T390" i="26"/>
  <c r="R417" i="26"/>
  <c r="S417" i="26"/>
  <c r="T417" i="26"/>
  <c r="S418" i="26"/>
  <c r="T418" i="26"/>
  <c r="S419" i="26"/>
  <c r="T419" i="26"/>
  <c r="S420" i="26"/>
  <c r="T420" i="26"/>
  <c r="S421" i="26"/>
  <c r="T421" i="26"/>
  <c r="S422" i="26"/>
  <c r="T422" i="26"/>
  <c r="S423" i="26"/>
  <c r="T423" i="26"/>
  <c r="S424" i="26"/>
  <c r="T424" i="26"/>
  <c r="S425" i="26"/>
  <c r="T425" i="26"/>
  <c r="S426" i="26"/>
  <c r="T426" i="26"/>
  <c r="S427" i="26"/>
  <c r="T427" i="26"/>
  <c r="S428" i="26"/>
  <c r="T428" i="26"/>
  <c r="S429" i="26"/>
  <c r="T429" i="26"/>
  <c r="S430" i="26"/>
  <c r="T430" i="26"/>
  <c r="S431" i="26"/>
  <c r="T431" i="26"/>
  <c r="S432" i="26"/>
  <c r="T432" i="26"/>
  <c r="R433" i="26"/>
  <c r="R434" i="26" s="1"/>
  <c r="R435" i="26" s="1"/>
  <c r="S433" i="26"/>
  <c r="T433" i="26"/>
  <c r="S434" i="26"/>
  <c r="T434" i="26"/>
  <c r="S435" i="26"/>
  <c r="T435" i="26"/>
  <c r="S436" i="26"/>
  <c r="T436" i="26"/>
  <c r="S437" i="26"/>
  <c r="T437" i="26"/>
  <c r="S438" i="26"/>
  <c r="T438" i="26"/>
  <c r="S439" i="26"/>
  <c r="T439" i="26"/>
  <c r="S440" i="26"/>
  <c r="T440" i="26"/>
  <c r="S441" i="26"/>
  <c r="T441" i="26"/>
  <c r="R442" i="26"/>
  <c r="S442" i="26"/>
  <c r="T442" i="26"/>
  <c r="R443" i="26"/>
  <c r="S443" i="26"/>
  <c r="T443" i="26"/>
  <c r="S444" i="26"/>
  <c r="T444" i="26"/>
  <c r="S445" i="26"/>
  <c r="T445" i="26"/>
  <c r="S446" i="26"/>
  <c r="T446" i="26"/>
  <c r="S447" i="26"/>
  <c r="T447" i="26"/>
  <c r="S448" i="26"/>
  <c r="T448" i="26"/>
  <c r="S449" i="26"/>
  <c r="T449" i="26"/>
  <c r="S450" i="26"/>
  <c r="T450" i="26"/>
  <c r="S451" i="26"/>
  <c r="T451" i="26"/>
  <c r="S452" i="26"/>
  <c r="T452" i="26"/>
  <c r="R453" i="26"/>
  <c r="S453" i="26"/>
  <c r="T453" i="26"/>
  <c r="S454" i="26"/>
  <c r="T454" i="26"/>
  <c r="S455" i="26"/>
  <c r="T455" i="26"/>
  <c r="S456" i="26"/>
  <c r="T456" i="26"/>
  <c r="S457" i="26"/>
  <c r="T457" i="26"/>
  <c r="S458" i="26"/>
  <c r="T458" i="26"/>
  <c r="S459" i="26"/>
  <c r="T459" i="26"/>
  <c r="S460" i="26"/>
  <c r="T460" i="26"/>
  <c r="S461" i="26"/>
  <c r="T461" i="26"/>
  <c r="S462" i="26"/>
  <c r="T462" i="26"/>
  <c r="S465" i="26"/>
  <c r="T465" i="26"/>
  <c r="S466" i="26"/>
  <c r="T466" i="26"/>
  <c r="S467" i="26"/>
  <c r="T467" i="26"/>
  <c r="S468" i="26"/>
  <c r="T468" i="26"/>
  <c r="S469" i="26"/>
  <c r="T469" i="26"/>
  <c r="S470" i="26"/>
  <c r="T470" i="26"/>
  <c r="S471" i="26"/>
  <c r="T471" i="26"/>
  <c r="S472" i="26"/>
  <c r="T472" i="26"/>
  <c r="S473" i="26"/>
  <c r="T473" i="26"/>
  <c r="S474" i="26"/>
  <c r="T474" i="26"/>
  <c r="S475" i="26"/>
  <c r="T475" i="26"/>
  <c r="R476" i="26"/>
  <c r="S476" i="26"/>
  <c r="T476" i="26"/>
  <c r="S477" i="26"/>
  <c r="T477" i="26"/>
  <c r="S478" i="26"/>
  <c r="T478" i="26"/>
  <c r="S479" i="26"/>
  <c r="T479" i="26"/>
  <c r="S480" i="26"/>
  <c r="T480" i="26"/>
  <c r="S481" i="26"/>
  <c r="T481" i="26"/>
  <c r="S482" i="26"/>
  <c r="T482" i="26"/>
  <c r="S483" i="26"/>
  <c r="T483" i="26"/>
  <c r="S484" i="26"/>
  <c r="T484" i="26"/>
  <c r="S485" i="26"/>
  <c r="T485" i="26"/>
  <c r="S486" i="26"/>
  <c r="T486" i="26"/>
  <c r="S487" i="26"/>
  <c r="T487" i="26"/>
  <c r="S488" i="26"/>
  <c r="T488" i="26"/>
  <c r="S489" i="26"/>
  <c r="T489" i="26"/>
  <c r="S490" i="26"/>
  <c r="T490" i="26"/>
  <c r="S491" i="26"/>
  <c r="T491" i="26"/>
  <c r="S492" i="26"/>
  <c r="T492" i="26"/>
  <c r="S493" i="26"/>
  <c r="T493" i="26"/>
  <c r="S494" i="26"/>
  <c r="T494" i="26"/>
  <c r="S495" i="26"/>
  <c r="T495" i="26"/>
  <c r="S496" i="26"/>
  <c r="T496" i="26"/>
  <c r="S497" i="26"/>
  <c r="T497" i="26"/>
  <c r="S498" i="26"/>
  <c r="T498" i="26"/>
  <c r="R521" i="26"/>
  <c r="S521" i="26"/>
  <c r="T521" i="26"/>
  <c r="R522" i="26"/>
  <c r="S522" i="26"/>
  <c r="T522" i="26"/>
  <c r="S523" i="26"/>
  <c r="T523" i="26"/>
  <c r="S524" i="26"/>
  <c r="T524" i="26"/>
  <c r="S525" i="26"/>
  <c r="T525" i="26"/>
  <c r="S526" i="26"/>
  <c r="T526" i="26"/>
  <c r="S527" i="26"/>
  <c r="T527" i="26"/>
  <c r="S528" i="26"/>
  <c r="T528" i="26"/>
  <c r="S529" i="26"/>
  <c r="T529" i="26"/>
  <c r="S530" i="26"/>
  <c r="T530" i="26"/>
  <c r="S531" i="26"/>
  <c r="T531" i="26"/>
  <c r="S532" i="26"/>
  <c r="T532" i="26"/>
  <c r="S533" i="26"/>
  <c r="T533" i="26"/>
  <c r="S534" i="26"/>
  <c r="T534" i="26"/>
  <c r="S535" i="26"/>
  <c r="T535" i="26"/>
  <c r="S536" i="26"/>
  <c r="T536" i="26"/>
  <c r="S537" i="26"/>
  <c r="T537" i="26"/>
  <c r="S538" i="26"/>
  <c r="T538" i="26"/>
  <c r="S539" i="26"/>
  <c r="T539" i="26"/>
  <c r="S540" i="26"/>
  <c r="T540" i="26"/>
  <c r="S541" i="26"/>
  <c r="T541" i="26"/>
  <c r="S542" i="26"/>
  <c r="T542" i="26"/>
  <c r="S543" i="26"/>
  <c r="T543" i="26"/>
  <c r="S544" i="26"/>
  <c r="T544" i="26"/>
  <c r="R545" i="26"/>
  <c r="R546" i="26" s="1"/>
  <c r="S545" i="26"/>
  <c r="T545" i="26"/>
  <c r="S546" i="26"/>
  <c r="T546" i="26"/>
  <c r="S547" i="26"/>
  <c r="T547" i="26"/>
  <c r="S548" i="26"/>
  <c r="T548" i="26"/>
  <c r="S549" i="26"/>
  <c r="T549" i="26"/>
  <c r="S550" i="26"/>
  <c r="T550" i="26"/>
  <c r="S551" i="26"/>
  <c r="T551" i="26"/>
  <c r="S552" i="26"/>
  <c r="T552" i="26"/>
  <c r="S553" i="26"/>
  <c r="T553" i="26"/>
  <c r="S554" i="26"/>
  <c r="T554" i="26"/>
  <c r="S555" i="26"/>
  <c r="T555" i="26"/>
  <c r="S556" i="26"/>
  <c r="T556" i="26"/>
  <c r="S557" i="26"/>
  <c r="T557" i="26"/>
  <c r="S558" i="26"/>
  <c r="T558" i="26"/>
  <c r="S559" i="26"/>
  <c r="T559" i="26"/>
  <c r="S560" i="26"/>
  <c r="T560" i="26"/>
  <c r="S561" i="26"/>
  <c r="T561" i="26"/>
  <c r="S562" i="26"/>
  <c r="T562" i="26"/>
  <c r="R563" i="26"/>
  <c r="S563" i="26"/>
  <c r="T563" i="26"/>
  <c r="S564" i="26"/>
  <c r="T564" i="26"/>
  <c r="S565" i="26"/>
  <c r="T565" i="26"/>
  <c r="S566" i="26"/>
  <c r="T566" i="26"/>
  <c r="S567" i="26"/>
  <c r="T567" i="26"/>
  <c r="S568" i="26"/>
  <c r="T568" i="26"/>
  <c r="S569" i="26"/>
  <c r="T569" i="26"/>
  <c r="S570" i="26"/>
  <c r="T570" i="26"/>
  <c r="S571" i="26"/>
  <c r="T571" i="26"/>
  <c r="S572" i="26"/>
  <c r="T572" i="26"/>
  <c r="S573" i="26"/>
  <c r="T573" i="26"/>
  <c r="S574" i="26"/>
  <c r="T574" i="26"/>
  <c r="R575" i="26"/>
  <c r="S575" i="26"/>
  <c r="T575" i="26"/>
  <c r="S576" i="26"/>
  <c r="T576" i="26"/>
  <c r="S577" i="26"/>
  <c r="T577" i="26"/>
  <c r="S578" i="26"/>
  <c r="T578" i="26"/>
  <c r="S579" i="26"/>
  <c r="T579" i="26"/>
  <c r="S580" i="26"/>
  <c r="T580" i="26"/>
  <c r="S581" i="26"/>
  <c r="T581" i="26"/>
  <c r="S582" i="26"/>
  <c r="T582" i="26"/>
  <c r="S583" i="26"/>
  <c r="T583" i="26"/>
  <c r="S584" i="26"/>
  <c r="T584" i="26"/>
  <c r="S585" i="26"/>
  <c r="T585" i="26"/>
  <c r="S586" i="26"/>
  <c r="T586" i="26"/>
  <c r="S587" i="26"/>
  <c r="T587" i="26"/>
  <c r="S588" i="26"/>
  <c r="T588" i="26"/>
  <c r="S589" i="26"/>
  <c r="T589" i="26"/>
  <c r="S590" i="26"/>
  <c r="T590" i="26"/>
  <c r="S591" i="26"/>
  <c r="T591" i="26"/>
  <c r="S592" i="26"/>
  <c r="T592" i="26"/>
  <c r="S593" i="26"/>
  <c r="T593" i="26"/>
  <c r="S594" i="26"/>
  <c r="T594" i="26"/>
  <c r="S595" i="26"/>
  <c r="T595" i="26"/>
  <c r="S596" i="26"/>
  <c r="T596" i="26"/>
  <c r="S597" i="26"/>
  <c r="T597" i="26"/>
  <c r="R598" i="26"/>
  <c r="S598" i="26"/>
  <c r="T598" i="26"/>
  <c r="R599" i="26"/>
  <c r="S599" i="26"/>
  <c r="T599" i="26"/>
  <c r="S600" i="26"/>
  <c r="T600" i="26"/>
  <c r="S601" i="26"/>
  <c r="T601" i="26"/>
  <c r="S602" i="26"/>
  <c r="T602" i="26"/>
  <c r="S603" i="26"/>
  <c r="T603" i="26"/>
  <c r="S604" i="26"/>
  <c r="T604" i="26"/>
  <c r="S605" i="26"/>
  <c r="T605" i="26"/>
  <c r="S606" i="26"/>
  <c r="T606" i="26"/>
  <c r="S607" i="26"/>
  <c r="T607" i="26"/>
  <c r="S608" i="26"/>
  <c r="T608" i="26"/>
  <c r="S609" i="26"/>
  <c r="T609" i="26"/>
  <c r="S610" i="26"/>
  <c r="T610" i="26"/>
  <c r="S611" i="26"/>
  <c r="T611" i="26"/>
  <c r="S612" i="26"/>
  <c r="T612" i="26"/>
  <c r="S613" i="26"/>
  <c r="T613" i="26"/>
  <c r="S614" i="26"/>
  <c r="T614" i="26"/>
  <c r="S615" i="26"/>
  <c r="T615" i="26"/>
  <c r="S616" i="26"/>
  <c r="T616" i="26"/>
  <c r="S617" i="26"/>
  <c r="T617" i="26"/>
  <c r="S618" i="26"/>
  <c r="T618" i="26"/>
  <c r="S619" i="26"/>
  <c r="T619" i="26"/>
  <c r="S620" i="26"/>
  <c r="T620" i="26"/>
  <c r="S621" i="26"/>
  <c r="T621" i="26"/>
  <c r="R622" i="26"/>
  <c r="S622" i="26"/>
  <c r="T622" i="26"/>
  <c r="S623" i="26"/>
  <c r="T623" i="26"/>
  <c r="S624" i="26"/>
  <c r="T624" i="26"/>
  <c r="S625" i="26"/>
  <c r="T625" i="26"/>
  <c r="S626" i="26"/>
  <c r="T626" i="26"/>
  <c r="S627" i="26"/>
  <c r="T627" i="26"/>
  <c r="S628" i="26"/>
  <c r="T628" i="26"/>
  <c r="S629" i="26"/>
  <c r="T629" i="26"/>
  <c r="S630" i="26"/>
  <c r="T630" i="26"/>
  <c r="S631" i="26"/>
  <c r="T631" i="26"/>
  <c r="S632" i="26"/>
  <c r="T632" i="26"/>
  <c r="S633" i="26"/>
  <c r="T633" i="26"/>
  <c r="S634" i="26"/>
  <c r="T634" i="26"/>
  <c r="S635" i="26"/>
  <c r="T635" i="26"/>
  <c r="S636" i="26"/>
  <c r="T636" i="26"/>
  <c r="S637" i="26"/>
  <c r="T637" i="26"/>
  <c r="S638" i="26"/>
  <c r="T638" i="26"/>
  <c r="T6" i="26"/>
  <c r="S6" i="26"/>
  <c r="R6" i="26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3" i="11"/>
  <c r="U219" i="27" l="1"/>
  <c r="R220" i="27"/>
  <c r="K316" i="27"/>
  <c r="U449" i="27"/>
  <c r="R450" i="27"/>
  <c r="K578" i="27"/>
  <c r="R79" i="27"/>
  <c r="U78" i="27"/>
  <c r="L146" i="27"/>
  <c r="R300" i="27"/>
  <c r="U299" i="27"/>
  <c r="U440" i="27"/>
  <c r="R441" i="27"/>
  <c r="U441" i="27" s="1"/>
  <c r="K396" i="27"/>
  <c r="K627" i="27"/>
  <c r="K547" i="27"/>
  <c r="K57" i="27"/>
  <c r="U423" i="27"/>
  <c r="R424" i="27"/>
  <c r="X113" i="27"/>
  <c r="J113" i="27" s="1"/>
  <c r="V113" i="27"/>
  <c r="H113" i="27" s="1"/>
  <c r="K113" i="27" s="1"/>
  <c r="W113" i="27"/>
  <c r="I113" i="27" s="1"/>
  <c r="W298" i="27"/>
  <c r="I298" i="27" s="1"/>
  <c r="V298" i="27"/>
  <c r="H298" i="27" s="1"/>
  <c r="X298" i="27"/>
  <c r="J298" i="27" s="1"/>
  <c r="V439" i="27"/>
  <c r="H439" i="27" s="1"/>
  <c r="X439" i="27"/>
  <c r="J439" i="27" s="1"/>
  <c r="W439" i="27"/>
  <c r="I439" i="27" s="1"/>
  <c r="U505" i="27"/>
  <c r="R506" i="27"/>
  <c r="R153" i="27"/>
  <c r="U152" i="27"/>
  <c r="K171" i="27"/>
  <c r="U94" i="27"/>
  <c r="R95" i="27"/>
  <c r="V77" i="27"/>
  <c r="H77" i="27" s="1"/>
  <c r="X77" i="27"/>
  <c r="J77" i="27" s="1"/>
  <c r="W77" i="27"/>
  <c r="I77" i="27" s="1"/>
  <c r="X504" i="27"/>
  <c r="J504" i="27" s="1"/>
  <c r="W504" i="27"/>
  <c r="I504" i="27" s="1"/>
  <c r="V504" i="27"/>
  <c r="H504" i="27" s="1"/>
  <c r="K503" i="27"/>
  <c r="L499" i="27" s="1"/>
  <c r="K566" i="27"/>
  <c r="K480" i="27"/>
  <c r="L476" i="27" s="1"/>
  <c r="X185" i="27"/>
  <c r="J185" i="27" s="1"/>
  <c r="W185" i="27"/>
  <c r="I185" i="27" s="1"/>
  <c r="V185" i="27"/>
  <c r="H185" i="27" s="1"/>
  <c r="K185" i="27" s="1"/>
  <c r="X277" i="27"/>
  <c r="J277" i="27" s="1"/>
  <c r="W277" i="27"/>
  <c r="I277" i="27" s="1"/>
  <c r="V277" i="27"/>
  <c r="H277" i="27" s="1"/>
  <c r="X93" i="27"/>
  <c r="J93" i="27" s="1"/>
  <c r="V93" i="27"/>
  <c r="H93" i="27" s="1"/>
  <c r="K93" i="27" s="1"/>
  <c r="W93" i="27"/>
  <c r="I93" i="27" s="1"/>
  <c r="X239" i="27"/>
  <c r="J239" i="27" s="1"/>
  <c r="J240" i="27" s="1"/>
  <c r="W239" i="27"/>
  <c r="I239" i="27" s="1"/>
  <c r="I240" i="27" s="1"/>
  <c r="V239" i="27"/>
  <c r="H239" i="27" s="1"/>
  <c r="R127" i="27"/>
  <c r="U126" i="27"/>
  <c r="X218" i="27"/>
  <c r="J218" i="27" s="1"/>
  <c r="W218" i="27"/>
  <c r="I218" i="27" s="1"/>
  <c r="V218" i="27"/>
  <c r="H218" i="27" s="1"/>
  <c r="K218" i="27" s="1"/>
  <c r="X448" i="27"/>
  <c r="J448" i="27" s="1"/>
  <c r="W448" i="27"/>
  <c r="I448" i="27" s="1"/>
  <c r="V448" i="27"/>
  <c r="H448" i="27" s="1"/>
  <c r="K448" i="27" s="1"/>
  <c r="K112" i="27"/>
  <c r="R328" i="27"/>
  <c r="U327" i="27"/>
  <c r="L624" i="27"/>
  <c r="R364" i="27"/>
  <c r="U363" i="27"/>
  <c r="W326" i="27"/>
  <c r="I326" i="27" s="1"/>
  <c r="V326" i="27"/>
  <c r="H326" i="27" s="1"/>
  <c r="X326" i="27"/>
  <c r="J326" i="27" s="1"/>
  <c r="X548" i="27"/>
  <c r="J548" i="27" s="1"/>
  <c r="V548" i="27"/>
  <c r="H548" i="27" s="1"/>
  <c r="W548" i="27"/>
  <c r="I548" i="27" s="1"/>
  <c r="K124" i="27"/>
  <c r="X362" i="27"/>
  <c r="J362" i="27" s="1"/>
  <c r="W362" i="27"/>
  <c r="I362" i="27" s="1"/>
  <c r="V362" i="27"/>
  <c r="H362" i="27" s="1"/>
  <c r="K362" i="27" s="1"/>
  <c r="K361" i="27"/>
  <c r="X579" i="27"/>
  <c r="J579" i="27" s="1"/>
  <c r="W579" i="27"/>
  <c r="I579" i="27" s="1"/>
  <c r="V579" i="27"/>
  <c r="H579" i="27" s="1"/>
  <c r="X527" i="27"/>
  <c r="J527" i="27" s="1"/>
  <c r="W527" i="27"/>
  <c r="I527" i="27" s="1"/>
  <c r="V527" i="27"/>
  <c r="H527" i="27" s="1"/>
  <c r="K527" i="27" s="1"/>
  <c r="K336" i="27"/>
  <c r="U549" i="27"/>
  <c r="R550" i="27"/>
  <c r="K447" i="27"/>
  <c r="V151" i="27"/>
  <c r="H151" i="27" s="1"/>
  <c r="X151" i="27"/>
  <c r="J151" i="27" s="1"/>
  <c r="W151" i="27"/>
  <c r="I151" i="27" s="1"/>
  <c r="U186" i="27"/>
  <c r="R187" i="27"/>
  <c r="V422" i="27"/>
  <c r="H422" i="27" s="1"/>
  <c r="K422" i="27" s="1"/>
  <c r="X422" i="27"/>
  <c r="J422" i="27" s="1"/>
  <c r="W422" i="27"/>
  <c r="I422" i="27" s="1"/>
  <c r="U247" i="27"/>
  <c r="R248" i="27"/>
  <c r="X376" i="27"/>
  <c r="J376" i="27" s="1"/>
  <c r="V376" i="27"/>
  <c r="H376" i="27" s="1"/>
  <c r="W376" i="27"/>
  <c r="I376" i="27" s="1"/>
  <c r="R32" i="27"/>
  <c r="U31" i="27"/>
  <c r="V38" i="27"/>
  <c r="H38" i="27" s="1"/>
  <c r="W38" i="27"/>
  <c r="I38" i="27" s="1"/>
  <c r="X38" i="27"/>
  <c r="J38" i="27" s="1"/>
  <c r="K421" i="27"/>
  <c r="X337" i="27"/>
  <c r="J337" i="27" s="1"/>
  <c r="W337" i="27"/>
  <c r="I337" i="27" s="1"/>
  <c r="V337" i="27"/>
  <c r="H337" i="27" s="1"/>
  <c r="W246" i="27"/>
  <c r="I246" i="27" s="1"/>
  <c r="X246" i="27"/>
  <c r="J246" i="27" s="1"/>
  <c r="V246" i="27"/>
  <c r="H246" i="27" s="1"/>
  <c r="W603" i="27"/>
  <c r="I603" i="27" s="1"/>
  <c r="X603" i="27"/>
  <c r="J603" i="27" s="1"/>
  <c r="V603" i="27"/>
  <c r="H603" i="27" s="1"/>
  <c r="L34" i="27"/>
  <c r="X30" i="27"/>
  <c r="J30" i="27" s="1"/>
  <c r="W30" i="27"/>
  <c r="I30" i="27" s="1"/>
  <c r="V30" i="27"/>
  <c r="H30" i="27" s="1"/>
  <c r="K30" i="27" s="1"/>
  <c r="L254" i="27"/>
  <c r="X208" i="27"/>
  <c r="J208" i="27" s="1"/>
  <c r="W208" i="27"/>
  <c r="I208" i="27" s="1"/>
  <c r="V208" i="27"/>
  <c r="H208" i="27" s="1"/>
  <c r="K208" i="27" s="1"/>
  <c r="K207" i="27"/>
  <c r="K92" i="27"/>
  <c r="X457" i="27"/>
  <c r="J457" i="27" s="1"/>
  <c r="W457" i="27"/>
  <c r="I457" i="27" s="1"/>
  <c r="V457" i="27"/>
  <c r="H457" i="27" s="1"/>
  <c r="K602" i="27"/>
  <c r="L599" i="27" s="1"/>
  <c r="K203" i="27"/>
  <c r="R378" i="27"/>
  <c r="U377" i="27"/>
  <c r="K184" i="27"/>
  <c r="X259" i="27"/>
  <c r="J259" i="27" s="1"/>
  <c r="W259" i="27"/>
  <c r="I259" i="27" s="1"/>
  <c r="V259" i="27"/>
  <c r="H259" i="27" s="1"/>
  <c r="W397" i="27"/>
  <c r="I397" i="27" s="1"/>
  <c r="X397" i="27"/>
  <c r="J397" i="27" s="1"/>
  <c r="V397" i="27"/>
  <c r="H397" i="27" s="1"/>
  <c r="K397" i="27" s="1"/>
  <c r="R529" i="27"/>
  <c r="U528" i="27"/>
  <c r="K297" i="27"/>
  <c r="L122" i="27"/>
  <c r="U260" i="27"/>
  <c r="R261" i="27"/>
  <c r="W628" i="27"/>
  <c r="I628" i="27" s="1"/>
  <c r="X628" i="27"/>
  <c r="J628" i="27" s="1"/>
  <c r="V628" i="27"/>
  <c r="H628" i="27" s="1"/>
  <c r="K628" i="27" s="1"/>
  <c r="R399" i="27"/>
  <c r="U398" i="27"/>
  <c r="R60" i="27"/>
  <c r="U59" i="27"/>
  <c r="L391" i="27"/>
  <c r="U338" i="27"/>
  <c r="R339" i="27"/>
  <c r="V172" i="27"/>
  <c r="H172" i="27" s="1"/>
  <c r="K172" i="27" s="1"/>
  <c r="X172" i="27"/>
  <c r="J172" i="27" s="1"/>
  <c r="W172" i="27"/>
  <c r="I172" i="27" s="1"/>
  <c r="R483" i="27"/>
  <c r="U482" i="27"/>
  <c r="U629" i="27"/>
  <c r="R630" i="27"/>
  <c r="X58" i="27"/>
  <c r="J58" i="27" s="1"/>
  <c r="W58" i="27"/>
  <c r="I58" i="27" s="1"/>
  <c r="V58" i="27"/>
  <c r="H58" i="27" s="1"/>
  <c r="R174" i="27"/>
  <c r="U173" i="27"/>
  <c r="W481" i="27"/>
  <c r="I481" i="27" s="1"/>
  <c r="V481" i="27"/>
  <c r="H481" i="27" s="1"/>
  <c r="X481" i="27"/>
  <c r="J481" i="27" s="1"/>
  <c r="X317" i="27"/>
  <c r="J317" i="27" s="1"/>
  <c r="V317" i="27"/>
  <c r="H317" i="27" s="1"/>
  <c r="K317" i="27" s="1"/>
  <c r="W317" i="27"/>
  <c r="I317" i="27" s="1"/>
  <c r="R569" i="27"/>
  <c r="U568" i="27"/>
  <c r="V10" i="27"/>
  <c r="H10" i="27" s="1"/>
  <c r="X10" i="27"/>
  <c r="J10" i="27" s="1"/>
  <c r="W10" i="27"/>
  <c r="I10" i="27" s="1"/>
  <c r="U604" i="27"/>
  <c r="R605" i="27"/>
  <c r="K76" i="27"/>
  <c r="K438" i="27"/>
  <c r="U318" i="27"/>
  <c r="R319" i="27"/>
  <c r="K245" i="27"/>
  <c r="X567" i="27"/>
  <c r="J567" i="27" s="1"/>
  <c r="W567" i="27"/>
  <c r="I567" i="27" s="1"/>
  <c r="V567" i="27"/>
  <c r="H567" i="27" s="1"/>
  <c r="R12" i="27"/>
  <c r="U11" i="27"/>
  <c r="K375" i="27"/>
  <c r="K276" i="27"/>
  <c r="U580" i="27"/>
  <c r="R581" i="27"/>
  <c r="K217" i="27"/>
  <c r="U39" i="27"/>
  <c r="R40" i="27"/>
  <c r="R210" i="27"/>
  <c r="U209" i="27"/>
  <c r="U458" i="27"/>
  <c r="R459" i="27"/>
  <c r="R279" i="27"/>
  <c r="U278" i="27"/>
  <c r="U114" i="27"/>
  <c r="R115" i="27"/>
  <c r="X240" i="27"/>
  <c r="W240" i="27"/>
  <c r="V240" i="27"/>
  <c r="X125" i="27"/>
  <c r="J125" i="27" s="1"/>
  <c r="V125" i="27"/>
  <c r="H125" i="27" s="1"/>
  <c r="W125" i="27"/>
  <c r="I125" i="27" s="1"/>
  <c r="R504" i="26"/>
  <c r="U503" i="26"/>
  <c r="W502" i="26"/>
  <c r="I502" i="26" s="1"/>
  <c r="V502" i="26"/>
  <c r="H502" i="26" s="1"/>
  <c r="K502" i="26" s="1"/>
  <c r="X502" i="26"/>
  <c r="J502" i="26" s="1"/>
  <c r="R393" i="26"/>
  <c r="U392" i="26"/>
  <c r="U391" i="26"/>
  <c r="U314" i="26"/>
  <c r="X314" i="26" s="1"/>
  <c r="J314" i="26" s="1"/>
  <c r="U315" i="26"/>
  <c r="R316" i="26"/>
  <c r="U253" i="26"/>
  <c r="X253" i="26" s="1"/>
  <c r="U107" i="26"/>
  <c r="X107" i="26" s="1"/>
  <c r="J107" i="26" s="1"/>
  <c r="U108" i="26"/>
  <c r="R109" i="26"/>
  <c r="U213" i="26"/>
  <c r="W213" i="26" s="1"/>
  <c r="U166" i="26"/>
  <c r="U297" i="26"/>
  <c r="U521" i="26"/>
  <c r="X521" i="26" s="1"/>
  <c r="R361" i="26"/>
  <c r="U360" i="26"/>
  <c r="R418" i="26"/>
  <c r="U417" i="26"/>
  <c r="X417" i="26" s="1"/>
  <c r="R477" i="26"/>
  <c r="U476" i="26"/>
  <c r="V476" i="26" s="1"/>
  <c r="R374" i="26"/>
  <c r="U373" i="26"/>
  <c r="X373" i="26" s="1"/>
  <c r="R600" i="26"/>
  <c r="U599" i="26"/>
  <c r="R147" i="26"/>
  <c r="U146" i="26"/>
  <c r="X146" i="26" s="1"/>
  <c r="R576" i="26"/>
  <c r="U575" i="26"/>
  <c r="W575" i="26" s="1"/>
  <c r="R444" i="26"/>
  <c r="U443" i="26"/>
  <c r="W443" i="26" s="1"/>
  <c r="U119" i="26"/>
  <c r="R120" i="26"/>
  <c r="R7" i="26"/>
  <c r="U6" i="26"/>
  <c r="R234" i="26"/>
  <c r="U233" i="26"/>
  <c r="R564" i="26"/>
  <c r="U563" i="26"/>
  <c r="X563" i="26" s="1"/>
  <c r="U522" i="26"/>
  <c r="W522" i="26" s="1"/>
  <c r="R523" i="26"/>
  <c r="R372" i="26"/>
  <c r="U372" i="26" s="1"/>
  <c r="X372" i="26" s="1"/>
  <c r="U371" i="26"/>
  <c r="W371" i="26" s="1"/>
  <c r="U359" i="26"/>
  <c r="V359" i="26" s="1"/>
  <c r="R242" i="26"/>
  <c r="U241" i="26"/>
  <c r="R201" i="26"/>
  <c r="U200" i="26"/>
  <c r="R623" i="26"/>
  <c r="U622" i="26"/>
  <c r="R334" i="26"/>
  <c r="U333" i="26"/>
  <c r="U598" i="26"/>
  <c r="R547" i="26"/>
  <c r="U546" i="26"/>
  <c r="U212" i="26"/>
  <c r="V212" i="26" s="1"/>
  <c r="R207" i="26"/>
  <c r="U206" i="26"/>
  <c r="W206" i="26" s="1"/>
  <c r="R274" i="26"/>
  <c r="U273" i="26"/>
  <c r="V273" i="26" s="1"/>
  <c r="R36" i="26"/>
  <c r="U35" i="26"/>
  <c r="R454" i="26"/>
  <c r="U453" i="26"/>
  <c r="U442" i="26"/>
  <c r="R324" i="26"/>
  <c r="U323" i="26"/>
  <c r="U118" i="26"/>
  <c r="R55" i="26"/>
  <c r="U54" i="26"/>
  <c r="U322" i="26"/>
  <c r="V322" i="26" s="1"/>
  <c r="U296" i="26"/>
  <c r="X296" i="26" s="1"/>
  <c r="R91" i="26"/>
  <c r="U90" i="26"/>
  <c r="W90" i="26" s="1"/>
  <c r="U73" i="26"/>
  <c r="V73" i="26" s="1"/>
  <c r="U434" i="26"/>
  <c r="U295" i="26"/>
  <c r="W295" i="26" s="1"/>
  <c r="U214" i="26"/>
  <c r="U205" i="26"/>
  <c r="W205" i="26" s="1"/>
  <c r="U433" i="26"/>
  <c r="W433" i="26" s="1"/>
  <c r="R183" i="26"/>
  <c r="U182" i="26"/>
  <c r="W182" i="26" s="1"/>
  <c r="R26" i="26"/>
  <c r="U25" i="26"/>
  <c r="U74" i="26"/>
  <c r="X74" i="26" s="1"/>
  <c r="U545" i="26"/>
  <c r="W545" i="26" s="1"/>
  <c r="U181" i="26"/>
  <c r="W181" i="26" s="1"/>
  <c r="R300" i="26"/>
  <c r="U299" i="26"/>
  <c r="W299" i="26" s="1"/>
  <c r="R255" i="26"/>
  <c r="U254" i="26"/>
  <c r="R216" i="26"/>
  <c r="U215" i="26"/>
  <c r="R168" i="26"/>
  <c r="U167" i="26"/>
  <c r="R436" i="26"/>
  <c r="U435" i="26"/>
  <c r="X435" i="26" s="1"/>
  <c r="U34" i="26"/>
  <c r="R76" i="26"/>
  <c r="U75" i="26"/>
  <c r="U298" i="26"/>
  <c r="X247" i="27" l="1"/>
  <c r="J247" i="27" s="1"/>
  <c r="W247" i="27"/>
  <c r="I247" i="27" s="1"/>
  <c r="V247" i="27"/>
  <c r="H247" i="27" s="1"/>
  <c r="X505" i="27"/>
  <c r="J505" i="27" s="1"/>
  <c r="W505" i="27"/>
  <c r="I505" i="27" s="1"/>
  <c r="V505" i="27"/>
  <c r="H505" i="27" s="1"/>
  <c r="K505" i="27" s="1"/>
  <c r="X114" i="27"/>
  <c r="J114" i="27" s="1"/>
  <c r="W114" i="27"/>
  <c r="I114" i="27" s="1"/>
  <c r="V114" i="27"/>
  <c r="H114" i="27" s="1"/>
  <c r="U506" i="27"/>
  <c r="R507" i="27"/>
  <c r="U319" i="27"/>
  <c r="R320" i="27"/>
  <c r="X173" i="27"/>
  <c r="J173" i="27" s="1"/>
  <c r="W173" i="27"/>
  <c r="I173" i="27" s="1"/>
  <c r="V173" i="27"/>
  <c r="H173" i="27" s="1"/>
  <c r="K246" i="27"/>
  <c r="K579" i="27"/>
  <c r="K603" i="27"/>
  <c r="W219" i="27"/>
  <c r="I219" i="27" s="1"/>
  <c r="V219" i="27"/>
  <c r="H219" i="27" s="1"/>
  <c r="X219" i="27"/>
  <c r="J219" i="27" s="1"/>
  <c r="R280" i="27"/>
  <c r="U279" i="27"/>
  <c r="R460" i="27"/>
  <c r="U459" i="27"/>
  <c r="X318" i="27"/>
  <c r="J318" i="27" s="1"/>
  <c r="V318" i="27"/>
  <c r="H318" i="27" s="1"/>
  <c r="W318" i="27"/>
  <c r="I318" i="27" s="1"/>
  <c r="R175" i="27"/>
  <c r="U174" i="27"/>
  <c r="X59" i="27"/>
  <c r="J59" i="27" s="1"/>
  <c r="W59" i="27"/>
  <c r="I59" i="27" s="1"/>
  <c r="V59" i="27"/>
  <c r="H59" i="27" s="1"/>
  <c r="K59" i="27" s="1"/>
  <c r="X441" i="27"/>
  <c r="W441" i="27"/>
  <c r="V441" i="27"/>
  <c r="R221" i="27"/>
  <c r="U220" i="27"/>
  <c r="K58" i="27"/>
  <c r="U60" i="27"/>
  <c r="R61" i="27"/>
  <c r="K259" i="27"/>
  <c r="L205" i="27"/>
  <c r="X363" i="27"/>
  <c r="J363" i="27" s="1"/>
  <c r="W363" i="27"/>
  <c r="I363" i="27" s="1"/>
  <c r="V363" i="27"/>
  <c r="H363" i="27" s="1"/>
  <c r="K439" i="27"/>
  <c r="X440" i="27"/>
  <c r="J440" i="27" s="1"/>
  <c r="J441" i="27" s="1"/>
  <c r="W440" i="27"/>
  <c r="I440" i="27" s="1"/>
  <c r="I441" i="27" s="1"/>
  <c r="V440" i="27"/>
  <c r="H440" i="27" s="1"/>
  <c r="U187" i="27"/>
  <c r="R188" i="27"/>
  <c r="U127" i="27"/>
  <c r="R128" i="27"/>
  <c r="K298" i="27"/>
  <c r="R301" i="27"/>
  <c r="U300" i="27"/>
  <c r="U210" i="27"/>
  <c r="R211" i="27"/>
  <c r="U211" i="27" s="1"/>
  <c r="W186" i="27"/>
  <c r="I186" i="27" s="1"/>
  <c r="X186" i="27"/>
  <c r="J186" i="27" s="1"/>
  <c r="V186" i="27"/>
  <c r="H186" i="27" s="1"/>
  <c r="K504" i="27"/>
  <c r="X78" i="27"/>
  <c r="J78" i="27" s="1"/>
  <c r="V78" i="27"/>
  <c r="H78" i="27" s="1"/>
  <c r="W78" i="27"/>
  <c r="I78" i="27" s="1"/>
  <c r="K337" i="27"/>
  <c r="L181" i="27"/>
  <c r="R582" i="27"/>
  <c r="U581" i="27"/>
  <c r="R262" i="27"/>
  <c r="U261" i="27"/>
  <c r="K125" i="27"/>
  <c r="K10" i="27"/>
  <c r="W260" i="27"/>
  <c r="I260" i="27" s="1"/>
  <c r="V260" i="27"/>
  <c r="H260" i="27" s="1"/>
  <c r="X260" i="27"/>
  <c r="J260" i="27" s="1"/>
  <c r="U378" i="27"/>
  <c r="R379" i="27"/>
  <c r="V327" i="27"/>
  <c r="H327" i="27" s="1"/>
  <c r="X327" i="27"/>
  <c r="J327" i="27" s="1"/>
  <c r="W327" i="27"/>
  <c r="I327" i="27" s="1"/>
  <c r="U79" i="27"/>
  <c r="R80" i="27"/>
  <c r="K481" i="27"/>
  <c r="V458" i="27"/>
  <c r="H458" i="27" s="1"/>
  <c r="W458" i="27"/>
  <c r="I458" i="27" s="1"/>
  <c r="X458" i="27"/>
  <c r="J458" i="27" s="1"/>
  <c r="R365" i="27"/>
  <c r="U364" i="27"/>
  <c r="U605" i="27"/>
  <c r="R606" i="27"/>
  <c r="X482" i="27"/>
  <c r="J482" i="27" s="1"/>
  <c r="W482" i="27"/>
  <c r="I482" i="27" s="1"/>
  <c r="V482" i="27"/>
  <c r="H482" i="27" s="1"/>
  <c r="L203" i="27"/>
  <c r="K204" i="27"/>
  <c r="K38" i="27"/>
  <c r="U328" i="27"/>
  <c r="R329" i="27"/>
  <c r="K277" i="27"/>
  <c r="K77" i="27"/>
  <c r="L74" i="27" s="1"/>
  <c r="U424" i="27"/>
  <c r="R425" i="27"/>
  <c r="K326" i="27"/>
  <c r="U40" i="27"/>
  <c r="R41" i="27"/>
  <c r="K151" i="27"/>
  <c r="W580" i="27"/>
  <c r="I580" i="27" s="1"/>
  <c r="V580" i="27"/>
  <c r="H580" i="27" s="1"/>
  <c r="X580" i="27"/>
  <c r="J580" i="27" s="1"/>
  <c r="X568" i="27"/>
  <c r="J568" i="27" s="1"/>
  <c r="V568" i="27"/>
  <c r="H568" i="27" s="1"/>
  <c r="K568" i="27" s="1"/>
  <c r="L563" i="27" s="1"/>
  <c r="W568" i="27"/>
  <c r="I568" i="27" s="1"/>
  <c r="U569" i="27"/>
  <c r="R570" i="27"/>
  <c r="R484" i="27"/>
  <c r="U483" i="27"/>
  <c r="X31" i="27"/>
  <c r="J31" i="27" s="1"/>
  <c r="W31" i="27"/>
  <c r="I31" i="27" s="1"/>
  <c r="V31" i="27"/>
  <c r="H31" i="27" s="1"/>
  <c r="R96" i="27"/>
  <c r="U95" i="27"/>
  <c r="W423" i="27"/>
  <c r="I423" i="27" s="1"/>
  <c r="X423" i="27"/>
  <c r="J423" i="27" s="1"/>
  <c r="V423" i="27"/>
  <c r="H423" i="27" s="1"/>
  <c r="U450" i="27"/>
  <c r="R451" i="27"/>
  <c r="W528" i="27"/>
  <c r="I528" i="27" s="1"/>
  <c r="X528" i="27"/>
  <c r="J528" i="27" s="1"/>
  <c r="V528" i="27"/>
  <c r="H528" i="27" s="1"/>
  <c r="K528" i="27" s="1"/>
  <c r="R249" i="27"/>
  <c r="U248" i="27"/>
  <c r="W126" i="27"/>
  <c r="I126" i="27" s="1"/>
  <c r="V126" i="27"/>
  <c r="H126" i="27" s="1"/>
  <c r="K126" i="27" s="1"/>
  <c r="X126" i="27"/>
  <c r="J126" i="27" s="1"/>
  <c r="X39" i="27"/>
  <c r="J39" i="27" s="1"/>
  <c r="V39" i="27"/>
  <c r="H39" i="27" s="1"/>
  <c r="W39" i="27"/>
  <c r="I39" i="27" s="1"/>
  <c r="X377" i="27"/>
  <c r="J377" i="27" s="1"/>
  <c r="W377" i="27"/>
  <c r="I377" i="27" s="1"/>
  <c r="V377" i="27"/>
  <c r="H377" i="27" s="1"/>
  <c r="K377" i="27" s="1"/>
  <c r="U32" i="27"/>
  <c r="R33" i="27"/>
  <c r="U33" i="27" s="1"/>
  <c r="R551" i="27"/>
  <c r="U550" i="27"/>
  <c r="V94" i="27"/>
  <c r="H94" i="27" s="1"/>
  <c r="W94" i="27"/>
  <c r="I94" i="27" s="1"/>
  <c r="X94" i="27"/>
  <c r="J94" i="27" s="1"/>
  <c r="V449" i="27"/>
  <c r="H449" i="27" s="1"/>
  <c r="X449" i="27"/>
  <c r="J449" i="27" s="1"/>
  <c r="W449" i="27"/>
  <c r="I449" i="27" s="1"/>
  <c r="U529" i="27"/>
  <c r="R530" i="27"/>
  <c r="X209" i="27"/>
  <c r="J209" i="27" s="1"/>
  <c r="W209" i="27"/>
  <c r="I209" i="27" s="1"/>
  <c r="V209" i="27"/>
  <c r="H209" i="27" s="1"/>
  <c r="K209" i="27" s="1"/>
  <c r="W299" i="27"/>
  <c r="I299" i="27" s="1"/>
  <c r="X299" i="27"/>
  <c r="J299" i="27" s="1"/>
  <c r="V299" i="27"/>
  <c r="H299" i="27" s="1"/>
  <c r="K299" i="27" s="1"/>
  <c r="U399" i="27"/>
  <c r="R400" i="27"/>
  <c r="U630" i="27"/>
  <c r="R631" i="27"/>
  <c r="W604" i="27"/>
  <c r="I604" i="27" s="1"/>
  <c r="V604" i="27"/>
  <c r="H604" i="27" s="1"/>
  <c r="K604" i="27" s="1"/>
  <c r="X604" i="27"/>
  <c r="J604" i="27" s="1"/>
  <c r="X11" i="27"/>
  <c r="J11" i="27" s="1"/>
  <c r="V11" i="27"/>
  <c r="H11" i="27" s="1"/>
  <c r="W11" i="27"/>
  <c r="I11" i="27" s="1"/>
  <c r="L295" i="27"/>
  <c r="K457" i="27"/>
  <c r="W549" i="27"/>
  <c r="I549" i="27" s="1"/>
  <c r="X549" i="27"/>
  <c r="J549" i="27" s="1"/>
  <c r="V549" i="27"/>
  <c r="H549" i="27" s="1"/>
  <c r="K549" i="27" s="1"/>
  <c r="R116" i="27"/>
  <c r="U115" i="27"/>
  <c r="X338" i="27"/>
  <c r="J338" i="27" s="1"/>
  <c r="W338" i="27"/>
  <c r="I338" i="27" s="1"/>
  <c r="V338" i="27"/>
  <c r="H338" i="27" s="1"/>
  <c r="X278" i="27"/>
  <c r="J278" i="27" s="1"/>
  <c r="V278" i="27"/>
  <c r="H278" i="27" s="1"/>
  <c r="W278" i="27"/>
  <c r="I278" i="27" s="1"/>
  <c r="X398" i="27"/>
  <c r="J398" i="27" s="1"/>
  <c r="W398" i="27"/>
  <c r="I398" i="27" s="1"/>
  <c r="V398" i="27"/>
  <c r="H398" i="27" s="1"/>
  <c r="W629" i="27"/>
  <c r="I629" i="27" s="1"/>
  <c r="V629" i="27"/>
  <c r="H629" i="27" s="1"/>
  <c r="K629" i="27" s="1"/>
  <c r="X629" i="27"/>
  <c r="J629" i="27" s="1"/>
  <c r="U12" i="27"/>
  <c r="R13" i="27"/>
  <c r="K548" i="27"/>
  <c r="V152" i="27"/>
  <c r="H152" i="27" s="1"/>
  <c r="X152" i="27"/>
  <c r="J152" i="27" s="1"/>
  <c r="W152" i="27"/>
  <c r="I152" i="27" s="1"/>
  <c r="K239" i="27"/>
  <c r="H240" i="27"/>
  <c r="K567" i="27"/>
  <c r="R340" i="27"/>
  <c r="U339" i="27"/>
  <c r="K376" i="27"/>
  <c r="L373" i="27" s="1"/>
  <c r="R154" i="27"/>
  <c r="U153" i="27"/>
  <c r="V503" i="26"/>
  <c r="H503" i="26" s="1"/>
  <c r="K503" i="26" s="1"/>
  <c r="L499" i="26" s="1"/>
  <c r="X503" i="26"/>
  <c r="J503" i="26" s="1"/>
  <c r="W503" i="26"/>
  <c r="I503" i="26" s="1"/>
  <c r="U504" i="26"/>
  <c r="R505" i="26"/>
  <c r="X391" i="26"/>
  <c r="J391" i="26" s="1"/>
  <c r="W391" i="26"/>
  <c r="I391" i="26" s="1"/>
  <c r="V391" i="26"/>
  <c r="H391" i="26" s="1"/>
  <c r="X392" i="26"/>
  <c r="J392" i="26" s="1"/>
  <c r="W392" i="26"/>
  <c r="I392" i="26" s="1"/>
  <c r="V392" i="26"/>
  <c r="H392" i="26" s="1"/>
  <c r="R394" i="26"/>
  <c r="U393" i="26"/>
  <c r="W314" i="26"/>
  <c r="I314" i="26" s="1"/>
  <c r="V107" i="26"/>
  <c r="H107" i="26" s="1"/>
  <c r="V314" i="26"/>
  <c r="H314" i="26" s="1"/>
  <c r="W107" i="26"/>
  <c r="I107" i="26" s="1"/>
  <c r="V253" i="26"/>
  <c r="U316" i="26"/>
  <c r="R317" i="26"/>
  <c r="W253" i="26"/>
  <c r="V315" i="26"/>
  <c r="H315" i="26" s="1"/>
  <c r="X315" i="26"/>
  <c r="J315" i="26" s="1"/>
  <c r="W315" i="26"/>
  <c r="I315" i="26" s="1"/>
  <c r="W372" i="26"/>
  <c r="X90" i="26"/>
  <c r="J90" i="26" s="1"/>
  <c r="V443" i="26"/>
  <c r="V575" i="26"/>
  <c r="H575" i="26" s="1"/>
  <c r="X322" i="26"/>
  <c r="V146" i="26"/>
  <c r="H146" i="26" s="1"/>
  <c r="V54" i="26"/>
  <c r="X54" i="26"/>
  <c r="W54" i="26"/>
  <c r="I54" i="26" s="1"/>
  <c r="V546" i="26"/>
  <c r="H546" i="26" s="1"/>
  <c r="X546" i="26"/>
  <c r="J546" i="26" s="1"/>
  <c r="V563" i="26"/>
  <c r="W563" i="26"/>
  <c r="W599" i="26"/>
  <c r="I599" i="26" s="1"/>
  <c r="X599" i="26"/>
  <c r="V599" i="26"/>
  <c r="H599" i="26" s="1"/>
  <c r="V74" i="26"/>
  <c r="V297" i="26"/>
  <c r="H297" i="26" s="1"/>
  <c r="X297" i="26"/>
  <c r="J297" i="26" s="1"/>
  <c r="W297" i="26"/>
  <c r="I297" i="26" s="1"/>
  <c r="W546" i="26"/>
  <c r="X598" i="26"/>
  <c r="V598" i="26"/>
  <c r="W598" i="26"/>
  <c r="X25" i="26"/>
  <c r="V25" i="26"/>
  <c r="H25" i="26" s="1"/>
  <c r="W25" i="26"/>
  <c r="I25" i="26" s="1"/>
  <c r="V118" i="26"/>
  <c r="X118" i="26"/>
  <c r="W118" i="26"/>
  <c r="W233" i="26"/>
  <c r="V233" i="26"/>
  <c r="H233" i="26" s="1"/>
  <c r="X233" i="26"/>
  <c r="J233" i="26" s="1"/>
  <c r="X166" i="26"/>
  <c r="V166" i="26"/>
  <c r="W166" i="26"/>
  <c r="V167" i="26"/>
  <c r="W167" i="26"/>
  <c r="I167" i="26" s="1"/>
  <c r="X167" i="26"/>
  <c r="J167" i="26" s="1"/>
  <c r="X333" i="26"/>
  <c r="J333" i="26" s="1"/>
  <c r="V333" i="26"/>
  <c r="H333" i="26" s="1"/>
  <c r="W333" i="26"/>
  <c r="I333" i="26" s="1"/>
  <c r="X182" i="26"/>
  <c r="J182" i="26" s="1"/>
  <c r="V182" i="26"/>
  <c r="H182" i="26" s="1"/>
  <c r="X323" i="26"/>
  <c r="J323" i="26" s="1"/>
  <c r="V323" i="26"/>
  <c r="X6" i="26"/>
  <c r="V6" i="26"/>
  <c r="H6" i="26" s="1"/>
  <c r="W6" i="26"/>
  <c r="I6" i="26" s="1"/>
  <c r="X215" i="26"/>
  <c r="J215" i="26" s="1"/>
  <c r="V215" i="26"/>
  <c r="H215" i="26" s="1"/>
  <c r="W215" i="26"/>
  <c r="I215" i="26" s="1"/>
  <c r="V254" i="26"/>
  <c r="H254" i="26" s="1"/>
  <c r="W254" i="26"/>
  <c r="I254" i="26" s="1"/>
  <c r="X254" i="26"/>
  <c r="J254" i="26" s="1"/>
  <c r="W453" i="26"/>
  <c r="I453" i="26" s="1"/>
  <c r="X453" i="26"/>
  <c r="V453" i="26"/>
  <c r="H453" i="26" s="1"/>
  <c r="X200" i="26"/>
  <c r="J200" i="26" s="1"/>
  <c r="V200" i="26"/>
  <c r="H200" i="26" s="1"/>
  <c r="W200" i="26"/>
  <c r="I200" i="26" s="1"/>
  <c r="W119" i="26"/>
  <c r="I119" i="26" s="1"/>
  <c r="V119" i="26"/>
  <c r="H119" i="26" s="1"/>
  <c r="X119" i="26"/>
  <c r="J119" i="26" s="1"/>
  <c r="W214" i="26"/>
  <c r="I214" i="26" s="1"/>
  <c r="X214" i="26"/>
  <c r="J214" i="26" s="1"/>
  <c r="V214" i="26"/>
  <c r="H214" i="26" s="1"/>
  <c r="W476" i="26"/>
  <c r="I476" i="26" s="1"/>
  <c r="X476" i="26"/>
  <c r="J476" i="26" s="1"/>
  <c r="W323" i="26"/>
  <c r="I323" i="26" s="1"/>
  <c r="W34" i="26"/>
  <c r="I34" i="26" s="1"/>
  <c r="V34" i="26"/>
  <c r="H34" i="26" s="1"/>
  <c r="X34" i="26"/>
  <c r="J34" i="26" s="1"/>
  <c r="V35" i="26"/>
  <c r="H35" i="26" s="1"/>
  <c r="W35" i="26"/>
  <c r="I35" i="26" s="1"/>
  <c r="X35" i="26"/>
  <c r="J35" i="26" s="1"/>
  <c r="V434" i="26"/>
  <c r="H434" i="26" s="1"/>
  <c r="W434" i="26"/>
  <c r="I434" i="26" s="1"/>
  <c r="X434" i="26"/>
  <c r="J434" i="26" s="1"/>
  <c r="V295" i="26"/>
  <c r="X295" i="26"/>
  <c r="J295" i="26" s="1"/>
  <c r="W241" i="26"/>
  <c r="I241" i="26" s="1"/>
  <c r="X241" i="26"/>
  <c r="J241" i="26" s="1"/>
  <c r="V241" i="26"/>
  <c r="H241" i="26" s="1"/>
  <c r="W298" i="26"/>
  <c r="I298" i="26" s="1"/>
  <c r="V298" i="26"/>
  <c r="H298" i="26" s="1"/>
  <c r="X298" i="26"/>
  <c r="J298" i="26" s="1"/>
  <c r="X371" i="26"/>
  <c r="V371" i="26"/>
  <c r="V75" i="26"/>
  <c r="H75" i="26" s="1"/>
  <c r="W75" i="26"/>
  <c r="I75" i="26" s="1"/>
  <c r="X75" i="26"/>
  <c r="J75" i="26" s="1"/>
  <c r="V181" i="26"/>
  <c r="H181" i="26" s="1"/>
  <c r="X181" i="26"/>
  <c r="J181" i="26" s="1"/>
  <c r="W74" i="26"/>
  <c r="I74" i="26" s="1"/>
  <c r="W521" i="26"/>
  <c r="W273" i="26"/>
  <c r="I273" i="26" s="1"/>
  <c r="W73" i="26"/>
  <c r="V299" i="26"/>
  <c r="H299" i="26" s="1"/>
  <c r="X212" i="26"/>
  <c r="X73" i="26"/>
  <c r="W322" i="26"/>
  <c r="V433" i="26"/>
  <c r="H433" i="26" s="1"/>
  <c r="W622" i="26"/>
  <c r="I622" i="26" s="1"/>
  <c r="X622" i="26"/>
  <c r="J622" i="26" s="1"/>
  <c r="X442" i="26"/>
  <c r="W442" i="26"/>
  <c r="V213" i="26"/>
  <c r="V442" i="26"/>
  <c r="X299" i="26"/>
  <c r="J299" i="26" s="1"/>
  <c r="V372" i="26"/>
  <c r="X443" i="26"/>
  <c r="J443" i="26" s="1"/>
  <c r="X213" i="26"/>
  <c r="W435" i="26"/>
  <c r="I435" i="26" s="1"/>
  <c r="W296" i="26"/>
  <c r="I296" i="26" s="1"/>
  <c r="W359" i="26"/>
  <c r="I359" i="26" s="1"/>
  <c r="W146" i="26"/>
  <c r="I146" i="26" s="1"/>
  <c r="X575" i="26"/>
  <c r="J575" i="26" s="1"/>
  <c r="V296" i="26"/>
  <c r="H296" i="26" s="1"/>
  <c r="V205" i="26"/>
  <c r="H205" i="26" s="1"/>
  <c r="X206" i="26"/>
  <c r="J206" i="26" s="1"/>
  <c r="V417" i="26"/>
  <c r="H417" i="26" s="1"/>
  <c r="V521" i="26"/>
  <c r="X205" i="26"/>
  <c r="J205" i="26" s="1"/>
  <c r="W212" i="26"/>
  <c r="W360" i="26"/>
  <c r="I360" i="26" s="1"/>
  <c r="V360" i="26"/>
  <c r="H360" i="26" s="1"/>
  <c r="X360" i="26"/>
  <c r="J360" i="26" s="1"/>
  <c r="V90" i="26"/>
  <c r="H90" i="26" s="1"/>
  <c r="X273" i="26"/>
  <c r="J273" i="26" s="1"/>
  <c r="X545" i="26"/>
  <c r="J545" i="26" s="1"/>
  <c r="V545" i="26"/>
  <c r="H545" i="26" s="1"/>
  <c r="W417" i="26"/>
  <c r="I417" i="26" s="1"/>
  <c r="V435" i="26"/>
  <c r="H435" i="26" s="1"/>
  <c r="K107" i="26"/>
  <c r="X522" i="26"/>
  <c r="J522" i="26" s="1"/>
  <c r="V522" i="26"/>
  <c r="H522" i="26" s="1"/>
  <c r="V622" i="26"/>
  <c r="H622" i="26" s="1"/>
  <c r="V206" i="26"/>
  <c r="H206" i="26" s="1"/>
  <c r="X359" i="26"/>
  <c r="J359" i="26" s="1"/>
  <c r="W373" i="26"/>
  <c r="I373" i="26" s="1"/>
  <c r="V373" i="26"/>
  <c r="H373" i="26" s="1"/>
  <c r="X433" i="26"/>
  <c r="J433" i="26" s="1"/>
  <c r="R110" i="26"/>
  <c r="U109" i="26"/>
  <c r="X108" i="26"/>
  <c r="J108" i="26" s="1"/>
  <c r="W108" i="26"/>
  <c r="I108" i="26" s="1"/>
  <c r="V108" i="26"/>
  <c r="H108" i="26" s="1"/>
  <c r="J435" i="26"/>
  <c r="R184" i="26"/>
  <c r="U183" i="26"/>
  <c r="R325" i="26"/>
  <c r="U324" i="26"/>
  <c r="I205" i="26"/>
  <c r="H323" i="26"/>
  <c r="I546" i="26"/>
  <c r="R437" i="26"/>
  <c r="U436" i="26"/>
  <c r="J563" i="26"/>
  <c r="H563" i="26"/>
  <c r="I563" i="26"/>
  <c r="H295" i="26"/>
  <c r="I295" i="26"/>
  <c r="R565" i="26"/>
  <c r="U564" i="26"/>
  <c r="H54" i="26"/>
  <c r="J54" i="26"/>
  <c r="R37" i="26"/>
  <c r="U36" i="26"/>
  <c r="R362" i="26"/>
  <c r="U361" i="26"/>
  <c r="R217" i="26"/>
  <c r="U216" i="26"/>
  <c r="I545" i="26"/>
  <c r="R56" i="26"/>
  <c r="U55" i="26"/>
  <c r="H273" i="26"/>
  <c r="R235" i="26"/>
  <c r="U234" i="26"/>
  <c r="I90" i="26"/>
  <c r="R275" i="26"/>
  <c r="U274" i="26"/>
  <c r="R202" i="26"/>
  <c r="U201" i="26"/>
  <c r="J6" i="26"/>
  <c r="H443" i="26"/>
  <c r="I443" i="26"/>
  <c r="J373" i="26"/>
  <c r="J599" i="26"/>
  <c r="R455" i="26"/>
  <c r="U454" i="26"/>
  <c r="R335" i="26"/>
  <c r="U334" i="26"/>
  <c r="R169" i="26"/>
  <c r="U168" i="26"/>
  <c r="R624" i="26"/>
  <c r="U623" i="26"/>
  <c r="R256" i="26"/>
  <c r="U255" i="26"/>
  <c r="H74" i="26"/>
  <c r="J74" i="26"/>
  <c r="R92" i="26"/>
  <c r="U91" i="26"/>
  <c r="I206" i="26"/>
  <c r="U7" i="26"/>
  <c r="R8" i="26"/>
  <c r="R445" i="26"/>
  <c r="U444" i="26"/>
  <c r="R375" i="26"/>
  <c r="U374" i="26"/>
  <c r="I233" i="26"/>
  <c r="R77" i="26"/>
  <c r="U76" i="26"/>
  <c r="I299" i="26"/>
  <c r="J25" i="26"/>
  <c r="J296" i="26"/>
  <c r="R208" i="26"/>
  <c r="U207" i="26"/>
  <c r="R243" i="26"/>
  <c r="U242" i="26"/>
  <c r="R121" i="26"/>
  <c r="U120" i="26"/>
  <c r="I575" i="26"/>
  <c r="H476" i="26"/>
  <c r="R301" i="26"/>
  <c r="U300" i="26"/>
  <c r="R27" i="26"/>
  <c r="U26" i="26"/>
  <c r="H359" i="26"/>
  <c r="R577" i="26"/>
  <c r="U576" i="26"/>
  <c r="R478" i="26"/>
  <c r="U477" i="26"/>
  <c r="J146" i="26"/>
  <c r="R148" i="26"/>
  <c r="U147" i="26"/>
  <c r="R548" i="26"/>
  <c r="U547" i="26"/>
  <c r="I433" i="26"/>
  <c r="R524" i="26"/>
  <c r="U523" i="26"/>
  <c r="R601" i="26"/>
  <c r="U600" i="26"/>
  <c r="J417" i="26"/>
  <c r="R419" i="26"/>
  <c r="U418" i="26"/>
  <c r="I182" i="26"/>
  <c r="J453" i="26"/>
  <c r="I522" i="26"/>
  <c r="H167" i="26"/>
  <c r="I181" i="26"/>
  <c r="W399" i="27" l="1"/>
  <c r="I399" i="27" s="1"/>
  <c r="X399" i="27"/>
  <c r="J399" i="27" s="1"/>
  <c r="V399" i="27"/>
  <c r="H399" i="27" s="1"/>
  <c r="K399" i="27" s="1"/>
  <c r="W32" i="27"/>
  <c r="I32" i="27" s="1"/>
  <c r="I33" i="27" s="1"/>
  <c r="V32" i="27"/>
  <c r="H32" i="27" s="1"/>
  <c r="X32" i="27"/>
  <c r="J32" i="27" s="1"/>
  <c r="J33" i="27" s="1"/>
  <c r="U365" i="27"/>
  <c r="R366" i="27"/>
  <c r="R263" i="27"/>
  <c r="U262" i="27"/>
  <c r="U13" i="27"/>
  <c r="R14" i="27"/>
  <c r="R452" i="27"/>
  <c r="U452" i="27" s="1"/>
  <c r="U451" i="27"/>
  <c r="X581" i="27"/>
  <c r="J581" i="27" s="1"/>
  <c r="V581" i="27"/>
  <c r="H581" i="27" s="1"/>
  <c r="W581" i="27"/>
  <c r="I581" i="27" s="1"/>
  <c r="X33" i="27"/>
  <c r="W33" i="27"/>
  <c r="V33" i="27"/>
  <c r="X12" i="27"/>
  <c r="J12" i="27" s="1"/>
  <c r="W12" i="27"/>
  <c r="I12" i="27" s="1"/>
  <c r="V12" i="27"/>
  <c r="H12" i="27" s="1"/>
  <c r="X450" i="27"/>
  <c r="J450" i="27" s="1"/>
  <c r="W450" i="27"/>
  <c r="I450" i="27" s="1"/>
  <c r="V450" i="27"/>
  <c r="H450" i="27" s="1"/>
  <c r="R330" i="27"/>
  <c r="U329" i="27"/>
  <c r="U582" i="27"/>
  <c r="R583" i="27"/>
  <c r="X211" i="27"/>
  <c r="W211" i="27"/>
  <c r="V211" i="27"/>
  <c r="X174" i="27"/>
  <c r="J174" i="27" s="1"/>
  <c r="W174" i="27"/>
  <c r="I174" i="27" s="1"/>
  <c r="V174" i="27"/>
  <c r="H174" i="27" s="1"/>
  <c r="K173" i="27"/>
  <c r="V424" i="27"/>
  <c r="H424" i="27" s="1"/>
  <c r="X424" i="27"/>
  <c r="J424" i="27" s="1"/>
  <c r="W424" i="27"/>
  <c r="I424" i="27" s="1"/>
  <c r="U154" i="27"/>
  <c r="R155" i="27"/>
  <c r="K423" i="27"/>
  <c r="V328" i="27"/>
  <c r="H328" i="27" s="1"/>
  <c r="X328" i="27"/>
  <c r="J328" i="27" s="1"/>
  <c r="W328" i="27"/>
  <c r="I328" i="27" s="1"/>
  <c r="K458" i="27"/>
  <c r="W210" i="27"/>
  <c r="I210" i="27" s="1"/>
  <c r="I211" i="27" s="1"/>
  <c r="X210" i="27"/>
  <c r="J210" i="27" s="1"/>
  <c r="J211" i="27" s="1"/>
  <c r="V210" i="27"/>
  <c r="H210" i="27" s="1"/>
  <c r="L258" i="27"/>
  <c r="U175" i="27"/>
  <c r="R176" i="27"/>
  <c r="R81" i="27"/>
  <c r="U80" i="27"/>
  <c r="W300" i="27"/>
  <c r="I300" i="27" s="1"/>
  <c r="V300" i="27"/>
  <c r="H300" i="27" s="1"/>
  <c r="X300" i="27"/>
  <c r="J300" i="27" s="1"/>
  <c r="X60" i="27"/>
  <c r="J60" i="27" s="1"/>
  <c r="W60" i="27"/>
  <c r="I60" i="27" s="1"/>
  <c r="V60" i="27"/>
  <c r="H60" i="27" s="1"/>
  <c r="K60" i="27" s="1"/>
  <c r="K318" i="27"/>
  <c r="R321" i="27"/>
  <c r="U321" i="27" s="1"/>
  <c r="U320" i="27"/>
  <c r="X95" i="27"/>
  <c r="J95" i="27" s="1"/>
  <c r="V95" i="27"/>
  <c r="H95" i="27" s="1"/>
  <c r="W95" i="27"/>
  <c r="I95" i="27" s="1"/>
  <c r="L204" i="27"/>
  <c r="X79" i="27"/>
  <c r="J79" i="27" s="1"/>
  <c r="W79" i="27"/>
  <c r="I79" i="27" s="1"/>
  <c r="V79" i="27"/>
  <c r="H79" i="27" s="1"/>
  <c r="K79" i="27" s="1"/>
  <c r="L333" i="27"/>
  <c r="R302" i="27"/>
  <c r="U301" i="27"/>
  <c r="W319" i="27"/>
  <c r="I319" i="27" s="1"/>
  <c r="V319" i="27"/>
  <c r="H319" i="27" s="1"/>
  <c r="X319" i="27"/>
  <c r="J319" i="27" s="1"/>
  <c r="X630" i="27"/>
  <c r="J630" i="27" s="1"/>
  <c r="W630" i="27"/>
  <c r="I630" i="27" s="1"/>
  <c r="V630" i="27"/>
  <c r="H630" i="27" s="1"/>
  <c r="V339" i="27"/>
  <c r="H339" i="27" s="1"/>
  <c r="X339" i="27"/>
  <c r="J339" i="27" s="1"/>
  <c r="W339" i="27"/>
  <c r="I339" i="27" s="1"/>
  <c r="K11" i="27"/>
  <c r="L6" i="27" s="1"/>
  <c r="L54" i="27"/>
  <c r="W459" i="27"/>
  <c r="I459" i="27" s="1"/>
  <c r="X459" i="27"/>
  <c r="J459" i="27" s="1"/>
  <c r="V459" i="27"/>
  <c r="H459" i="27" s="1"/>
  <c r="U507" i="27"/>
  <c r="R508" i="27"/>
  <c r="R461" i="27"/>
  <c r="R463" i="27"/>
  <c r="U460" i="27"/>
  <c r="V506" i="27"/>
  <c r="H506" i="27" s="1"/>
  <c r="X506" i="27"/>
  <c r="J506" i="27" s="1"/>
  <c r="W506" i="27"/>
  <c r="I506" i="27" s="1"/>
  <c r="X261" i="27"/>
  <c r="J261" i="27" s="1"/>
  <c r="V261" i="27"/>
  <c r="H261" i="27" s="1"/>
  <c r="W261" i="27"/>
  <c r="I261" i="27" s="1"/>
  <c r="X529" i="27"/>
  <c r="J529" i="27" s="1"/>
  <c r="V529" i="27"/>
  <c r="H529" i="27" s="1"/>
  <c r="K529" i="27" s="1"/>
  <c r="L522" i="27" s="1"/>
  <c r="W529" i="27"/>
  <c r="I529" i="27" s="1"/>
  <c r="K327" i="27"/>
  <c r="K78" i="27"/>
  <c r="X127" i="27"/>
  <c r="J127" i="27" s="1"/>
  <c r="W127" i="27"/>
  <c r="I127" i="27" s="1"/>
  <c r="V127" i="27"/>
  <c r="H127" i="27" s="1"/>
  <c r="X279" i="27"/>
  <c r="J279" i="27" s="1"/>
  <c r="W279" i="27"/>
  <c r="I279" i="27" s="1"/>
  <c r="V279" i="27"/>
  <c r="H279" i="27" s="1"/>
  <c r="K114" i="27"/>
  <c r="K482" i="27"/>
  <c r="R42" i="27"/>
  <c r="U41" i="27"/>
  <c r="U188" i="27"/>
  <c r="R189" i="27"/>
  <c r="X220" i="27"/>
  <c r="J220" i="27" s="1"/>
  <c r="W220" i="27"/>
  <c r="I220" i="27" s="1"/>
  <c r="V220" i="27"/>
  <c r="H220" i="27" s="1"/>
  <c r="R281" i="27"/>
  <c r="U280" i="27"/>
  <c r="R552" i="27"/>
  <c r="U551" i="27"/>
  <c r="K186" i="27"/>
  <c r="K580" i="27"/>
  <c r="R129" i="27"/>
  <c r="U128" i="27"/>
  <c r="K278" i="27"/>
  <c r="W40" i="27"/>
  <c r="I40" i="27" s="1"/>
  <c r="X40" i="27"/>
  <c r="J40" i="27" s="1"/>
  <c r="V40" i="27"/>
  <c r="H40" i="27" s="1"/>
  <c r="V187" i="27"/>
  <c r="H187" i="27" s="1"/>
  <c r="X187" i="27"/>
  <c r="J187" i="27" s="1"/>
  <c r="W187" i="27"/>
  <c r="I187" i="27" s="1"/>
  <c r="U221" i="27"/>
  <c r="R222" i="27"/>
  <c r="R531" i="27"/>
  <c r="U530" i="27"/>
  <c r="K338" i="27"/>
  <c r="K449" i="27"/>
  <c r="U379" i="27"/>
  <c r="R380" i="27"/>
  <c r="K440" i="27"/>
  <c r="K441" i="27" s="1"/>
  <c r="K219" i="27"/>
  <c r="L481" i="27"/>
  <c r="K398" i="27"/>
  <c r="W378" i="27"/>
  <c r="I378" i="27" s="1"/>
  <c r="X378" i="27"/>
  <c r="J378" i="27" s="1"/>
  <c r="V378" i="27"/>
  <c r="H378" i="27" s="1"/>
  <c r="R401" i="27"/>
  <c r="U400" i="27"/>
  <c r="R341" i="27"/>
  <c r="U340" i="27"/>
  <c r="X483" i="27"/>
  <c r="J483" i="27" s="1"/>
  <c r="V483" i="27"/>
  <c r="H483" i="27" s="1"/>
  <c r="K483" i="27" s="1"/>
  <c r="W483" i="27"/>
  <c r="I483" i="27" s="1"/>
  <c r="L437" i="27"/>
  <c r="R62" i="27"/>
  <c r="U61" i="27"/>
  <c r="R97" i="27"/>
  <c r="U96" i="27"/>
  <c r="K31" i="27"/>
  <c r="H33" i="27"/>
  <c r="V115" i="27"/>
  <c r="H115" i="27" s="1"/>
  <c r="W115" i="27"/>
  <c r="I115" i="27" s="1"/>
  <c r="X115" i="27"/>
  <c r="J115" i="27" s="1"/>
  <c r="K94" i="27"/>
  <c r="U484" i="27"/>
  <c r="R485" i="27"/>
  <c r="K260" i="27"/>
  <c r="H441" i="27"/>
  <c r="V153" i="27"/>
  <c r="H153" i="27" s="1"/>
  <c r="X153" i="27"/>
  <c r="J153" i="27" s="1"/>
  <c r="W153" i="27"/>
  <c r="I153" i="27" s="1"/>
  <c r="W364" i="27"/>
  <c r="I364" i="27" s="1"/>
  <c r="X364" i="27"/>
  <c r="J364" i="27" s="1"/>
  <c r="V364" i="27"/>
  <c r="H364" i="27" s="1"/>
  <c r="K39" i="27"/>
  <c r="R117" i="27"/>
  <c r="U117" i="27" s="1"/>
  <c r="U116" i="27"/>
  <c r="V248" i="27"/>
  <c r="H248" i="27" s="1"/>
  <c r="W248" i="27"/>
  <c r="I248" i="27" s="1"/>
  <c r="X248" i="27"/>
  <c r="J248" i="27" s="1"/>
  <c r="R571" i="27"/>
  <c r="U570" i="27"/>
  <c r="R607" i="27"/>
  <c r="U606" i="27"/>
  <c r="K240" i="27"/>
  <c r="L233" i="27"/>
  <c r="K152" i="27"/>
  <c r="U631" i="27"/>
  <c r="R632" i="27"/>
  <c r="X550" i="27"/>
  <c r="J550" i="27" s="1"/>
  <c r="W550" i="27"/>
  <c r="I550" i="27" s="1"/>
  <c r="V550" i="27"/>
  <c r="H550" i="27" s="1"/>
  <c r="K550" i="27" s="1"/>
  <c r="U249" i="27"/>
  <c r="R250" i="27"/>
  <c r="W569" i="27"/>
  <c r="I569" i="27" s="1"/>
  <c r="V569" i="27"/>
  <c r="H569" i="27" s="1"/>
  <c r="K569" i="27" s="1"/>
  <c r="X569" i="27"/>
  <c r="J569" i="27" s="1"/>
  <c r="U425" i="27"/>
  <c r="R426" i="27"/>
  <c r="V605" i="27"/>
  <c r="H605" i="27" s="1"/>
  <c r="X605" i="27"/>
  <c r="J605" i="27" s="1"/>
  <c r="W605" i="27"/>
  <c r="I605" i="27" s="1"/>
  <c r="K363" i="27"/>
  <c r="K247" i="27"/>
  <c r="U505" i="26"/>
  <c r="R506" i="26"/>
  <c r="X504" i="26"/>
  <c r="J504" i="26" s="1"/>
  <c r="V504" i="26"/>
  <c r="H504" i="26" s="1"/>
  <c r="W504" i="26"/>
  <c r="I504" i="26" s="1"/>
  <c r="K392" i="26"/>
  <c r="K314" i="26"/>
  <c r="X393" i="26"/>
  <c r="J393" i="26" s="1"/>
  <c r="V393" i="26"/>
  <c r="H393" i="26" s="1"/>
  <c r="W393" i="26"/>
  <c r="I393" i="26" s="1"/>
  <c r="R395" i="26"/>
  <c r="U394" i="26"/>
  <c r="K391" i="26"/>
  <c r="K315" i="26"/>
  <c r="U317" i="26"/>
  <c r="R318" i="26"/>
  <c r="V316" i="26"/>
  <c r="H316" i="26" s="1"/>
  <c r="X316" i="26"/>
  <c r="J316" i="26" s="1"/>
  <c r="W316" i="26"/>
  <c r="I316" i="26" s="1"/>
  <c r="K297" i="26"/>
  <c r="K476" i="26"/>
  <c r="K108" i="26"/>
  <c r="W523" i="26"/>
  <c r="I523" i="26" s="1"/>
  <c r="V523" i="26"/>
  <c r="H523" i="26" s="1"/>
  <c r="X523" i="26"/>
  <c r="J523" i="26" s="1"/>
  <c r="X547" i="26"/>
  <c r="J547" i="26" s="1"/>
  <c r="W547" i="26"/>
  <c r="I547" i="26" s="1"/>
  <c r="V547" i="26"/>
  <c r="H547" i="26" s="1"/>
  <c r="W361" i="26"/>
  <c r="I361" i="26" s="1"/>
  <c r="V361" i="26"/>
  <c r="H361" i="26" s="1"/>
  <c r="X361" i="26"/>
  <c r="J361" i="26" s="1"/>
  <c r="W564" i="26"/>
  <c r="I564" i="26" s="1"/>
  <c r="V564" i="26"/>
  <c r="H564" i="26" s="1"/>
  <c r="X564" i="26"/>
  <c r="J564" i="26" s="1"/>
  <c r="R111" i="26"/>
  <c r="U110" i="26"/>
  <c r="V418" i="26"/>
  <c r="H418" i="26" s="1"/>
  <c r="X418" i="26"/>
  <c r="J418" i="26" s="1"/>
  <c r="W418" i="26"/>
  <c r="I418" i="26" s="1"/>
  <c r="X324" i="26"/>
  <c r="J324" i="26" s="1"/>
  <c r="W324" i="26"/>
  <c r="I324" i="26" s="1"/>
  <c r="V324" i="26"/>
  <c r="H324" i="26" s="1"/>
  <c r="V242" i="26"/>
  <c r="H242" i="26" s="1"/>
  <c r="W242" i="26"/>
  <c r="I242" i="26" s="1"/>
  <c r="X242" i="26"/>
  <c r="J242" i="26" s="1"/>
  <c r="X91" i="26"/>
  <c r="J91" i="26" s="1"/>
  <c r="W91" i="26"/>
  <c r="I91" i="26" s="1"/>
  <c r="V91" i="26"/>
  <c r="H91" i="26" s="1"/>
  <c r="X147" i="26"/>
  <c r="J147" i="26" s="1"/>
  <c r="V147" i="26"/>
  <c r="H147" i="26" s="1"/>
  <c r="W147" i="26"/>
  <c r="I147" i="26" s="1"/>
  <c r="W207" i="26"/>
  <c r="I207" i="26" s="1"/>
  <c r="V207" i="26"/>
  <c r="H207" i="26" s="1"/>
  <c r="X207" i="26"/>
  <c r="J207" i="26" s="1"/>
  <c r="W300" i="26"/>
  <c r="I300" i="26" s="1"/>
  <c r="V300" i="26"/>
  <c r="H300" i="26" s="1"/>
  <c r="X300" i="26"/>
  <c r="J300" i="26" s="1"/>
  <c r="W183" i="26"/>
  <c r="I183" i="26" s="1"/>
  <c r="X183" i="26"/>
  <c r="J183" i="26" s="1"/>
  <c r="V183" i="26"/>
  <c r="H183" i="26" s="1"/>
  <c r="K522" i="26"/>
  <c r="X274" i="26"/>
  <c r="J274" i="26" s="1"/>
  <c r="V274" i="26"/>
  <c r="H274" i="26" s="1"/>
  <c r="W274" i="26"/>
  <c r="I274" i="26" s="1"/>
  <c r="V477" i="26"/>
  <c r="H477" i="26" s="1"/>
  <c r="W477" i="26"/>
  <c r="I477" i="26" s="1"/>
  <c r="X477" i="26"/>
  <c r="J477" i="26" s="1"/>
  <c r="V623" i="26"/>
  <c r="H623" i="26" s="1"/>
  <c r="W623" i="26"/>
  <c r="I623" i="26" s="1"/>
  <c r="X623" i="26"/>
  <c r="J623" i="26" s="1"/>
  <c r="X109" i="26"/>
  <c r="J109" i="26" s="1"/>
  <c r="W109" i="26"/>
  <c r="I109" i="26" s="1"/>
  <c r="V109" i="26"/>
  <c r="H109" i="26" s="1"/>
  <c r="X26" i="26"/>
  <c r="J26" i="26" s="1"/>
  <c r="W26" i="26"/>
  <c r="V26" i="26"/>
  <c r="H26" i="26" s="1"/>
  <c r="V234" i="26"/>
  <c r="H234" i="26" s="1"/>
  <c r="X234" i="26"/>
  <c r="J234" i="26" s="1"/>
  <c r="W234" i="26"/>
  <c r="I234" i="26" s="1"/>
  <c r="K373" i="26"/>
  <c r="W374" i="26"/>
  <c r="I374" i="26" s="1"/>
  <c r="X374" i="26"/>
  <c r="J374" i="26" s="1"/>
  <c r="V374" i="26"/>
  <c r="H374" i="26" s="1"/>
  <c r="X168" i="26"/>
  <c r="J168" i="26" s="1"/>
  <c r="V168" i="26"/>
  <c r="H168" i="26" s="1"/>
  <c r="W168" i="26"/>
  <c r="I168" i="26" s="1"/>
  <c r="V600" i="26"/>
  <c r="H600" i="26" s="1"/>
  <c r="W600" i="26"/>
  <c r="I600" i="26" s="1"/>
  <c r="X600" i="26"/>
  <c r="J600" i="26" s="1"/>
  <c r="V576" i="26"/>
  <c r="H576" i="26" s="1"/>
  <c r="X576" i="26"/>
  <c r="J576" i="26" s="1"/>
  <c r="W576" i="26"/>
  <c r="I576" i="26" s="1"/>
  <c r="W454" i="26"/>
  <c r="I454" i="26" s="1"/>
  <c r="V454" i="26"/>
  <c r="H454" i="26" s="1"/>
  <c r="X454" i="26"/>
  <c r="J454" i="26" s="1"/>
  <c r="X55" i="26"/>
  <c r="J55" i="26" s="1"/>
  <c r="V55" i="26"/>
  <c r="H55" i="26" s="1"/>
  <c r="W55" i="26"/>
  <c r="I55" i="26" s="1"/>
  <c r="W7" i="26"/>
  <c r="I7" i="26" s="1"/>
  <c r="V7" i="26"/>
  <c r="H7" i="26" s="1"/>
  <c r="X7" i="26"/>
  <c r="J7" i="26" s="1"/>
  <c r="W444" i="26"/>
  <c r="I444" i="26" s="1"/>
  <c r="X444" i="26"/>
  <c r="J444" i="26" s="1"/>
  <c r="V444" i="26"/>
  <c r="H444" i="26" s="1"/>
  <c r="V436" i="26"/>
  <c r="H436" i="26" s="1"/>
  <c r="X436" i="26"/>
  <c r="J436" i="26" s="1"/>
  <c r="W436" i="26"/>
  <c r="I436" i="26" s="1"/>
  <c r="V255" i="26"/>
  <c r="H255" i="26" s="1"/>
  <c r="X255" i="26"/>
  <c r="J255" i="26" s="1"/>
  <c r="W255" i="26"/>
  <c r="I255" i="26" s="1"/>
  <c r="X334" i="26"/>
  <c r="J334" i="26" s="1"/>
  <c r="V334" i="26"/>
  <c r="H334" i="26" s="1"/>
  <c r="W334" i="26"/>
  <c r="I334" i="26" s="1"/>
  <c r="V36" i="26"/>
  <c r="H36" i="26" s="1"/>
  <c r="W36" i="26"/>
  <c r="I36" i="26" s="1"/>
  <c r="X36" i="26"/>
  <c r="J36" i="26" s="1"/>
  <c r="X76" i="26"/>
  <c r="J76" i="26" s="1"/>
  <c r="V76" i="26"/>
  <c r="H76" i="26" s="1"/>
  <c r="W76" i="26"/>
  <c r="I76" i="26" s="1"/>
  <c r="V201" i="26"/>
  <c r="H201" i="26" s="1"/>
  <c r="X201" i="26"/>
  <c r="J201" i="26" s="1"/>
  <c r="W201" i="26"/>
  <c r="I201" i="26" s="1"/>
  <c r="V120" i="26"/>
  <c r="H120" i="26" s="1"/>
  <c r="W120" i="26"/>
  <c r="I120" i="26" s="1"/>
  <c r="X120" i="26"/>
  <c r="J120" i="26" s="1"/>
  <c r="W216" i="26"/>
  <c r="I216" i="26" s="1"/>
  <c r="V216" i="26"/>
  <c r="H216" i="26" s="1"/>
  <c r="X216" i="26"/>
  <c r="J216" i="26" s="1"/>
  <c r="K333" i="26"/>
  <c r="K599" i="26"/>
  <c r="K298" i="26"/>
  <c r="K75" i="26"/>
  <c r="K433" i="26"/>
  <c r="K359" i="26"/>
  <c r="K254" i="26"/>
  <c r="K360" i="26"/>
  <c r="K546" i="26"/>
  <c r="K323" i="26"/>
  <c r="K622" i="26"/>
  <c r="K74" i="26"/>
  <c r="K215" i="26"/>
  <c r="K181" i="26"/>
  <c r="K119" i="26"/>
  <c r="K214" i="26"/>
  <c r="K200" i="26"/>
  <c r="K167" i="26"/>
  <c r="K90" i="26"/>
  <c r="K233" i="26"/>
  <c r="K563" i="26"/>
  <c r="K417" i="26"/>
  <c r="K453" i="26"/>
  <c r="K434" i="26"/>
  <c r="K435" i="26"/>
  <c r="K575" i="26"/>
  <c r="K296" i="26"/>
  <c r="K54" i="26"/>
  <c r="K182" i="26"/>
  <c r="K299" i="26"/>
  <c r="K206" i="26"/>
  <c r="K205" i="26"/>
  <c r="K273" i="26"/>
  <c r="K241" i="26"/>
  <c r="K545" i="26"/>
  <c r="K35" i="26"/>
  <c r="K443" i="26"/>
  <c r="K25" i="26"/>
  <c r="K146" i="26"/>
  <c r="K295" i="26"/>
  <c r="K34" i="26"/>
  <c r="K6" i="26"/>
  <c r="R479" i="26"/>
  <c r="U478" i="26"/>
  <c r="R302" i="26"/>
  <c r="U301" i="26"/>
  <c r="R446" i="26"/>
  <c r="U445" i="26"/>
  <c r="R336" i="26"/>
  <c r="U335" i="26"/>
  <c r="R276" i="26"/>
  <c r="U275" i="26"/>
  <c r="R244" i="26"/>
  <c r="U243" i="26"/>
  <c r="R9" i="26"/>
  <c r="U8" i="26"/>
  <c r="R218" i="26"/>
  <c r="U217" i="26"/>
  <c r="R326" i="26"/>
  <c r="U325" i="26"/>
  <c r="R149" i="26"/>
  <c r="U148" i="26"/>
  <c r="R549" i="26"/>
  <c r="U548" i="26"/>
  <c r="R78" i="26"/>
  <c r="U77" i="26"/>
  <c r="R456" i="26"/>
  <c r="U455" i="26"/>
  <c r="R209" i="26"/>
  <c r="U208" i="26"/>
  <c r="R363" i="26"/>
  <c r="U362" i="26"/>
  <c r="R185" i="26"/>
  <c r="U184" i="26"/>
  <c r="R257" i="26"/>
  <c r="U256" i="26"/>
  <c r="R57" i="26"/>
  <c r="U56" i="26"/>
  <c r="R566" i="26"/>
  <c r="U565" i="26"/>
  <c r="R625" i="26"/>
  <c r="U624" i="26"/>
  <c r="R236" i="26"/>
  <c r="U235" i="26"/>
  <c r="R438" i="26"/>
  <c r="U437" i="26"/>
  <c r="R525" i="26"/>
  <c r="U524" i="26"/>
  <c r="R28" i="26"/>
  <c r="U27" i="26"/>
  <c r="R376" i="26"/>
  <c r="U375" i="26"/>
  <c r="R170" i="26"/>
  <c r="U169" i="26"/>
  <c r="R203" i="26"/>
  <c r="U202" i="26"/>
  <c r="R602" i="26"/>
  <c r="U601" i="26"/>
  <c r="I26" i="26"/>
  <c r="R420" i="26"/>
  <c r="U419" i="26"/>
  <c r="R578" i="26"/>
  <c r="U577" i="26"/>
  <c r="R122" i="26"/>
  <c r="U121" i="26"/>
  <c r="R93" i="26"/>
  <c r="U92" i="26"/>
  <c r="R38" i="26"/>
  <c r="U37" i="26"/>
  <c r="W400" i="27" l="1"/>
  <c r="I400" i="27" s="1"/>
  <c r="X400" i="27"/>
  <c r="J400" i="27" s="1"/>
  <c r="V400" i="27"/>
  <c r="H400" i="27" s="1"/>
  <c r="U81" i="27"/>
  <c r="R82" i="27"/>
  <c r="K32" i="27"/>
  <c r="K33" i="27" s="1"/>
  <c r="U281" i="27"/>
  <c r="R282" i="27"/>
  <c r="R177" i="27"/>
  <c r="U176" i="27"/>
  <c r="K424" i="27"/>
  <c r="W175" i="27"/>
  <c r="I175" i="27" s="1"/>
  <c r="V175" i="27"/>
  <c r="H175" i="27" s="1"/>
  <c r="X175" i="27"/>
  <c r="J175" i="27" s="1"/>
  <c r="U531" i="27"/>
  <c r="R532" i="27"/>
  <c r="R223" i="27"/>
  <c r="U222" i="27"/>
  <c r="R190" i="27"/>
  <c r="U189" i="27"/>
  <c r="K174" i="27"/>
  <c r="W154" i="27"/>
  <c r="I154" i="27" s="1"/>
  <c r="V154" i="27"/>
  <c r="H154" i="27" s="1"/>
  <c r="K154" i="27" s="1"/>
  <c r="X154" i="27"/>
  <c r="J154" i="27" s="1"/>
  <c r="U62" i="27"/>
  <c r="R63" i="27"/>
  <c r="K187" i="27"/>
  <c r="X188" i="27"/>
  <c r="J188" i="27" s="1"/>
  <c r="V188" i="27"/>
  <c r="H188" i="27" s="1"/>
  <c r="W188" i="27"/>
  <c r="I188" i="27" s="1"/>
  <c r="X221" i="27"/>
  <c r="J221" i="27" s="1"/>
  <c r="W221" i="27"/>
  <c r="I221" i="27" s="1"/>
  <c r="V221" i="27"/>
  <c r="H221" i="27" s="1"/>
  <c r="K630" i="27"/>
  <c r="K378" i="27"/>
  <c r="X631" i="27"/>
  <c r="J631" i="27" s="1"/>
  <c r="V631" i="27"/>
  <c r="H631" i="27" s="1"/>
  <c r="W631" i="27"/>
  <c r="I631" i="27" s="1"/>
  <c r="X320" i="27"/>
  <c r="J320" i="27" s="1"/>
  <c r="J321" i="27" s="1"/>
  <c r="W320" i="27"/>
  <c r="I320" i="27" s="1"/>
  <c r="I321" i="27" s="1"/>
  <c r="V320" i="27"/>
  <c r="H320" i="27" s="1"/>
  <c r="K320" i="27" s="1"/>
  <c r="U583" i="27"/>
  <c r="R584" i="27"/>
  <c r="X451" i="27"/>
  <c r="J451" i="27" s="1"/>
  <c r="J452" i="27" s="1"/>
  <c r="W451" i="27"/>
  <c r="I451" i="27" s="1"/>
  <c r="I452" i="27" s="1"/>
  <c r="V451" i="27"/>
  <c r="H451" i="27" s="1"/>
  <c r="K451" i="27" s="1"/>
  <c r="V530" i="27"/>
  <c r="H530" i="27" s="1"/>
  <c r="X530" i="27"/>
  <c r="J530" i="27" s="1"/>
  <c r="W530" i="27"/>
  <c r="I530" i="27" s="1"/>
  <c r="V321" i="27"/>
  <c r="X321" i="27"/>
  <c r="W321" i="27"/>
  <c r="W582" i="27"/>
  <c r="I582" i="27" s="1"/>
  <c r="X582" i="27"/>
  <c r="J582" i="27" s="1"/>
  <c r="V582" i="27"/>
  <c r="H582" i="27" s="1"/>
  <c r="X452" i="27"/>
  <c r="W452" i="27"/>
  <c r="V452" i="27"/>
  <c r="W116" i="27"/>
  <c r="I116" i="27" s="1"/>
  <c r="I117" i="27" s="1"/>
  <c r="V116" i="27"/>
  <c r="H116" i="27" s="1"/>
  <c r="X116" i="27"/>
  <c r="J116" i="27" s="1"/>
  <c r="J117" i="27" s="1"/>
  <c r="X117" i="27"/>
  <c r="W117" i="27"/>
  <c r="V117" i="27"/>
  <c r="X61" i="27"/>
  <c r="J61" i="27" s="1"/>
  <c r="W61" i="27"/>
  <c r="I61" i="27" s="1"/>
  <c r="V61" i="27"/>
  <c r="H61" i="27" s="1"/>
  <c r="K605" i="27"/>
  <c r="X606" i="27"/>
  <c r="J606" i="27" s="1"/>
  <c r="W606" i="27"/>
  <c r="I606" i="27" s="1"/>
  <c r="V606" i="27"/>
  <c r="H606" i="27" s="1"/>
  <c r="K606" i="27" s="1"/>
  <c r="U485" i="27"/>
  <c r="R486" i="27"/>
  <c r="L214" i="27"/>
  <c r="V128" i="27"/>
  <c r="H128" i="27" s="1"/>
  <c r="X128" i="27"/>
  <c r="J128" i="27" s="1"/>
  <c r="W128" i="27"/>
  <c r="I128" i="27" s="1"/>
  <c r="W460" i="27"/>
  <c r="I460" i="27" s="1"/>
  <c r="V460" i="27"/>
  <c r="H460" i="27" s="1"/>
  <c r="X460" i="27"/>
  <c r="J460" i="27" s="1"/>
  <c r="X329" i="27"/>
  <c r="J329" i="27" s="1"/>
  <c r="V329" i="27"/>
  <c r="H329" i="27" s="1"/>
  <c r="W329" i="27"/>
  <c r="I329" i="27" s="1"/>
  <c r="R15" i="27"/>
  <c r="U14" i="27"/>
  <c r="X249" i="27"/>
  <c r="J249" i="27" s="1"/>
  <c r="W249" i="27"/>
  <c r="I249" i="27" s="1"/>
  <c r="V249" i="27"/>
  <c r="H249" i="27" s="1"/>
  <c r="K249" i="27" s="1"/>
  <c r="W365" i="27"/>
  <c r="I365" i="27" s="1"/>
  <c r="X365" i="27"/>
  <c r="J365" i="27" s="1"/>
  <c r="V365" i="27"/>
  <c r="H365" i="27" s="1"/>
  <c r="K220" i="27"/>
  <c r="X41" i="27"/>
  <c r="J41" i="27" s="1"/>
  <c r="W41" i="27"/>
  <c r="I41" i="27" s="1"/>
  <c r="V41" i="27"/>
  <c r="H41" i="27" s="1"/>
  <c r="K41" i="27" s="1"/>
  <c r="L240" i="27"/>
  <c r="L441" i="27"/>
  <c r="K339" i="27"/>
  <c r="K506" i="27"/>
  <c r="U426" i="27"/>
  <c r="R427" i="27"/>
  <c r="U607" i="27"/>
  <c r="R608" i="27"/>
  <c r="W484" i="27"/>
  <c r="I484" i="27" s="1"/>
  <c r="X484" i="27"/>
  <c r="J484" i="27" s="1"/>
  <c r="V484" i="27"/>
  <c r="H484" i="27" s="1"/>
  <c r="U129" i="27"/>
  <c r="R130" i="27"/>
  <c r="R464" i="27"/>
  <c r="U464" i="27" s="1"/>
  <c r="U463" i="27"/>
  <c r="K319" i="27"/>
  <c r="L319" i="27" s="1"/>
  <c r="L316" i="27"/>
  <c r="K321" i="27"/>
  <c r="K328" i="27"/>
  <c r="U330" i="27"/>
  <c r="R331" i="27"/>
  <c r="X13" i="27"/>
  <c r="J13" i="27" s="1"/>
  <c r="W13" i="27"/>
  <c r="I13" i="27" s="1"/>
  <c r="V13" i="27"/>
  <c r="H13" i="27" s="1"/>
  <c r="V96" i="27"/>
  <c r="H96" i="27" s="1"/>
  <c r="W96" i="27"/>
  <c r="I96" i="27" s="1"/>
  <c r="X96" i="27"/>
  <c r="J96" i="27" s="1"/>
  <c r="X425" i="27"/>
  <c r="J425" i="27" s="1"/>
  <c r="W425" i="27"/>
  <c r="I425" i="27" s="1"/>
  <c r="V425" i="27"/>
  <c r="H425" i="27" s="1"/>
  <c r="W570" i="27"/>
  <c r="I570" i="27" s="1"/>
  <c r="X570" i="27"/>
  <c r="J570" i="27" s="1"/>
  <c r="V570" i="27"/>
  <c r="H570" i="27" s="1"/>
  <c r="K570" i="27" s="1"/>
  <c r="R381" i="27"/>
  <c r="U380" i="27"/>
  <c r="K279" i="27"/>
  <c r="U461" i="27"/>
  <c r="R462" i="27"/>
  <c r="L417" i="27"/>
  <c r="K450" i="27"/>
  <c r="H452" i="27"/>
  <c r="R633" i="27"/>
  <c r="U632" i="27"/>
  <c r="K153" i="27"/>
  <c r="L273" i="27"/>
  <c r="U571" i="27"/>
  <c r="R572" i="27"/>
  <c r="X379" i="27"/>
  <c r="J379" i="27" s="1"/>
  <c r="W379" i="27"/>
  <c r="I379" i="27" s="1"/>
  <c r="V379" i="27"/>
  <c r="H379" i="27" s="1"/>
  <c r="R509" i="27"/>
  <c r="U508" i="27"/>
  <c r="V280" i="27"/>
  <c r="H280" i="27" s="1"/>
  <c r="W280" i="27"/>
  <c r="I280" i="27" s="1"/>
  <c r="X280" i="27"/>
  <c r="J280" i="27" s="1"/>
  <c r="W80" i="27"/>
  <c r="I80" i="27" s="1"/>
  <c r="V80" i="27"/>
  <c r="H80" i="27" s="1"/>
  <c r="X80" i="27"/>
  <c r="J80" i="27" s="1"/>
  <c r="K210" i="27"/>
  <c r="H211" i="27"/>
  <c r="R43" i="27"/>
  <c r="U42" i="27"/>
  <c r="K95" i="27"/>
  <c r="W507" i="27"/>
  <c r="I507" i="27" s="1"/>
  <c r="V507" i="27"/>
  <c r="H507" i="27" s="1"/>
  <c r="X507" i="27"/>
  <c r="J507" i="27" s="1"/>
  <c r="W301" i="27"/>
  <c r="I301" i="27" s="1"/>
  <c r="V301" i="27"/>
  <c r="H301" i="27" s="1"/>
  <c r="K301" i="27" s="1"/>
  <c r="X301" i="27"/>
  <c r="J301" i="27" s="1"/>
  <c r="L453" i="27"/>
  <c r="V262" i="27"/>
  <c r="H262" i="27" s="1"/>
  <c r="W262" i="27"/>
  <c r="I262" i="27" s="1"/>
  <c r="X262" i="27"/>
  <c r="J262" i="27" s="1"/>
  <c r="R402" i="27"/>
  <c r="U401" i="27"/>
  <c r="K364" i="27"/>
  <c r="U97" i="27"/>
  <c r="R98" i="27"/>
  <c r="K40" i="27"/>
  <c r="K261" i="27"/>
  <c r="K581" i="27"/>
  <c r="X340" i="27"/>
  <c r="J340" i="27" s="1"/>
  <c r="W340" i="27"/>
  <c r="I340" i="27" s="1"/>
  <c r="V340" i="27"/>
  <c r="H340" i="27" s="1"/>
  <c r="L447" i="27"/>
  <c r="K452" i="27"/>
  <c r="X551" i="27"/>
  <c r="J551" i="27" s="1"/>
  <c r="W551" i="27"/>
  <c r="I551" i="27" s="1"/>
  <c r="V551" i="27"/>
  <c r="H551" i="27" s="1"/>
  <c r="K127" i="27"/>
  <c r="K459" i="27"/>
  <c r="U302" i="27"/>
  <c r="R303" i="27"/>
  <c r="U263" i="27"/>
  <c r="R264" i="27"/>
  <c r="U250" i="27"/>
  <c r="R251" i="27"/>
  <c r="K248" i="27"/>
  <c r="K115" i="27"/>
  <c r="H117" i="27"/>
  <c r="U341" i="27"/>
  <c r="R342" i="27"/>
  <c r="R553" i="27"/>
  <c r="U552" i="27"/>
  <c r="K300" i="27"/>
  <c r="R156" i="27"/>
  <c r="U155" i="27"/>
  <c r="K12" i="27"/>
  <c r="R367" i="27"/>
  <c r="U366" i="27"/>
  <c r="L314" i="26"/>
  <c r="K504" i="26"/>
  <c r="U506" i="26"/>
  <c r="R507" i="26"/>
  <c r="V505" i="26"/>
  <c r="H505" i="26" s="1"/>
  <c r="W505" i="26"/>
  <c r="I505" i="26" s="1"/>
  <c r="X505" i="26"/>
  <c r="J505" i="26" s="1"/>
  <c r="X394" i="26"/>
  <c r="J394" i="26" s="1"/>
  <c r="W394" i="26"/>
  <c r="I394" i="26" s="1"/>
  <c r="V394" i="26"/>
  <c r="H394" i="26" s="1"/>
  <c r="U395" i="26"/>
  <c r="R396" i="26"/>
  <c r="K393" i="26"/>
  <c r="K109" i="26"/>
  <c r="K316" i="26"/>
  <c r="U318" i="26"/>
  <c r="R319" i="26"/>
  <c r="V317" i="26"/>
  <c r="H317" i="26" s="1"/>
  <c r="W317" i="26"/>
  <c r="I317" i="26" s="1"/>
  <c r="X317" i="26"/>
  <c r="J317" i="26" s="1"/>
  <c r="K147" i="26"/>
  <c r="V92" i="26"/>
  <c r="H92" i="26" s="1"/>
  <c r="X92" i="26"/>
  <c r="J92" i="26" s="1"/>
  <c r="W92" i="26"/>
  <c r="I92" i="26" s="1"/>
  <c r="X524" i="26"/>
  <c r="J524" i="26" s="1"/>
  <c r="V524" i="26"/>
  <c r="W524" i="26"/>
  <c r="I524" i="26" s="1"/>
  <c r="X184" i="26"/>
  <c r="J184" i="26" s="1"/>
  <c r="W184" i="26"/>
  <c r="I184" i="26" s="1"/>
  <c r="V184" i="26"/>
  <c r="X148" i="26"/>
  <c r="J148" i="26" s="1"/>
  <c r="W148" i="26"/>
  <c r="I148" i="26" s="1"/>
  <c r="V148" i="26"/>
  <c r="H148" i="26" s="1"/>
  <c r="V455" i="26"/>
  <c r="H455" i="26" s="1"/>
  <c r="X455" i="26"/>
  <c r="J455" i="26" s="1"/>
  <c r="W455" i="26"/>
  <c r="I455" i="26" s="1"/>
  <c r="W548" i="26"/>
  <c r="I548" i="26" s="1"/>
  <c r="X548" i="26"/>
  <c r="J548" i="26" s="1"/>
  <c r="V548" i="26"/>
  <c r="H548" i="26" s="1"/>
  <c r="V8" i="26"/>
  <c r="H8" i="26" s="1"/>
  <c r="X8" i="26"/>
  <c r="J8" i="26" s="1"/>
  <c r="W8" i="26"/>
  <c r="I8" i="26" s="1"/>
  <c r="V335" i="26"/>
  <c r="H335" i="26" s="1"/>
  <c r="X335" i="26"/>
  <c r="J335" i="26" s="1"/>
  <c r="W335" i="26"/>
  <c r="I335" i="26" s="1"/>
  <c r="W325" i="26"/>
  <c r="V325" i="26"/>
  <c r="H325" i="26" s="1"/>
  <c r="X325" i="26"/>
  <c r="J325" i="26" s="1"/>
  <c r="W445" i="26"/>
  <c r="I445" i="26" s="1"/>
  <c r="X445" i="26"/>
  <c r="J445" i="26" s="1"/>
  <c r="V445" i="26"/>
  <c r="H445" i="26" s="1"/>
  <c r="V256" i="26"/>
  <c r="H256" i="26" s="1"/>
  <c r="W256" i="26"/>
  <c r="I256" i="26" s="1"/>
  <c r="X256" i="26"/>
  <c r="J256" i="26" s="1"/>
  <c r="V375" i="26"/>
  <c r="H375" i="26" s="1"/>
  <c r="W375" i="26"/>
  <c r="I375" i="26" s="1"/>
  <c r="X375" i="26"/>
  <c r="J375" i="26" s="1"/>
  <c r="X121" i="26"/>
  <c r="J121" i="26" s="1"/>
  <c r="V121" i="26"/>
  <c r="H121" i="26" s="1"/>
  <c r="W121" i="26"/>
  <c r="W362" i="26"/>
  <c r="I362" i="26" s="1"/>
  <c r="X362" i="26"/>
  <c r="J362" i="26" s="1"/>
  <c r="V362" i="26"/>
  <c r="H362" i="26" s="1"/>
  <c r="W235" i="26"/>
  <c r="I235" i="26" s="1"/>
  <c r="X235" i="26"/>
  <c r="J235" i="26" s="1"/>
  <c r="V235" i="26"/>
  <c r="H235" i="26" s="1"/>
  <c r="X243" i="26"/>
  <c r="J243" i="26" s="1"/>
  <c r="V243" i="26"/>
  <c r="H243" i="26" s="1"/>
  <c r="W243" i="26"/>
  <c r="I243" i="26" s="1"/>
  <c r="X27" i="26"/>
  <c r="J27" i="26" s="1"/>
  <c r="V27" i="26"/>
  <c r="H27" i="26" s="1"/>
  <c r="W27" i="26"/>
  <c r="I27" i="26" s="1"/>
  <c r="V577" i="26"/>
  <c r="H577" i="26" s="1"/>
  <c r="W577" i="26"/>
  <c r="I577" i="26" s="1"/>
  <c r="X577" i="26"/>
  <c r="J577" i="26" s="1"/>
  <c r="X56" i="26"/>
  <c r="J56" i="26" s="1"/>
  <c r="W56" i="26"/>
  <c r="I56" i="26" s="1"/>
  <c r="V56" i="26"/>
  <c r="H56" i="26" s="1"/>
  <c r="X208" i="26"/>
  <c r="J208" i="26" s="1"/>
  <c r="V208" i="26"/>
  <c r="H208" i="26" s="1"/>
  <c r="W208" i="26"/>
  <c r="I208" i="26" s="1"/>
  <c r="X217" i="26"/>
  <c r="J217" i="26" s="1"/>
  <c r="V217" i="26"/>
  <c r="H217" i="26" s="1"/>
  <c r="W217" i="26"/>
  <c r="I217" i="26" s="1"/>
  <c r="X110" i="26"/>
  <c r="J110" i="26" s="1"/>
  <c r="W110" i="26"/>
  <c r="I110" i="26" s="1"/>
  <c r="V110" i="26"/>
  <c r="H110" i="26" s="1"/>
  <c r="V37" i="26"/>
  <c r="H37" i="26" s="1"/>
  <c r="W37" i="26"/>
  <c r="I37" i="26" s="1"/>
  <c r="X37" i="26"/>
  <c r="J37" i="26" s="1"/>
  <c r="V301" i="26"/>
  <c r="H301" i="26" s="1"/>
  <c r="X301" i="26"/>
  <c r="J301" i="26" s="1"/>
  <c r="W301" i="26"/>
  <c r="I301" i="26" s="1"/>
  <c r="R112" i="26"/>
  <c r="U111" i="26"/>
  <c r="W624" i="26"/>
  <c r="I624" i="26" s="1"/>
  <c r="X624" i="26"/>
  <c r="J624" i="26" s="1"/>
  <c r="V624" i="26"/>
  <c r="H624" i="26" s="1"/>
  <c r="W601" i="26"/>
  <c r="I601" i="26" s="1"/>
  <c r="X601" i="26"/>
  <c r="J601" i="26" s="1"/>
  <c r="V601" i="26"/>
  <c r="H601" i="26" s="1"/>
  <c r="X202" i="26"/>
  <c r="J202" i="26" s="1"/>
  <c r="V202" i="26"/>
  <c r="H202" i="26" s="1"/>
  <c r="W202" i="26"/>
  <c r="I202" i="26" s="1"/>
  <c r="X77" i="26"/>
  <c r="J77" i="26" s="1"/>
  <c r="W77" i="26"/>
  <c r="I77" i="26" s="1"/>
  <c r="V77" i="26"/>
  <c r="H77" i="26" s="1"/>
  <c r="W275" i="26"/>
  <c r="I275" i="26" s="1"/>
  <c r="X275" i="26"/>
  <c r="J275" i="26" s="1"/>
  <c r="V275" i="26"/>
  <c r="H275" i="26" s="1"/>
  <c r="X437" i="26"/>
  <c r="J437" i="26" s="1"/>
  <c r="W437" i="26"/>
  <c r="I437" i="26" s="1"/>
  <c r="V437" i="26"/>
  <c r="H437" i="26" s="1"/>
  <c r="X419" i="26"/>
  <c r="J419" i="26" s="1"/>
  <c r="W419" i="26"/>
  <c r="I419" i="26" s="1"/>
  <c r="V419" i="26"/>
  <c r="H419" i="26" s="1"/>
  <c r="X565" i="26"/>
  <c r="J565" i="26" s="1"/>
  <c r="W565" i="26"/>
  <c r="I565" i="26" s="1"/>
  <c r="V565" i="26"/>
  <c r="H565" i="26" s="1"/>
  <c r="V478" i="26"/>
  <c r="H478" i="26" s="1"/>
  <c r="X478" i="26"/>
  <c r="J478" i="26" s="1"/>
  <c r="W478" i="26"/>
  <c r="I478" i="26" s="1"/>
  <c r="X169" i="26"/>
  <c r="J169" i="26" s="1"/>
  <c r="V169" i="26"/>
  <c r="H169" i="26" s="1"/>
  <c r="W169" i="26"/>
  <c r="I169" i="26" s="1"/>
  <c r="K36" i="26"/>
  <c r="K234" i="26"/>
  <c r="K274" i="26"/>
  <c r="K76" i="26"/>
  <c r="K600" i="26"/>
  <c r="K91" i="26"/>
  <c r="K361" i="26"/>
  <c r="K300" i="26"/>
  <c r="K183" i="26"/>
  <c r="K418" i="26"/>
  <c r="K454" i="26"/>
  <c r="K334" i="26"/>
  <c r="K324" i="26"/>
  <c r="K444" i="26"/>
  <c r="K576" i="26"/>
  <c r="K255" i="26"/>
  <c r="K7" i="26"/>
  <c r="K168" i="26"/>
  <c r="K436" i="26"/>
  <c r="K207" i="26"/>
  <c r="K242" i="26"/>
  <c r="K523" i="26"/>
  <c r="K374" i="26"/>
  <c r="K547" i="26"/>
  <c r="K216" i="26"/>
  <c r="K26" i="26"/>
  <c r="K55" i="26"/>
  <c r="K477" i="26"/>
  <c r="K201" i="26"/>
  <c r="K564" i="26"/>
  <c r="K623" i="26"/>
  <c r="L622" i="26" s="1"/>
  <c r="K120" i="26"/>
  <c r="L295" i="26"/>
  <c r="R39" i="26"/>
  <c r="U38" i="26"/>
  <c r="I121" i="26"/>
  <c r="R123" i="26"/>
  <c r="U122" i="26"/>
  <c r="R29" i="26"/>
  <c r="U28" i="26"/>
  <c r="H184" i="26"/>
  <c r="R550" i="26"/>
  <c r="U549" i="26"/>
  <c r="R447" i="26"/>
  <c r="U446" i="26"/>
  <c r="R171" i="26"/>
  <c r="U170" i="26"/>
  <c r="R186" i="26"/>
  <c r="U185" i="26"/>
  <c r="R210" i="26"/>
  <c r="U209" i="26"/>
  <c r="R10" i="26"/>
  <c r="U9" i="26"/>
  <c r="R439" i="26"/>
  <c r="U438" i="26"/>
  <c r="R626" i="26"/>
  <c r="U625" i="26"/>
  <c r="R58" i="26"/>
  <c r="U57" i="26"/>
  <c r="R364" i="26"/>
  <c r="U363" i="26"/>
  <c r="R219" i="26"/>
  <c r="U218" i="26"/>
  <c r="R579" i="26"/>
  <c r="U578" i="26"/>
  <c r="R567" i="26"/>
  <c r="U566" i="26"/>
  <c r="R79" i="26"/>
  <c r="U78" i="26"/>
  <c r="R303" i="26"/>
  <c r="U302" i="26"/>
  <c r="R377" i="26"/>
  <c r="U376" i="26"/>
  <c r="R150" i="26"/>
  <c r="U149" i="26"/>
  <c r="R94" i="26"/>
  <c r="U93" i="26"/>
  <c r="R603" i="26"/>
  <c r="U602" i="26"/>
  <c r="I325" i="26"/>
  <c r="R277" i="26"/>
  <c r="U276" i="26"/>
  <c r="R421" i="26"/>
  <c r="U420" i="26"/>
  <c r="H524" i="26"/>
  <c r="R237" i="26"/>
  <c r="U236" i="26"/>
  <c r="R327" i="26"/>
  <c r="U326" i="26"/>
  <c r="R245" i="26"/>
  <c r="U244" i="26"/>
  <c r="R526" i="26"/>
  <c r="U525" i="26"/>
  <c r="R258" i="26"/>
  <c r="U257" i="26"/>
  <c r="R337" i="26"/>
  <c r="U336" i="26"/>
  <c r="R204" i="26"/>
  <c r="U204" i="26" s="1"/>
  <c r="U203" i="26"/>
  <c r="R457" i="26"/>
  <c r="U456" i="26"/>
  <c r="R480" i="26"/>
  <c r="U479" i="26"/>
  <c r="K280" i="27" l="1"/>
  <c r="K96" i="27"/>
  <c r="R609" i="27"/>
  <c r="U608" i="27"/>
  <c r="U82" i="27"/>
  <c r="R83" i="27"/>
  <c r="X81" i="27"/>
  <c r="J81" i="27" s="1"/>
  <c r="W81" i="27"/>
  <c r="I81" i="27" s="1"/>
  <c r="V81" i="27"/>
  <c r="H81" i="27" s="1"/>
  <c r="K81" i="27" s="1"/>
  <c r="W607" i="27"/>
  <c r="I607" i="27" s="1"/>
  <c r="X607" i="27"/>
  <c r="J607" i="27" s="1"/>
  <c r="V607" i="27"/>
  <c r="H607" i="27" s="1"/>
  <c r="V508" i="27"/>
  <c r="H508" i="27" s="1"/>
  <c r="W508" i="27"/>
  <c r="I508" i="27" s="1"/>
  <c r="X508" i="27"/>
  <c r="J508" i="27" s="1"/>
  <c r="K13" i="27"/>
  <c r="L12" i="27" s="1"/>
  <c r="U427" i="27"/>
  <c r="R428" i="27"/>
  <c r="X14" i="27"/>
  <c r="J14" i="27" s="1"/>
  <c r="W14" i="27"/>
  <c r="I14" i="27" s="1"/>
  <c r="V14" i="27"/>
  <c r="H14" i="27" s="1"/>
  <c r="K14" i="27" s="1"/>
  <c r="K61" i="27"/>
  <c r="U251" i="27"/>
  <c r="R252" i="27"/>
  <c r="U252" i="27" s="1"/>
  <c r="R510" i="27"/>
  <c r="U509" i="27"/>
  <c r="R465" i="27"/>
  <c r="U462" i="27"/>
  <c r="W426" i="27"/>
  <c r="I426" i="27" s="1"/>
  <c r="V426" i="27"/>
  <c r="H426" i="27" s="1"/>
  <c r="K426" i="27" s="1"/>
  <c r="X426" i="27"/>
  <c r="J426" i="27" s="1"/>
  <c r="U15" i="27"/>
  <c r="R16" i="27"/>
  <c r="K400" i="27"/>
  <c r="X341" i="27"/>
  <c r="J341" i="27" s="1"/>
  <c r="W341" i="27"/>
  <c r="I341" i="27" s="1"/>
  <c r="V341" i="27"/>
  <c r="H341" i="27" s="1"/>
  <c r="K341" i="27" s="1"/>
  <c r="X189" i="27"/>
  <c r="J189" i="27" s="1"/>
  <c r="W189" i="27"/>
  <c r="I189" i="27" s="1"/>
  <c r="V189" i="27"/>
  <c r="H189" i="27" s="1"/>
  <c r="K189" i="27" s="1"/>
  <c r="K379" i="27"/>
  <c r="U331" i="27"/>
  <c r="R332" i="27"/>
  <c r="U332" i="27" s="1"/>
  <c r="K329" i="27"/>
  <c r="K221" i="27"/>
  <c r="U190" i="27"/>
  <c r="R191" i="27"/>
  <c r="W330" i="27"/>
  <c r="I330" i="27" s="1"/>
  <c r="V330" i="27"/>
  <c r="H330" i="27" s="1"/>
  <c r="X330" i="27"/>
  <c r="J330" i="27" s="1"/>
  <c r="K530" i="27"/>
  <c r="X222" i="27"/>
  <c r="J222" i="27" s="1"/>
  <c r="W222" i="27"/>
  <c r="I222" i="27" s="1"/>
  <c r="V222" i="27"/>
  <c r="H222" i="27" s="1"/>
  <c r="K222" i="27" s="1"/>
  <c r="L151" i="27"/>
  <c r="W97" i="27"/>
  <c r="I97" i="27" s="1"/>
  <c r="V97" i="27"/>
  <c r="H97" i="27" s="1"/>
  <c r="X97" i="27"/>
  <c r="J97" i="27" s="1"/>
  <c r="X380" i="27"/>
  <c r="J380" i="27" s="1"/>
  <c r="W380" i="27"/>
  <c r="I380" i="27" s="1"/>
  <c r="V380" i="27"/>
  <c r="H380" i="27" s="1"/>
  <c r="L321" i="27"/>
  <c r="W531" i="27"/>
  <c r="I531" i="27" s="1"/>
  <c r="V531" i="27"/>
  <c r="H531" i="27" s="1"/>
  <c r="K531" i="27" s="1"/>
  <c r="X531" i="27"/>
  <c r="J531" i="27" s="1"/>
  <c r="H321" i="27"/>
  <c r="U303" i="27"/>
  <c r="R304" i="27"/>
  <c r="U43" i="27"/>
  <c r="R44" i="27"/>
  <c r="R573" i="27"/>
  <c r="U572" i="27"/>
  <c r="U381" i="27"/>
  <c r="R382" i="27"/>
  <c r="U584" i="27"/>
  <c r="R585" i="27"/>
  <c r="U223" i="27"/>
  <c r="R224" i="27"/>
  <c r="V42" i="27"/>
  <c r="H42" i="27" s="1"/>
  <c r="X42" i="27"/>
  <c r="J42" i="27" s="1"/>
  <c r="W42" i="27"/>
  <c r="I42" i="27" s="1"/>
  <c r="U156" i="27"/>
  <c r="R157" i="27"/>
  <c r="W302" i="27"/>
  <c r="I302" i="27" s="1"/>
  <c r="V302" i="27"/>
  <c r="H302" i="27" s="1"/>
  <c r="X302" i="27"/>
  <c r="J302" i="27" s="1"/>
  <c r="X401" i="27"/>
  <c r="J401" i="27" s="1"/>
  <c r="W401" i="27"/>
  <c r="I401" i="27" s="1"/>
  <c r="V401" i="27"/>
  <c r="H401" i="27" s="1"/>
  <c r="V571" i="27"/>
  <c r="H571" i="27" s="1"/>
  <c r="W571" i="27"/>
  <c r="I571" i="27" s="1"/>
  <c r="X571" i="27"/>
  <c r="J571" i="27" s="1"/>
  <c r="X463" i="27"/>
  <c r="J463" i="27" s="1"/>
  <c r="W463" i="27"/>
  <c r="I463" i="27" s="1"/>
  <c r="V463" i="27"/>
  <c r="H463" i="27" s="1"/>
  <c r="K463" i="27" s="1"/>
  <c r="K116" i="27"/>
  <c r="L107" i="27" s="1"/>
  <c r="X583" i="27"/>
  <c r="J583" i="27" s="1"/>
  <c r="W583" i="27"/>
  <c r="I583" i="27" s="1"/>
  <c r="V583" i="27"/>
  <c r="H583" i="27" s="1"/>
  <c r="W281" i="27"/>
  <c r="I281" i="27" s="1"/>
  <c r="V281" i="27"/>
  <c r="H281" i="27" s="1"/>
  <c r="X281" i="27"/>
  <c r="J281" i="27" s="1"/>
  <c r="L452" i="27"/>
  <c r="K507" i="27"/>
  <c r="K460" i="27"/>
  <c r="L208" i="27"/>
  <c r="K211" i="27"/>
  <c r="X464" i="27"/>
  <c r="J464" i="27" s="1"/>
  <c r="V464" i="27"/>
  <c r="H464" i="27" s="1"/>
  <c r="W464" i="27"/>
  <c r="I464" i="27" s="1"/>
  <c r="K128" i="27"/>
  <c r="K188" i="27"/>
  <c r="K175" i="27"/>
  <c r="U98" i="27"/>
  <c r="R99" i="27"/>
  <c r="L25" i="27"/>
  <c r="K340" i="27"/>
  <c r="X366" i="27"/>
  <c r="J366" i="27" s="1"/>
  <c r="W366" i="27"/>
  <c r="I366" i="27" s="1"/>
  <c r="V366" i="27"/>
  <c r="H366" i="27" s="1"/>
  <c r="K366" i="27" s="1"/>
  <c r="X155" i="27"/>
  <c r="J155" i="27" s="1"/>
  <c r="W155" i="27"/>
  <c r="I155" i="27" s="1"/>
  <c r="V155" i="27"/>
  <c r="H155" i="27" s="1"/>
  <c r="W552" i="27"/>
  <c r="I552" i="27" s="1"/>
  <c r="V552" i="27"/>
  <c r="H552" i="27" s="1"/>
  <c r="X552" i="27"/>
  <c r="J552" i="27" s="1"/>
  <c r="X250" i="27"/>
  <c r="J250" i="27" s="1"/>
  <c r="W250" i="27"/>
  <c r="I250" i="27" s="1"/>
  <c r="V250" i="27"/>
  <c r="H250" i="27" s="1"/>
  <c r="K250" i="27" s="1"/>
  <c r="U532" i="27"/>
  <c r="R533" i="27"/>
  <c r="U553" i="27"/>
  <c r="R554" i="27"/>
  <c r="K551" i="27"/>
  <c r="K262" i="27"/>
  <c r="K425" i="27"/>
  <c r="L424" i="27" s="1"/>
  <c r="R131" i="27"/>
  <c r="U130" i="27"/>
  <c r="R64" i="27"/>
  <c r="U63" i="27"/>
  <c r="V176" i="27"/>
  <c r="H176" i="27" s="1"/>
  <c r="X176" i="27"/>
  <c r="J176" i="27" s="1"/>
  <c r="W176" i="27"/>
  <c r="I176" i="27" s="1"/>
  <c r="W461" i="27"/>
  <c r="I461" i="27" s="1"/>
  <c r="V461" i="27"/>
  <c r="H461" i="27" s="1"/>
  <c r="X461" i="27"/>
  <c r="J461" i="27" s="1"/>
  <c r="U264" i="27"/>
  <c r="R265" i="27"/>
  <c r="V263" i="27"/>
  <c r="H263" i="27" s="1"/>
  <c r="K263" i="27" s="1"/>
  <c r="X263" i="27"/>
  <c r="J263" i="27" s="1"/>
  <c r="W263" i="27"/>
  <c r="I263" i="27" s="1"/>
  <c r="U402" i="27"/>
  <c r="R403" i="27"/>
  <c r="K80" i="27"/>
  <c r="L78" i="27" s="1"/>
  <c r="W632" i="27"/>
  <c r="I632" i="27" s="1"/>
  <c r="X632" i="27"/>
  <c r="J632" i="27" s="1"/>
  <c r="V632" i="27"/>
  <c r="H632" i="27" s="1"/>
  <c r="V129" i="27"/>
  <c r="H129" i="27" s="1"/>
  <c r="X129" i="27"/>
  <c r="J129" i="27" s="1"/>
  <c r="W129" i="27"/>
  <c r="I129" i="27" s="1"/>
  <c r="K365" i="27"/>
  <c r="R487" i="27"/>
  <c r="U486" i="27"/>
  <c r="K582" i="27"/>
  <c r="X62" i="27"/>
  <c r="J62" i="27" s="1"/>
  <c r="W62" i="27"/>
  <c r="I62" i="27" s="1"/>
  <c r="V62" i="27"/>
  <c r="H62" i="27" s="1"/>
  <c r="K62" i="27" s="1"/>
  <c r="R178" i="27"/>
  <c r="U177" i="27"/>
  <c r="R368" i="27"/>
  <c r="U367" i="27"/>
  <c r="R343" i="27"/>
  <c r="U342" i="27"/>
  <c r="R634" i="27"/>
  <c r="U633" i="27"/>
  <c r="K484" i="27"/>
  <c r="L483" i="27" s="1"/>
  <c r="V485" i="27"/>
  <c r="H485" i="27" s="1"/>
  <c r="X485" i="27"/>
  <c r="J485" i="27" s="1"/>
  <c r="W485" i="27"/>
  <c r="I485" i="27" s="1"/>
  <c r="K631" i="27"/>
  <c r="U282" i="27"/>
  <c r="R283" i="27"/>
  <c r="K505" i="26"/>
  <c r="U507" i="26"/>
  <c r="R508" i="26"/>
  <c r="W506" i="26"/>
  <c r="I506" i="26" s="1"/>
  <c r="X506" i="26"/>
  <c r="J506" i="26" s="1"/>
  <c r="V506" i="26"/>
  <c r="H506" i="26" s="1"/>
  <c r="K506" i="26" s="1"/>
  <c r="U396" i="26"/>
  <c r="R397" i="26"/>
  <c r="V395" i="26"/>
  <c r="H395" i="26" s="1"/>
  <c r="X395" i="26"/>
  <c r="J395" i="26" s="1"/>
  <c r="W395" i="26"/>
  <c r="I395" i="26" s="1"/>
  <c r="K394" i="26"/>
  <c r="K317" i="26"/>
  <c r="K335" i="26"/>
  <c r="U319" i="26"/>
  <c r="R320" i="26"/>
  <c r="W318" i="26"/>
  <c r="I318" i="26" s="1"/>
  <c r="V318" i="26"/>
  <c r="H318" i="26" s="1"/>
  <c r="X318" i="26"/>
  <c r="J318" i="26" s="1"/>
  <c r="V302" i="26"/>
  <c r="H302" i="26" s="1"/>
  <c r="X302" i="26"/>
  <c r="J302" i="26" s="1"/>
  <c r="W302" i="26"/>
  <c r="I302" i="26" s="1"/>
  <c r="W236" i="26"/>
  <c r="I236" i="26" s="1"/>
  <c r="X236" i="26"/>
  <c r="V236" i="26"/>
  <c r="H236" i="26" s="1"/>
  <c r="V9" i="26"/>
  <c r="W9" i="26"/>
  <c r="I9" i="26" s="1"/>
  <c r="X9" i="26"/>
  <c r="J9" i="26" s="1"/>
  <c r="X446" i="26"/>
  <c r="V446" i="26"/>
  <c r="H446" i="26" s="1"/>
  <c r="W446" i="26"/>
  <c r="I446" i="26" s="1"/>
  <c r="X363" i="26"/>
  <c r="J363" i="26" s="1"/>
  <c r="V363" i="26"/>
  <c r="H363" i="26" s="1"/>
  <c r="W363" i="26"/>
  <c r="I363" i="26" s="1"/>
  <c r="V336" i="26"/>
  <c r="H336" i="26" s="1"/>
  <c r="X336" i="26"/>
  <c r="W336" i="26"/>
  <c r="I336" i="26" s="1"/>
  <c r="W525" i="26"/>
  <c r="I525" i="26" s="1"/>
  <c r="X525" i="26"/>
  <c r="J525" i="26" s="1"/>
  <c r="V525" i="26"/>
  <c r="X602" i="26"/>
  <c r="J602" i="26" s="1"/>
  <c r="V602" i="26"/>
  <c r="W602" i="26"/>
  <c r="I602" i="26" s="1"/>
  <c r="V57" i="26"/>
  <c r="H57" i="26" s="1"/>
  <c r="W57" i="26"/>
  <c r="I57" i="26" s="1"/>
  <c r="X57" i="26"/>
  <c r="J57" i="26" s="1"/>
  <c r="X218" i="26"/>
  <c r="J218" i="26" s="1"/>
  <c r="W218" i="26"/>
  <c r="I218" i="26" s="1"/>
  <c r="V218" i="26"/>
  <c r="H218" i="26" s="1"/>
  <c r="R113" i="26"/>
  <c r="U112" i="26"/>
  <c r="X479" i="26"/>
  <c r="J479" i="26" s="1"/>
  <c r="V479" i="26"/>
  <c r="H479" i="26" s="1"/>
  <c r="W479" i="26"/>
  <c r="I479" i="26" s="1"/>
  <c r="K110" i="26"/>
  <c r="V566" i="26"/>
  <c r="H566" i="26" s="1"/>
  <c r="X566" i="26"/>
  <c r="J566" i="26" s="1"/>
  <c r="W566" i="26"/>
  <c r="I566" i="26" s="1"/>
  <c r="X78" i="26"/>
  <c r="J78" i="26" s="1"/>
  <c r="V78" i="26"/>
  <c r="H78" i="26" s="1"/>
  <c r="W78" i="26"/>
  <c r="I78" i="26" s="1"/>
  <c r="V420" i="26"/>
  <c r="H420" i="26" s="1"/>
  <c r="X420" i="26"/>
  <c r="J420" i="26" s="1"/>
  <c r="W420" i="26"/>
  <c r="I420" i="26" s="1"/>
  <c r="X111" i="26"/>
  <c r="J111" i="26" s="1"/>
  <c r="W111" i="26"/>
  <c r="I111" i="26" s="1"/>
  <c r="V111" i="26"/>
  <c r="H111" i="26" s="1"/>
  <c r="V170" i="26"/>
  <c r="H170" i="26" s="1"/>
  <c r="X170" i="26"/>
  <c r="J170" i="26" s="1"/>
  <c r="W170" i="26"/>
  <c r="I170" i="26" s="1"/>
  <c r="W38" i="26"/>
  <c r="I38" i="26" s="1"/>
  <c r="X38" i="26"/>
  <c r="J38" i="26" s="1"/>
  <c r="V38" i="26"/>
  <c r="H38" i="26" s="1"/>
  <c r="V257" i="26"/>
  <c r="H257" i="26" s="1"/>
  <c r="X257" i="26"/>
  <c r="J257" i="26" s="1"/>
  <c r="W257" i="26"/>
  <c r="I257" i="26" s="1"/>
  <c r="W456" i="26"/>
  <c r="I456" i="26" s="1"/>
  <c r="X456" i="26"/>
  <c r="J456" i="26" s="1"/>
  <c r="V456" i="26"/>
  <c r="H456" i="26" s="1"/>
  <c r="W203" i="26"/>
  <c r="I203" i="26" s="1"/>
  <c r="I204" i="26" s="1"/>
  <c r="V203" i="26"/>
  <c r="H203" i="26" s="1"/>
  <c r="X203" i="26"/>
  <c r="J203" i="26" s="1"/>
  <c r="J204" i="26" s="1"/>
  <c r="X204" i="26"/>
  <c r="W204" i="26"/>
  <c r="V204" i="26"/>
  <c r="W93" i="26"/>
  <c r="I93" i="26" s="1"/>
  <c r="X93" i="26"/>
  <c r="J93" i="26" s="1"/>
  <c r="V93" i="26"/>
  <c r="H93" i="26" s="1"/>
  <c r="X149" i="26"/>
  <c r="J149" i="26" s="1"/>
  <c r="W149" i="26"/>
  <c r="I149" i="26" s="1"/>
  <c r="V149" i="26"/>
  <c r="H149" i="26" s="1"/>
  <c r="V122" i="26"/>
  <c r="H122" i="26" s="1"/>
  <c r="W122" i="26"/>
  <c r="I122" i="26" s="1"/>
  <c r="X122" i="26"/>
  <c r="J122" i="26" s="1"/>
  <c r="V276" i="26"/>
  <c r="H276" i="26" s="1"/>
  <c r="X276" i="26"/>
  <c r="J276" i="26" s="1"/>
  <c r="W276" i="26"/>
  <c r="I276" i="26" s="1"/>
  <c r="X625" i="26"/>
  <c r="J625" i="26" s="1"/>
  <c r="V625" i="26"/>
  <c r="H625" i="26" s="1"/>
  <c r="W625" i="26"/>
  <c r="I625" i="26" s="1"/>
  <c r="W185" i="26"/>
  <c r="I185" i="26" s="1"/>
  <c r="X185" i="26"/>
  <c r="J185" i="26" s="1"/>
  <c r="V185" i="26"/>
  <c r="H185" i="26" s="1"/>
  <c r="V28" i="26"/>
  <c r="H28" i="26" s="1"/>
  <c r="W28" i="26"/>
  <c r="I28" i="26" s="1"/>
  <c r="X28" i="26"/>
  <c r="J28" i="26" s="1"/>
  <c r="V209" i="26"/>
  <c r="H209" i="26" s="1"/>
  <c r="W209" i="26"/>
  <c r="I209" i="26" s="1"/>
  <c r="X209" i="26"/>
  <c r="J209" i="26" s="1"/>
  <c r="W244" i="26"/>
  <c r="I244" i="26" s="1"/>
  <c r="V244" i="26"/>
  <c r="H244" i="26" s="1"/>
  <c r="X244" i="26"/>
  <c r="J244" i="26" s="1"/>
  <c r="W326" i="26"/>
  <c r="I326" i="26" s="1"/>
  <c r="V326" i="26"/>
  <c r="H326" i="26" s="1"/>
  <c r="X326" i="26"/>
  <c r="J326" i="26" s="1"/>
  <c r="X438" i="26"/>
  <c r="J438" i="26" s="1"/>
  <c r="V438" i="26"/>
  <c r="H438" i="26" s="1"/>
  <c r="W438" i="26"/>
  <c r="I438" i="26" s="1"/>
  <c r="X376" i="26"/>
  <c r="J376" i="26" s="1"/>
  <c r="V376" i="26"/>
  <c r="H376" i="26" s="1"/>
  <c r="W376" i="26"/>
  <c r="I376" i="26" s="1"/>
  <c r="V549" i="26"/>
  <c r="H549" i="26" s="1"/>
  <c r="X549" i="26"/>
  <c r="J549" i="26" s="1"/>
  <c r="W549" i="26"/>
  <c r="I549" i="26" s="1"/>
  <c r="K325" i="26"/>
  <c r="W578" i="26"/>
  <c r="I578" i="26" s="1"/>
  <c r="X578" i="26"/>
  <c r="J578" i="26" s="1"/>
  <c r="V578" i="26"/>
  <c r="H578" i="26" s="1"/>
  <c r="K256" i="26"/>
  <c r="K27" i="26"/>
  <c r="K77" i="26"/>
  <c r="L74" i="26" s="1"/>
  <c r="K92" i="26"/>
  <c r="K548" i="26"/>
  <c r="K565" i="26"/>
  <c r="K375" i="26"/>
  <c r="K8" i="26"/>
  <c r="K455" i="26"/>
  <c r="K419" i="26"/>
  <c r="K601" i="26"/>
  <c r="K121" i="26"/>
  <c r="L119" i="26" s="1"/>
  <c r="K624" i="26"/>
  <c r="K478" i="26"/>
  <c r="K524" i="26"/>
  <c r="K217" i="26"/>
  <c r="K362" i="26"/>
  <c r="K169" i="26"/>
  <c r="K275" i="26"/>
  <c r="K148" i="26"/>
  <c r="K235" i="26"/>
  <c r="K243" i="26"/>
  <c r="L241" i="26" s="1"/>
  <c r="K56" i="26"/>
  <c r="K208" i="26"/>
  <c r="K445" i="26"/>
  <c r="K37" i="26"/>
  <c r="L34" i="26" s="1"/>
  <c r="K184" i="26"/>
  <c r="K437" i="26"/>
  <c r="K202" i="26"/>
  <c r="L200" i="26" s="1"/>
  <c r="K301" i="26"/>
  <c r="K577" i="26"/>
  <c r="R580" i="26"/>
  <c r="U579" i="26"/>
  <c r="L433" i="26"/>
  <c r="R40" i="26"/>
  <c r="U39" i="26"/>
  <c r="R440" i="26"/>
  <c r="U439" i="26"/>
  <c r="J236" i="26"/>
  <c r="H602" i="26"/>
  <c r="R80" i="26"/>
  <c r="U79" i="26"/>
  <c r="R246" i="26"/>
  <c r="U245" i="26"/>
  <c r="R238" i="26"/>
  <c r="U237" i="26"/>
  <c r="R604" i="26"/>
  <c r="U603" i="26"/>
  <c r="R172" i="26"/>
  <c r="U171" i="26"/>
  <c r="R365" i="26"/>
  <c r="U364" i="26"/>
  <c r="L90" i="26"/>
  <c r="R211" i="26"/>
  <c r="U211" i="26" s="1"/>
  <c r="U210" i="26"/>
  <c r="J446" i="26"/>
  <c r="R30" i="26"/>
  <c r="U29" i="26"/>
  <c r="R458" i="26"/>
  <c r="U457" i="26"/>
  <c r="R328" i="26"/>
  <c r="U327" i="26"/>
  <c r="R448" i="26"/>
  <c r="U447" i="26"/>
  <c r="L205" i="26"/>
  <c r="R378" i="26"/>
  <c r="U377" i="26"/>
  <c r="R59" i="26"/>
  <c r="U58" i="26"/>
  <c r="R481" i="26"/>
  <c r="U480" i="26"/>
  <c r="R151" i="26"/>
  <c r="U150" i="26"/>
  <c r="R568" i="26"/>
  <c r="U567" i="26"/>
  <c r="R551" i="26"/>
  <c r="U550" i="26"/>
  <c r="R259" i="26"/>
  <c r="U258" i="26"/>
  <c r="R422" i="26"/>
  <c r="U421" i="26"/>
  <c r="R95" i="26"/>
  <c r="U94" i="26"/>
  <c r="R304" i="26"/>
  <c r="U303" i="26"/>
  <c r="R11" i="26"/>
  <c r="U10" i="26"/>
  <c r="R187" i="26"/>
  <c r="U186" i="26"/>
  <c r="J336" i="26"/>
  <c r="H525" i="26"/>
  <c r="H9" i="26"/>
  <c r="R124" i="26"/>
  <c r="U123" i="26"/>
  <c r="R338" i="26"/>
  <c r="U337" i="26"/>
  <c r="R527" i="26"/>
  <c r="U526" i="26"/>
  <c r="R278" i="26"/>
  <c r="U277" i="26"/>
  <c r="R220" i="26"/>
  <c r="U219" i="26"/>
  <c r="R627" i="26"/>
  <c r="U626" i="26"/>
  <c r="X367" i="27" l="1"/>
  <c r="J367" i="27" s="1"/>
  <c r="W367" i="27"/>
  <c r="I367" i="27" s="1"/>
  <c r="V367" i="27"/>
  <c r="H367" i="27" s="1"/>
  <c r="K367" i="27" s="1"/>
  <c r="R45" i="27"/>
  <c r="U44" i="27"/>
  <c r="U368" i="27"/>
  <c r="R369" i="27"/>
  <c r="R404" i="27"/>
  <c r="U403" i="27"/>
  <c r="R555" i="27"/>
  <c r="U554" i="27"/>
  <c r="K302" i="27"/>
  <c r="X43" i="27"/>
  <c r="J43" i="27" s="1"/>
  <c r="W43" i="27"/>
  <c r="I43" i="27" s="1"/>
  <c r="V43" i="27"/>
  <c r="H43" i="27" s="1"/>
  <c r="K43" i="27" s="1"/>
  <c r="W177" i="27"/>
  <c r="I177" i="27" s="1"/>
  <c r="V177" i="27"/>
  <c r="H177" i="27" s="1"/>
  <c r="X177" i="27"/>
  <c r="J177" i="27" s="1"/>
  <c r="X402" i="27"/>
  <c r="J402" i="27" s="1"/>
  <c r="W402" i="27"/>
  <c r="I402" i="27" s="1"/>
  <c r="V402" i="27"/>
  <c r="H402" i="27" s="1"/>
  <c r="K402" i="27" s="1"/>
  <c r="W553" i="27"/>
  <c r="I553" i="27" s="1"/>
  <c r="V553" i="27"/>
  <c r="H553" i="27" s="1"/>
  <c r="K553" i="27" s="1"/>
  <c r="X553" i="27"/>
  <c r="J553" i="27" s="1"/>
  <c r="R305" i="27"/>
  <c r="U304" i="27"/>
  <c r="R429" i="27"/>
  <c r="U428" i="27"/>
  <c r="U83" i="27"/>
  <c r="R84" i="27"/>
  <c r="W572" i="27"/>
  <c r="I572" i="27" s="1"/>
  <c r="V572" i="27"/>
  <c r="H572" i="27" s="1"/>
  <c r="X572" i="27"/>
  <c r="J572" i="27" s="1"/>
  <c r="R179" i="27"/>
  <c r="U178" i="27"/>
  <c r="U533" i="27"/>
  <c r="R534" i="27"/>
  <c r="X303" i="27"/>
  <c r="J303" i="27" s="1"/>
  <c r="W303" i="27"/>
  <c r="I303" i="27" s="1"/>
  <c r="V303" i="27"/>
  <c r="H303" i="27" s="1"/>
  <c r="K303" i="27" s="1"/>
  <c r="K330" i="27"/>
  <c r="X427" i="27"/>
  <c r="J427" i="27" s="1"/>
  <c r="W427" i="27"/>
  <c r="I427" i="27" s="1"/>
  <c r="V427" i="27"/>
  <c r="H427" i="27" s="1"/>
  <c r="W82" i="27"/>
  <c r="I82" i="27" s="1"/>
  <c r="X82" i="27"/>
  <c r="J82" i="27" s="1"/>
  <c r="V82" i="27"/>
  <c r="H82" i="27" s="1"/>
  <c r="V532" i="27"/>
  <c r="H532" i="27" s="1"/>
  <c r="W532" i="27"/>
  <c r="I532" i="27" s="1"/>
  <c r="X532" i="27"/>
  <c r="J532" i="27" s="1"/>
  <c r="K281" i="27"/>
  <c r="U265" i="27"/>
  <c r="R266" i="27"/>
  <c r="R100" i="27"/>
  <c r="U99" i="27"/>
  <c r="K583" i="27"/>
  <c r="W156" i="27"/>
  <c r="I156" i="27" s="1"/>
  <c r="V156" i="27"/>
  <c r="H156" i="27" s="1"/>
  <c r="K156" i="27" s="1"/>
  <c r="X156" i="27"/>
  <c r="J156" i="27" s="1"/>
  <c r="U191" i="27"/>
  <c r="R192" i="27"/>
  <c r="X608" i="27"/>
  <c r="J608" i="27" s="1"/>
  <c r="W608" i="27"/>
  <c r="I608" i="27" s="1"/>
  <c r="V608" i="27"/>
  <c r="H608" i="27" s="1"/>
  <c r="K508" i="27"/>
  <c r="X342" i="27"/>
  <c r="J342" i="27" s="1"/>
  <c r="V342" i="27"/>
  <c r="H342" i="27" s="1"/>
  <c r="K342" i="27" s="1"/>
  <c r="L338" i="27" s="1"/>
  <c r="W342" i="27"/>
  <c r="I342" i="27" s="1"/>
  <c r="R574" i="27"/>
  <c r="U574" i="27" s="1"/>
  <c r="U573" i="27"/>
  <c r="L33" i="27"/>
  <c r="U16" i="27"/>
  <c r="R17" i="27"/>
  <c r="K461" i="27"/>
  <c r="L459" i="27" s="1"/>
  <c r="L117" i="27"/>
  <c r="K42" i="27"/>
  <c r="K607" i="27"/>
  <c r="X190" i="27"/>
  <c r="J190" i="27" s="1"/>
  <c r="W190" i="27"/>
  <c r="I190" i="27" s="1"/>
  <c r="V190" i="27"/>
  <c r="H190" i="27" s="1"/>
  <c r="U343" i="27"/>
  <c r="R344" i="27"/>
  <c r="K552" i="27"/>
  <c r="R225" i="27"/>
  <c r="U224" i="27"/>
  <c r="K380" i="27"/>
  <c r="K117" i="27"/>
  <c r="X98" i="27"/>
  <c r="J98" i="27" s="1"/>
  <c r="W98" i="27"/>
  <c r="I98" i="27" s="1"/>
  <c r="V98" i="27"/>
  <c r="H98" i="27" s="1"/>
  <c r="K98" i="27" s="1"/>
  <c r="R488" i="27"/>
  <c r="U487" i="27"/>
  <c r="K464" i="27"/>
  <c r="W223" i="27"/>
  <c r="I223" i="27" s="1"/>
  <c r="V223" i="27"/>
  <c r="H223" i="27" s="1"/>
  <c r="K223" i="27" s="1"/>
  <c r="X223" i="27"/>
  <c r="J223" i="27" s="1"/>
  <c r="X462" i="27"/>
  <c r="J462" i="27" s="1"/>
  <c r="V462" i="27"/>
  <c r="H462" i="27" s="1"/>
  <c r="K462" i="27" s="1"/>
  <c r="W462" i="27"/>
  <c r="I462" i="27" s="1"/>
  <c r="R158" i="27"/>
  <c r="U157" i="27"/>
  <c r="V264" i="27"/>
  <c r="H264" i="27" s="1"/>
  <c r="W264" i="27"/>
  <c r="I264" i="27" s="1"/>
  <c r="X264" i="27"/>
  <c r="J264" i="27" s="1"/>
  <c r="K485" i="27"/>
  <c r="K176" i="27"/>
  <c r="R586" i="27"/>
  <c r="U585" i="27"/>
  <c r="W332" i="27"/>
  <c r="X332" i="27"/>
  <c r="V332" i="27"/>
  <c r="R466" i="27"/>
  <c r="U465" i="27"/>
  <c r="W282" i="27"/>
  <c r="I282" i="27" s="1"/>
  <c r="X282" i="27"/>
  <c r="J282" i="27" s="1"/>
  <c r="V282" i="27"/>
  <c r="H282" i="27" s="1"/>
  <c r="K632" i="27"/>
  <c r="L628" i="27" s="1"/>
  <c r="X63" i="27"/>
  <c r="J63" i="27" s="1"/>
  <c r="W63" i="27"/>
  <c r="I63" i="27" s="1"/>
  <c r="V63" i="27"/>
  <c r="H63" i="27" s="1"/>
  <c r="K63" i="27" s="1"/>
  <c r="K155" i="27"/>
  <c r="V584" i="27"/>
  <c r="H584" i="27" s="1"/>
  <c r="W584" i="27"/>
  <c r="I584" i="27" s="1"/>
  <c r="X584" i="27"/>
  <c r="J584" i="27" s="1"/>
  <c r="V331" i="27"/>
  <c r="H331" i="27" s="1"/>
  <c r="X331" i="27"/>
  <c r="J331" i="27" s="1"/>
  <c r="J332" i="27" s="1"/>
  <c r="W331" i="27"/>
  <c r="I331" i="27" s="1"/>
  <c r="I332" i="27" s="1"/>
  <c r="X509" i="27"/>
  <c r="J509" i="27" s="1"/>
  <c r="W509" i="27"/>
  <c r="I509" i="27" s="1"/>
  <c r="V509" i="27"/>
  <c r="H509" i="27" s="1"/>
  <c r="K509" i="27" s="1"/>
  <c r="X486" i="27"/>
  <c r="J486" i="27" s="1"/>
  <c r="W486" i="27"/>
  <c r="I486" i="27" s="1"/>
  <c r="V486" i="27"/>
  <c r="H486" i="27" s="1"/>
  <c r="K129" i="27"/>
  <c r="L125" i="27" s="1"/>
  <c r="U64" i="27"/>
  <c r="R65" i="27"/>
  <c r="K571" i="27"/>
  <c r="K97" i="27"/>
  <c r="U510" i="27"/>
  <c r="R511" i="27"/>
  <c r="R284" i="27"/>
  <c r="U283" i="27"/>
  <c r="V15" i="27"/>
  <c r="H15" i="27" s="1"/>
  <c r="X15" i="27"/>
  <c r="J15" i="27" s="1"/>
  <c r="W15" i="27"/>
  <c r="I15" i="27" s="1"/>
  <c r="X633" i="27"/>
  <c r="J633" i="27" s="1"/>
  <c r="W633" i="27"/>
  <c r="I633" i="27" s="1"/>
  <c r="V633" i="27"/>
  <c r="H633" i="27" s="1"/>
  <c r="K633" i="27" s="1"/>
  <c r="L92" i="27"/>
  <c r="U609" i="27"/>
  <c r="R610" i="27"/>
  <c r="V130" i="27"/>
  <c r="H130" i="27" s="1"/>
  <c r="X130" i="27"/>
  <c r="J130" i="27" s="1"/>
  <c r="W130" i="27"/>
  <c r="I130" i="27" s="1"/>
  <c r="R383" i="27"/>
  <c r="U382" i="27"/>
  <c r="X252" i="27"/>
  <c r="W252" i="27"/>
  <c r="V252" i="27"/>
  <c r="R635" i="27"/>
  <c r="U634" i="27"/>
  <c r="R132" i="27"/>
  <c r="U131" i="27"/>
  <c r="L211" i="27"/>
  <c r="K401" i="27"/>
  <c r="X381" i="27"/>
  <c r="J381" i="27" s="1"/>
  <c r="W381" i="27"/>
  <c r="I381" i="27" s="1"/>
  <c r="V381" i="27"/>
  <c r="H381" i="27" s="1"/>
  <c r="V251" i="27"/>
  <c r="H251" i="27" s="1"/>
  <c r="X251" i="27"/>
  <c r="J251" i="27" s="1"/>
  <c r="J252" i="27" s="1"/>
  <c r="W251" i="27"/>
  <c r="I251" i="27" s="1"/>
  <c r="I252" i="27" s="1"/>
  <c r="U508" i="26"/>
  <c r="R509" i="26"/>
  <c r="X507" i="26"/>
  <c r="J507" i="26" s="1"/>
  <c r="W507" i="26"/>
  <c r="I507" i="26" s="1"/>
  <c r="V507" i="26"/>
  <c r="H507" i="26" s="1"/>
  <c r="K507" i="26" s="1"/>
  <c r="K395" i="26"/>
  <c r="U397" i="26"/>
  <c r="R398" i="26"/>
  <c r="V396" i="26"/>
  <c r="H396" i="26" s="1"/>
  <c r="W396" i="26"/>
  <c r="I396" i="26" s="1"/>
  <c r="X396" i="26"/>
  <c r="J396" i="26" s="1"/>
  <c r="K318" i="26"/>
  <c r="U320" i="26"/>
  <c r="R321" i="26"/>
  <c r="U321" i="26" s="1"/>
  <c r="W319" i="26"/>
  <c r="I319" i="26" s="1"/>
  <c r="V319" i="26"/>
  <c r="H319" i="26" s="1"/>
  <c r="X319" i="26"/>
  <c r="J319" i="26" s="1"/>
  <c r="U113" i="26"/>
  <c r="R114" i="26"/>
  <c r="V219" i="26"/>
  <c r="H219" i="26" s="1"/>
  <c r="W219" i="26"/>
  <c r="I219" i="26" s="1"/>
  <c r="X219" i="26"/>
  <c r="V171" i="26"/>
  <c r="H171" i="26" s="1"/>
  <c r="W171" i="26"/>
  <c r="I171" i="26" s="1"/>
  <c r="X171" i="26"/>
  <c r="J171" i="26" s="1"/>
  <c r="V579" i="26"/>
  <c r="H579" i="26" s="1"/>
  <c r="W579" i="26"/>
  <c r="I579" i="26" s="1"/>
  <c r="X579" i="26"/>
  <c r="W550" i="26"/>
  <c r="I550" i="26" s="1"/>
  <c r="V550" i="26"/>
  <c r="X550" i="26"/>
  <c r="J550" i="26" s="1"/>
  <c r="V29" i="26"/>
  <c r="H29" i="26" s="1"/>
  <c r="X29" i="26"/>
  <c r="J29" i="26" s="1"/>
  <c r="W29" i="26"/>
  <c r="W79" i="26"/>
  <c r="I79" i="26" s="1"/>
  <c r="V79" i="26"/>
  <c r="H79" i="26" s="1"/>
  <c r="X79" i="26"/>
  <c r="J79" i="26" s="1"/>
  <c r="X421" i="26"/>
  <c r="J421" i="26" s="1"/>
  <c r="W421" i="26"/>
  <c r="I421" i="26" s="1"/>
  <c r="V421" i="26"/>
  <c r="H421" i="26" s="1"/>
  <c r="X457" i="26"/>
  <c r="J457" i="26" s="1"/>
  <c r="V457" i="26"/>
  <c r="H457" i="26" s="1"/>
  <c r="W457" i="26"/>
  <c r="I457" i="26" s="1"/>
  <c r="V277" i="26"/>
  <c r="X277" i="26"/>
  <c r="J277" i="26" s="1"/>
  <c r="W277" i="26"/>
  <c r="X447" i="26"/>
  <c r="J447" i="26" s="1"/>
  <c r="V447" i="26"/>
  <c r="H447" i="26" s="1"/>
  <c r="W447" i="26"/>
  <c r="I447" i="26" s="1"/>
  <c r="K111" i="26"/>
  <c r="W58" i="26"/>
  <c r="I58" i="26" s="1"/>
  <c r="X58" i="26"/>
  <c r="J58" i="26" s="1"/>
  <c r="V58" i="26"/>
  <c r="H58" i="26" s="1"/>
  <c r="X210" i="26"/>
  <c r="J210" i="26" s="1"/>
  <c r="J211" i="26" s="1"/>
  <c r="V210" i="26"/>
  <c r="H210" i="26" s="1"/>
  <c r="W210" i="26"/>
  <c r="I210" i="26" s="1"/>
  <c r="I211" i="26" s="1"/>
  <c r="X112" i="26"/>
  <c r="J112" i="26" s="1"/>
  <c r="W112" i="26"/>
  <c r="I112" i="26" s="1"/>
  <c r="V112" i="26"/>
  <c r="H112" i="26" s="1"/>
  <c r="W39" i="26"/>
  <c r="I39" i="26" s="1"/>
  <c r="V39" i="26"/>
  <c r="X39" i="26"/>
  <c r="J39" i="26" s="1"/>
  <c r="V258" i="26"/>
  <c r="H258" i="26" s="1"/>
  <c r="X258" i="26"/>
  <c r="J258" i="26" s="1"/>
  <c r="W258" i="26"/>
  <c r="I258" i="26" s="1"/>
  <c r="X439" i="26"/>
  <c r="J439" i="26" s="1"/>
  <c r="V439" i="26"/>
  <c r="H439" i="26" s="1"/>
  <c r="W439" i="26"/>
  <c r="I439" i="26" s="1"/>
  <c r="X211" i="26"/>
  <c r="W211" i="26"/>
  <c r="V211" i="26"/>
  <c r="W337" i="26"/>
  <c r="I337" i="26" s="1"/>
  <c r="X337" i="26"/>
  <c r="J337" i="26" s="1"/>
  <c r="V337" i="26"/>
  <c r="H337" i="26" s="1"/>
  <c r="V364" i="26"/>
  <c r="H364" i="26" s="1"/>
  <c r="X364" i="26"/>
  <c r="J364" i="26" s="1"/>
  <c r="W364" i="26"/>
  <c r="I364" i="26" s="1"/>
  <c r="X567" i="26"/>
  <c r="J567" i="26" s="1"/>
  <c r="V567" i="26"/>
  <c r="H567" i="26" s="1"/>
  <c r="W567" i="26"/>
  <c r="I567" i="26" s="1"/>
  <c r="X526" i="26"/>
  <c r="J526" i="26" s="1"/>
  <c r="V526" i="26"/>
  <c r="H526" i="26" s="1"/>
  <c r="W526" i="26"/>
  <c r="I526" i="26" s="1"/>
  <c r="X150" i="26"/>
  <c r="J150" i="26" s="1"/>
  <c r="V150" i="26"/>
  <c r="H150" i="26" s="1"/>
  <c r="W150" i="26"/>
  <c r="I150" i="26" s="1"/>
  <c r="W603" i="26"/>
  <c r="I603" i="26" s="1"/>
  <c r="X603" i="26"/>
  <c r="J603" i="26" s="1"/>
  <c r="V603" i="26"/>
  <c r="H603" i="26" s="1"/>
  <c r="X186" i="26"/>
  <c r="J186" i="26" s="1"/>
  <c r="V186" i="26"/>
  <c r="H186" i="26" s="1"/>
  <c r="W186" i="26"/>
  <c r="I186" i="26" s="1"/>
  <c r="V303" i="26"/>
  <c r="H303" i="26" s="1"/>
  <c r="W303" i="26"/>
  <c r="I303" i="26" s="1"/>
  <c r="X303" i="26"/>
  <c r="J303" i="26" s="1"/>
  <c r="W480" i="26"/>
  <c r="I480" i="26" s="1"/>
  <c r="X480" i="26"/>
  <c r="J480" i="26" s="1"/>
  <c r="V480" i="26"/>
  <c r="H480" i="26" s="1"/>
  <c r="V237" i="26"/>
  <c r="H237" i="26" s="1"/>
  <c r="X237" i="26"/>
  <c r="J237" i="26" s="1"/>
  <c r="W237" i="26"/>
  <c r="I237" i="26" s="1"/>
  <c r="V123" i="26"/>
  <c r="H123" i="26" s="1"/>
  <c r="X123" i="26"/>
  <c r="J123" i="26" s="1"/>
  <c r="W123" i="26"/>
  <c r="I123" i="26" s="1"/>
  <c r="X377" i="26"/>
  <c r="J377" i="26" s="1"/>
  <c r="V377" i="26"/>
  <c r="H377" i="26" s="1"/>
  <c r="W377" i="26"/>
  <c r="I377" i="26" s="1"/>
  <c r="W327" i="26"/>
  <c r="I327" i="26" s="1"/>
  <c r="X327" i="26"/>
  <c r="J327" i="26" s="1"/>
  <c r="V327" i="26"/>
  <c r="H327" i="26" s="1"/>
  <c r="W626" i="26"/>
  <c r="I626" i="26" s="1"/>
  <c r="X626" i="26"/>
  <c r="J626" i="26" s="1"/>
  <c r="V626" i="26"/>
  <c r="H626" i="26" s="1"/>
  <c r="W10" i="26"/>
  <c r="I10" i="26" s="1"/>
  <c r="X10" i="26"/>
  <c r="J10" i="26" s="1"/>
  <c r="V10" i="26"/>
  <c r="H10" i="26" s="1"/>
  <c r="V94" i="26"/>
  <c r="H94" i="26" s="1"/>
  <c r="X94" i="26"/>
  <c r="J94" i="26" s="1"/>
  <c r="W94" i="26"/>
  <c r="I94" i="26" s="1"/>
  <c r="X245" i="26"/>
  <c r="J245" i="26" s="1"/>
  <c r="V245" i="26"/>
  <c r="H245" i="26" s="1"/>
  <c r="W245" i="26"/>
  <c r="I245" i="26" s="1"/>
  <c r="K525" i="26"/>
  <c r="K479" i="26"/>
  <c r="K209" i="26"/>
  <c r="K28" i="26"/>
  <c r="K93" i="26"/>
  <c r="K336" i="26"/>
  <c r="K578" i="26"/>
  <c r="K566" i="26"/>
  <c r="K276" i="26"/>
  <c r="K625" i="26"/>
  <c r="K438" i="26"/>
  <c r="K218" i="26"/>
  <c r="K363" i="26"/>
  <c r="K122" i="26"/>
  <c r="K244" i="26"/>
  <c r="K203" i="26"/>
  <c r="L203" i="26" s="1"/>
  <c r="L204" i="26" s="1"/>
  <c r="K38" i="26"/>
  <c r="K446" i="26"/>
  <c r="L443" i="26" s="1"/>
  <c r="K9" i="26"/>
  <c r="K149" i="26"/>
  <c r="K326" i="26"/>
  <c r="K236" i="26"/>
  <c r="K302" i="26"/>
  <c r="K185" i="26"/>
  <c r="K420" i="26"/>
  <c r="K170" i="26"/>
  <c r="K602" i="26"/>
  <c r="L599" i="26" s="1"/>
  <c r="K57" i="26"/>
  <c r="K456" i="26"/>
  <c r="K376" i="26"/>
  <c r="K78" i="26"/>
  <c r="K257" i="26"/>
  <c r="L254" i="26" s="1"/>
  <c r="K549" i="26"/>
  <c r="R125" i="26"/>
  <c r="U124" i="26"/>
  <c r="R96" i="26"/>
  <c r="U95" i="26"/>
  <c r="R552" i="26"/>
  <c r="U551" i="26"/>
  <c r="L181" i="26"/>
  <c r="R31" i="26"/>
  <c r="U30" i="26"/>
  <c r="R305" i="26"/>
  <c r="U304" i="26"/>
  <c r="R81" i="26"/>
  <c r="U80" i="26"/>
  <c r="H39" i="26"/>
  <c r="J579" i="26"/>
  <c r="H277" i="26"/>
  <c r="I277" i="26"/>
  <c r="R569" i="26"/>
  <c r="U568" i="26"/>
  <c r="R379" i="26"/>
  <c r="U378" i="26"/>
  <c r="R173" i="26"/>
  <c r="U172" i="26"/>
  <c r="R41" i="26"/>
  <c r="U40" i="26"/>
  <c r="R581" i="26"/>
  <c r="U580" i="26"/>
  <c r="R423" i="26"/>
  <c r="U422" i="26"/>
  <c r="R528" i="26"/>
  <c r="U527" i="26"/>
  <c r="R188" i="26"/>
  <c r="U187" i="26"/>
  <c r="R605" i="26"/>
  <c r="U604" i="26"/>
  <c r="H204" i="26"/>
  <c r="R279" i="26"/>
  <c r="U278" i="26"/>
  <c r="R628" i="26"/>
  <c r="U627" i="26"/>
  <c r="R329" i="26"/>
  <c r="U328" i="26"/>
  <c r="J219" i="26"/>
  <c r="R339" i="26"/>
  <c r="U338" i="26"/>
  <c r="R221" i="26"/>
  <c r="U220" i="26"/>
  <c r="R12" i="26"/>
  <c r="U11" i="26"/>
  <c r="R441" i="26"/>
  <c r="U441" i="26" s="1"/>
  <c r="U440" i="26"/>
  <c r="R260" i="26"/>
  <c r="U259" i="26"/>
  <c r="R152" i="26"/>
  <c r="U151" i="26"/>
  <c r="R60" i="26"/>
  <c r="U59" i="26"/>
  <c r="R239" i="26"/>
  <c r="U238" i="26"/>
  <c r="R459" i="26"/>
  <c r="U458" i="26"/>
  <c r="H550" i="26"/>
  <c r="R482" i="26"/>
  <c r="U481" i="26"/>
  <c r="R449" i="26"/>
  <c r="U448" i="26"/>
  <c r="I29" i="26"/>
  <c r="R366" i="26"/>
  <c r="U365" i="26"/>
  <c r="R247" i="26"/>
  <c r="U246" i="26"/>
  <c r="R85" i="27" l="1"/>
  <c r="U84" i="27"/>
  <c r="R345" i="27"/>
  <c r="U344" i="27"/>
  <c r="K532" i="27"/>
  <c r="X428" i="27"/>
  <c r="J428" i="27" s="1"/>
  <c r="W428" i="27"/>
  <c r="I428" i="27" s="1"/>
  <c r="V428" i="27"/>
  <c r="H428" i="27" s="1"/>
  <c r="W403" i="27"/>
  <c r="I403" i="27" s="1"/>
  <c r="X403" i="27"/>
  <c r="J403" i="27" s="1"/>
  <c r="V403" i="27"/>
  <c r="H403" i="27" s="1"/>
  <c r="K403" i="27" s="1"/>
  <c r="U225" i="27"/>
  <c r="R226" i="27"/>
  <c r="K130" i="27"/>
  <c r="U65" i="27"/>
  <c r="R66" i="27"/>
  <c r="X343" i="27"/>
  <c r="J343" i="27" s="1"/>
  <c r="W343" i="27"/>
  <c r="I343" i="27" s="1"/>
  <c r="V343" i="27"/>
  <c r="H343" i="27" s="1"/>
  <c r="K343" i="27" s="1"/>
  <c r="K82" i="27"/>
  <c r="L81" i="27" s="1"/>
  <c r="R430" i="27"/>
  <c r="U429" i="27"/>
  <c r="R405" i="27"/>
  <c r="U404" i="27"/>
  <c r="K190" i="27"/>
  <c r="X304" i="27"/>
  <c r="J304" i="27" s="1"/>
  <c r="V304" i="27"/>
  <c r="H304" i="27" s="1"/>
  <c r="K304" i="27" s="1"/>
  <c r="W304" i="27"/>
  <c r="I304" i="27" s="1"/>
  <c r="R370" i="27"/>
  <c r="U370" i="27" s="1"/>
  <c r="U369" i="27"/>
  <c r="K608" i="27"/>
  <c r="R306" i="27"/>
  <c r="U305" i="27"/>
  <c r="X368" i="27"/>
  <c r="J368" i="27" s="1"/>
  <c r="W368" i="27"/>
  <c r="I368" i="27" s="1"/>
  <c r="V368" i="27"/>
  <c r="H368" i="27" s="1"/>
  <c r="K368" i="27" s="1"/>
  <c r="U158" i="27"/>
  <c r="R159" i="27"/>
  <c r="K427" i="27"/>
  <c r="X609" i="27"/>
  <c r="J609" i="27" s="1"/>
  <c r="W609" i="27"/>
  <c r="I609" i="27" s="1"/>
  <c r="V609" i="27"/>
  <c r="H609" i="27" s="1"/>
  <c r="K486" i="27"/>
  <c r="W465" i="27"/>
  <c r="I465" i="27" s="1"/>
  <c r="V465" i="27"/>
  <c r="H465" i="27" s="1"/>
  <c r="X465" i="27"/>
  <c r="J465" i="27" s="1"/>
  <c r="W44" i="27"/>
  <c r="I44" i="27" s="1"/>
  <c r="V44" i="27"/>
  <c r="H44" i="27" s="1"/>
  <c r="X44" i="27"/>
  <c r="J44" i="27" s="1"/>
  <c r="X83" i="27"/>
  <c r="J83" i="27" s="1"/>
  <c r="W83" i="27"/>
  <c r="I83" i="27" s="1"/>
  <c r="V83" i="27"/>
  <c r="H83" i="27" s="1"/>
  <c r="U610" i="27"/>
  <c r="R611" i="27"/>
  <c r="X487" i="27"/>
  <c r="J487" i="27" s="1"/>
  <c r="V487" i="27"/>
  <c r="H487" i="27" s="1"/>
  <c r="W487" i="27"/>
  <c r="I487" i="27" s="1"/>
  <c r="X585" i="27"/>
  <c r="J585" i="27" s="1"/>
  <c r="W585" i="27"/>
  <c r="I585" i="27" s="1"/>
  <c r="V585" i="27"/>
  <c r="H585" i="27" s="1"/>
  <c r="K585" i="27" s="1"/>
  <c r="R535" i="27"/>
  <c r="U534" i="27"/>
  <c r="K177" i="27"/>
  <c r="W554" i="27"/>
  <c r="I554" i="27" s="1"/>
  <c r="X554" i="27"/>
  <c r="J554" i="27" s="1"/>
  <c r="V554" i="27"/>
  <c r="H554" i="27" s="1"/>
  <c r="K381" i="27"/>
  <c r="U466" i="27"/>
  <c r="R467" i="27"/>
  <c r="U635" i="27"/>
  <c r="R636" i="27"/>
  <c r="U586" i="27"/>
  <c r="R587" i="27"/>
  <c r="R18" i="27"/>
  <c r="U17" i="27"/>
  <c r="X533" i="27"/>
  <c r="J533" i="27" s="1"/>
  <c r="W533" i="27"/>
  <c r="I533" i="27" s="1"/>
  <c r="V533" i="27"/>
  <c r="H533" i="27" s="1"/>
  <c r="K533" i="27" s="1"/>
  <c r="X16" i="27"/>
  <c r="J16" i="27" s="1"/>
  <c r="W16" i="27"/>
  <c r="I16" i="27" s="1"/>
  <c r="V16" i="27"/>
  <c r="H16" i="27" s="1"/>
  <c r="X99" i="27"/>
  <c r="J99" i="27" s="1"/>
  <c r="V99" i="27"/>
  <c r="H99" i="27" s="1"/>
  <c r="K99" i="27" s="1"/>
  <c r="L97" i="27" s="1"/>
  <c r="W99" i="27"/>
  <c r="I99" i="27" s="1"/>
  <c r="X178" i="27"/>
  <c r="J178" i="27" s="1"/>
  <c r="W178" i="27"/>
  <c r="I178" i="27" s="1"/>
  <c r="V178" i="27"/>
  <c r="H178" i="27" s="1"/>
  <c r="X510" i="27"/>
  <c r="J510" i="27" s="1"/>
  <c r="W510" i="27"/>
  <c r="I510" i="27" s="1"/>
  <c r="V510" i="27"/>
  <c r="H510" i="27" s="1"/>
  <c r="X64" i="27"/>
  <c r="J64" i="27" s="1"/>
  <c r="W64" i="27"/>
  <c r="I64" i="27" s="1"/>
  <c r="V64" i="27"/>
  <c r="H64" i="27" s="1"/>
  <c r="X634" i="27"/>
  <c r="J634" i="27" s="1"/>
  <c r="W634" i="27"/>
  <c r="I634" i="27" s="1"/>
  <c r="V634" i="27"/>
  <c r="H634" i="27" s="1"/>
  <c r="K634" i="27" s="1"/>
  <c r="K15" i="27"/>
  <c r="K331" i="27"/>
  <c r="H332" i="27"/>
  <c r="U100" i="27"/>
  <c r="R101" i="27"/>
  <c r="R180" i="27"/>
  <c r="U180" i="27" s="1"/>
  <c r="U179" i="27"/>
  <c r="X157" i="27"/>
  <c r="J157" i="27" s="1"/>
  <c r="V157" i="27"/>
  <c r="H157" i="27" s="1"/>
  <c r="W157" i="27"/>
  <c r="I157" i="27" s="1"/>
  <c r="X283" i="27"/>
  <c r="J283" i="27" s="1"/>
  <c r="V283" i="27"/>
  <c r="H283" i="27" s="1"/>
  <c r="K283" i="27" s="1"/>
  <c r="W283" i="27"/>
  <c r="I283" i="27" s="1"/>
  <c r="R267" i="27"/>
  <c r="U266" i="27"/>
  <c r="K251" i="27"/>
  <c r="H252" i="27"/>
  <c r="R556" i="27"/>
  <c r="U555" i="27"/>
  <c r="K282" i="27"/>
  <c r="L279" i="27" s="1"/>
  <c r="X131" i="27"/>
  <c r="J131" i="27" s="1"/>
  <c r="W131" i="27"/>
  <c r="I131" i="27" s="1"/>
  <c r="V131" i="27"/>
  <c r="H131" i="27" s="1"/>
  <c r="K131" i="27" s="1"/>
  <c r="U45" i="27"/>
  <c r="R46" i="27"/>
  <c r="U132" i="27"/>
  <c r="R133" i="27"/>
  <c r="R489" i="27"/>
  <c r="U488" i="27"/>
  <c r="V382" i="27"/>
  <c r="H382" i="27" s="1"/>
  <c r="X382" i="27"/>
  <c r="J382" i="27" s="1"/>
  <c r="W382" i="27"/>
  <c r="I382" i="27" s="1"/>
  <c r="U284" i="27"/>
  <c r="R285" i="27"/>
  <c r="L378" i="27"/>
  <c r="X573" i="27"/>
  <c r="J573" i="27" s="1"/>
  <c r="J574" i="27" s="1"/>
  <c r="W573" i="27"/>
  <c r="I573" i="27" s="1"/>
  <c r="I574" i="27" s="1"/>
  <c r="V573" i="27"/>
  <c r="H573" i="27" s="1"/>
  <c r="X265" i="27"/>
  <c r="J265" i="27" s="1"/>
  <c r="W265" i="27"/>
  <c r="I265" i="27" s="1"/>
  <c r="V265" i="27"/>
  <c r="H265" i="27" s="1"/>
  <c r="K572" i="27"/>
  <c r="U192" i="27"/>
  <c r="R193" i="27"/>
  <c r="V191" i="27"/>
  <c r="H191" i="27" s="1"/>
  <c r="X191" i="27"/>
  <c r="J191" i="27" s="1"/>
  <c r="W191" i="27"/>
  <c r="I191" i="27" s="1"/>
  <c r="R384" i="27"/>
  <c r="U383" i="27"/>
  <c r="U511" i="27"/>
  <c r="R512" i="27"/>
  <c r="K584" i="27"/>
  <c r="L575" i="27" s="1"/>
  <c r="K264" i="27"/>
  <c r="L261" i="27" s="1"/>
  <c r="X224" i="27"/>
  <c r="J224" i="27" s="1"/>
  <c r="W224" i="27"/>
  <c r="I224" i="27" s="1"/>
  <c r="V224" i="27"/>
  <c r="H224" i="27" s="1"/>
  <c r="K224" i="27" s="1"/>
  <c r="X574" i="27"/>
  <c r="V574" i="27"/>
  <c r="W574" i="27"/>
  <c r="L300" i="27"/>
  <c r="R510" i="26"/>
  <c r="U509" i="26"/>
  <c r="V508" i="26"/>
  <c r="H508" i="26" s="1"/>
  <c r="X508" i="26"/>
  <c r="J508" i="26" s="1"/>
  <c r="W508" i="26"/>
  <c r="I508" i="26" s="1"/>
  <c r="K396" i="26"/>
  <c r="U398" i="26"/>
  <c r="R399" i="26"/>
  <c r="W397" i="26"/>
  <c r="I397" i="26" s="1"/>
  <c r="V397" i="26"/>
  <c r="H397" i="26" s="1"/>
  <c r="X397" i="26"/>
  <c r="J397" i="26" s="1"/>
  <c r="K112" i="26"/>
  <c r="K319" i="26"/>
  <c r="X321" i="26"/>
  <c r="W321" i="26"/>
  <c r="V321" i="26"/>
  <c r="X320" i="26"/>
  <c r="J320" i="26" s="1"/>
  <c r="J321" i="26" s="1"/>
  <c r="W320" i="26"/>
  <c r="I320" i="26" s="1"/>
  <c r="I321" i="26" s="1"/>
  <c r="V320" i="26"/>
  <c r="H320" i="26" s="1"/>
  <c r="L316" i="26"/>
  <c r="W422" i="26"/>
  <c r="I422" i="26" s="1"/>
  <c r="V422" i="26"/>
  <c r="H422" i="26" s="1"/>
  <c r="X422" i="26"/>
  <c r="J422" i="26" s="1"/>
  <c r="W95" i="26"/>
  <c r="I95" i="26" s="1"/>
  <c r="X95" i="26"/>
  <c r="J95" i="26" s="1"/>
  <c r="V95" i="26"/>
  <c r="H95" i="26" s="1"/>
  <c r="W151" i="26"/>
  <c r="I151" i="26" s="1"/>
  <c r="V151" i="26"/>
  <c r="H151" i="26" s="1"/>
  <c r="X151" i="26"/>
  <c r="J151" i="26" s="1"/>
  <c r="V259" i="26"/>
  <c r="X259" i="26"/>
  <c r="J259" i="26" s="1"/>
  <c r="W259" i="26"/>
  <c r="I259" i="26" s="1"/>
  <c r="V80" i="26"/>
  <c r="H80" i="26" s="1"/>
  <c r="W80" i="26"/>
  <c r="I80" i="26" s="1"/>
  <c r="X80" i="26"/>
  <c r="J80" i="26" s="1"/>
  <c r="V124" i="26"/>
  <c r="H124" i="26" s="1"/>
  <c r="X124" i="26"/>
  <c r="J124" i="26" s="1"/>
  <c r="W124" i="26"/>
  <c r="I124" i="26" s="1"/>
  <c r="V580" i="26"/>
  <c r="H580" i="26" s="1"/>
  <c r="W580" i="26"/>
  <c r="I580" i="26" s="1"/>
  <c r="X580" i="26"/>
  <c r="J580" i="26" s="1"/>
  <c r="W11" i="26"/>
  <c r="I11" i="26" s="1"/>
  <c r="X11" i="26"/>
  <c r="J11" i="26" s="1"/>
  <c r="V11" i="26"/>
  <c r="H11" i="26" s="1"/>
  <c r="W328" i="26"/>
  <c r="I328" i="26" s="1"/>
  <c r="V328" i="26"/>
  <c r="H328" i="26" s="1"/>
  <c r="X328" i="26"/>
  <c r="J328" i="26" s="1"/>
  <c r="W40" i="26"/>
  <c r="I40" i="26" s="1"/>
  <c r="V40" i="26"/>
  <c r="H40" i="26" s="1"/>
  <c r="X40" i="26"/>
  <c r="J40" i="26" s="1"/>
  <c r="W481" i="26"/>
  <c r="I481" i="26" s="1"/>
  <c r="V481" i="26"/>
  <c r="X481" i="26"/>
  <c r="J481" i="26" s="1"/>
  <c r="W627" i="26"/>
  <c r="I627" i="26" s="1"/>
  <c r="V627" i="26"/>
  <c r="H627" i="26" s="1"/>
  <c r="X627" i="26"/>
  <c r="J627" i="26" s="1"/>
  <c r="V441" i="26"/>
  <c r="X441" i="26"/>
  <c r="W441" i="26"/>
  <c r="X365" i="26"/>
  <c r="J365" i="26" s="1"/>
  <c r="W365" i="26"/>
  <c r="I365" i="26" s="1"/>
  <c r="V365" i="26"/>
  <c r="H365" i="26" s="1"/>
  <c r="V246" i="26"/>
  <c r="H246" i="26" s="1"/>
  <c r="X246" i="26"/>
  <c r="J246" i="26" s="1"/>
  <c r="W246" i="26"/>
  <c r="I246" i="26" s="1"/>
  <c r="V187" i="26"/>
  <c r="H187" i="26" s="1"/>
  <c r="W187" i="26"/>
  <c r="X187" i="26"/>
  <c r="J187" i="26" s="1"/>
  <c r="V172" i="26"/>
  <c r="H172" i="26" s="1"/>
  <c r="X172" i="26"/>
  <c r="J172" i="26" s="1"/>
  <c r="W172" i="26"/>
  <c r="I172" i="26" s="1"/>
  <c r="V220" i="26"/>
  <c r="H220" i="26" s="1"/>
  <c r="X220" i="26"/>
  <c r="J220" i="26" s="1"/>
  <c r="W220" i="26"/>
  <c r="I220" i="26" s="1"/>
  <c r="W440" i="26"/>
  <c r="I440" i="26" s="1"/>
  <c r="I441" i="26" s="1"/>
  <c r="X440" i="26"/>
  <c r="J440" i="26" s="1"/>
  <c r="J441" i="26" s="1"/>
  <c r="V440" i="26"/>
  <c r="H440" i="26" s="1"/>
  <c r="X458" i="26"/>
  <c r="J458" i="26" s="1"/>
  <c r="V458" i="26"/>
  <c r="H458" i="26" s="1"/>
  <c r="W458" i="26"/>
  <c r="I458" i="26" s="1"/>
  <c r="W238" i="26"/>
  <c r="I238" i="26" s="1"/>
  <c r="X238" i="26"/>
  <c r="J238" i="26" s="1"/>
  <c r="V238" i="26"/>
  <c r="H238" i="26" s="1"/>
  <c r="V278" i="26"/>
  <c r="H278" i="26" s="1"/>
  <c r="X278" i="26"/>
  <c r="J278" i="26" s="1"/>
  <c r="W278" i="26"/>
  <c r="I278" i="26" s="1"/>
  <c r="V378" i="26"/>
  <c r="H378" i="26" s="1"/>
  <c r="X378" i="26"/>
  <c r="J378" i="26" s="1"/>
  <c r="W378" i="26"/>
  <c r="I378" i="26" s="1"/>
  <c r="X604" i="26"/>
  <c r="J604" i="26" s="1"/>
  <c r="V604" i="26"/>
  <c r="H604" i="26" s="1"/>
  <c r="W604" i="26"/>
  <c r="I604" i="26" s="1"/>
  <c r="W527" i="26"/>
  <c r="I527" i="26" s="1"/>
  <c r="X527" i="26"/>
  <c r="J527" i="26" s="1"/>
  <c r="V527" i="26"/>
  <c r="H527" i="26" s="1"/>
  <c r="V30" i="26"/>
  <c r="H30" i="26" s="1"/>
  <c r="W30" i="26"/>
  <c r="I30" i="26" s="1"/>
  <c r="X30" i="26"/>
  <c r="J30" i="26" s="1"/>
  <c r="V568" i="26"/>
  <c r="H568" i="26" s="1"/>
  <c r="X568" i="26"/>
  <c r="J568" i="26" s="1"/>
  <c r="W568" i="26"/>
  <c r="I568" i="26" s="1"/>
  <c r="R115" i="26"/>
  <c r="U114" i="26"/>
  <c r="W448" i="26"/>
  <c r="I448" i="26" s="1"/>
  <c r="V448" i="26"/>
  <c r="H448" i="26" s="1"/>
  <c r="X448" i="26"/>
  <c r="J448" i="26" s="1"/>
  <c r="V59" i="26"/>
  <c r="H59" i="26" s="1"/>
  <c r="W59" i="26"/>
  <c r="I59" i="26" s="1"/>
  <c r="X59" i="26"/>
  <c r="J59" i="26" s="1"/>
  <c r="X338" i="26"/>
  <c r="J338" i="26" s="1"/>
  <c r="V338" i="26"/>
  <c r="H338" i="26" s="1"/>
  <c r="W338" i="26"/>
  <c r="I338" i="26" s="1"/>
  <c r="X551" i="26"/>
  <c r="J551" i="26" s="1"/>
  <c r="V551" i="26"/>
  <c r="H551" i="26" s="1"/>
  <c r="W551" i="26"/>
  <c r="I551" i="26" s="1"/>
  <c r="X113" i="26"/>
  <c r="J113" i="26" s="1"/>
  <c r="W113" i="26"/>
  <c r="I113" i="26" s="1"/>
  <c r="V113" i="26"/>
  <c r="H113" i="26" s="1"/>
  <c r="K457" i="26"/>
  <c r="K526" i="26"/>
  <c r="K567" i="26"/>
  <c r="K550" i="26"/>
  <c r="K10" i="26"/>
  <c r="K171" i="26"/>
  <c r="K219" i="26"/>
  <c r="K186" i="26"/>
  <c r="K258" i="26"/>
  <c r="K303" i="26"/>
  <c r="L300" i="26" s="1"/>
  <c r="W304" i="26"/>
  <c r="I304" i="26" s="1"/>
  <c r="V304" i="26"/>
  <c r="H304" i="26" s="1"/>
  <c r="X304" i="26"/>
  <c r="J304" i="26" s="1"/>
  <c r="K579" i="26"/>
  <c r="K277" i="26"/>
  <c r="H211" i="26"/>
  <c r="K210" i="26"/>
  <c r="L208" i="26" s="1"/>
  <c r="L211" i="26" s="1"/>
  <c r="K245" i="26"/>
  <c r="K29" i="26"/>
  <c r="K364" i="26"/>
  <c r="K337" i="26"/>
  <c r="L333" i="26" s="1"/>
  <c r="K39" i="26"/>
  <c r="K626" i="26"/>
  <c r="K237" i="26"/>
  <c r="K327" i="26"/>
  <c r="K603" i="26"/>
  <c r="K377" i="26"/>
  <c r="L373" i="26" s="1"/>
  <c r="K447" i="26"/>
  <c r="K94" i="26"/>
  <c r="K79" i="26"/>
  <c r="K58" i="26"/>
  <c r="K421" i="26"/>
  <c r="K480" i="26"/>
  <c r="K123" i="26"/>
  <c r="K150" i="26"/>
  <c r="L146" i="26" s="1"/>
  <c r="K439" i="26"/>
  <c r="K204" i="26"/>
  <c r="R529" i="26"/>
  <c r="U528" i="26"/>
  <c r="R570" i="26"/>
  <c r="U569" i="26"/>
  <c r="R82" i="26"/>
  <c r="U81" i="26"/>
  <c r="R240" i="26"/>
  <c r="U240" i="26" s="1"/>
  <c r="U239" i="26"/>
  <c r="R32" i="26"/>
  <c r="U31" i="26"/>
  <c r="R460" i="26"/>
  <c r="R463" i="26" s="1"/>
  <c r="U459" i="26"/>
  <c r="R13" i="26"/>
  <c r="U12" i="26"/>
  <c r="R306" i="26"/>
  <c r="U305" i="26"/>
  <c r="R582" i="26"/>
  <c r="U581" i="26"/>
  <c r="R340" i="26"/>
  <c r="U339" i="26"/>
  <c r="R126" i="26"/>
  <c r="U125" i="26"/>
  <c r="R367" i="26"/>
  <c r="U366" i="26"/>
  <c r="R61" i="26"/>
  <c r="U60" i="26"/>
  <c r="R222" i="26"/>
  <c r="U221" i="26"/>
  <c r="R42" i="26"/>
  <c r="U41" i="26"/>
  <c r="R606" i="26"/>
  <c r="U605" i="26"/>
  <c r="R553" i="26"/>
  <c r="U552" i="26"/>
  <c r="R450" i="26"/>
  <c r="U449" i="26"/>
  <c r="R153" i="26"/>
  <c r="U152" i="26"/>
  <c r="I187" i="26"/>
  <c r="R424" i="26"/>
  <c r="U423" i="26"/>
  <c r="R174" i="26"/>
  <c r="U173" i="26"/>
  <c r="R189" i="26"/>
  <c r="U188" i="26"/>
  <c r="R97" i="26"/>
  <c r="U96" i="26"/>
  <c r="R629" i="26"/>
  <c r="U628" i="26"/>
  <c r="R380" i="26"/>
  <c r="U379" i="26"/>
  <c r="R248" i="26"/>
  <c r="U247" i="26"/>
  <c r="H481" i="26"/>
  <c r="H259" i="26"/>
  <c r="R330" i="26"/>
  <c r="U329" i="26"/>
  <c r="R483" i="26"/>
  <c r="U482" i="26"/>
  <c r="R261" i="26"/>
  <c r="U260" i="26"/>
  <c r="R280" i="26"/>
  <c r="U279" i="26"/>
  <c r="K16" i="27" l="1"/>
  <c r="R536" i="27"/>
  <c r="U535" i="27"/>
  <c r="W370" i="27"/>
  <c r="X370" i="27"/>
  <c r="V370" i="27"/>
  <c r="W225" i="27"/>
  <c r="I225" i="27" s="1"/>
  <c r="X225" i="27"/>
  <c r="J225" i="27" s="1"/>
  <c r="V225" i="27"/>
  <c r="H225" i="27" s="1"/>
  <c r="K225" i="27" s="1"/>
  <c r="K44" i="27"/>
  <c r="L38" i="27" s="1"/>
  <c r="K573" i="27"/>
  <c r="K574" i="27" s="1"/>
  <c r="H574" i="27"/>
  <c r="K428" i="27"/>
  <c r="K487" i="27"/>
  <c r="K609" i="27"/>
  <c r="V100" i="27"/>
  <c r="H100" i="27" s="1"/>
  <c r="X100" i="27"/>
  <c r="J100" i="27" s="1"/>
  <c r="W100" i="27"/>
  <c r="I100" i="27" s="1"/>
  <c r="R557" i="27"/>
  <c r="U556" i="27"/>
  <c r="K64" i="27"/>
  <c r="U587" i="27"/>
  <c r="R588" i="27"/>
  <c r="X610" i="27"/>
  <c r="J610" i="27" s="1"/>
  <c r="W610" i="27"/>
  <c r="I610" i="27" s="1"/>
  <c r="V610" i="27"/>
  <c r="H610" i="27" s="1"/>
  <c r="K610" i="27" s="1"/>
  <c r="W404" i="27"/>
  <c r="I404" i="27" s="1"/>
  <c r="X404" i="27"/>
  <c r="J404" i="27" s="1"/>
  <c r="V404" i="27"/>
  <c r="H404" i="27" s="1"/>
  <c r="W344" i="27"/>
  <c r="I344" i="27" s="1"/>
  <c r="X344" i="27"/>
  <c r="J344" i="27" s="1"/>
  <c r="V344" i="27"/>
  <c r="H344" i="27" s="1"/>
  <c r="K344" i="27" s="1"/>
  <c r="R102" i="27"/>
  <c r="U101" i="27"/>
  <c r="U285" i="27"/>
  <c r="R286" i="27"/>
  <c r="V586" i="27"/>
  <c r="H586" i="27" s="1"/>
  <c r="X586" i="27"/>
  <c r="J586" i="27" s="1"/>
  <c r="W586" i="27"/>
  <c r="I586" i="27" s="1"/>
  <c r="R406" i="27"/>
  <c r="U405" i="27"/>
  <c r="U345" i="27"/>
  <c r="R346" i="27"/>
  <c r="X266" i="27"/>
  <c r="J266" i="27" s="1"/>
  <c r="V266" i="27"/>
  <c r="H266" i="27" s="1"/>
  <c r="W266" i="27"/>
  <c r="I266" i="27" s="1"/>
  <c r="U18" i="27"/>
  <c r="R19" i="27"/>
  <c r="R637" i="27"/>
  <c r="U636" i="27"/>
  <c r="W429" i="27"/>
  <c r="I429" i="27" s="1"/>
  <c r="X429" i="27"/>
  <c r="J429" i="27" s="1"/>
  <c r="V429" i="27"/>
  <c r="H429" i="27" s="1"/>
  <c r="K429" i="27" s="1"/>
  <c r="W84" i="27"/>
  <c r="I84" i="27" s="1"/>
  <c r="X84" i="27"/>
  <c r="J84" i="27" s="1"/>
  <c r="V84" i="27"/>
  <c r="H84" i="27" s="1"/>
  <c r="K84" i="27" s="1"/>
  <c r="U226" i="27"/>
  <c r="R227" i="27"/>
  <c r="K465" i="27"/>
  <c r="L323" i="27"/>
  <c r="K332" i="27"/>
  <c r="U512" i="27"/>
  <c r="R513" i="27"/>
  <c r="X511" i="27"/>
  <c r="J511" i="27" s="1"/>
  <c r="V511" i="27"/>
  <c r="H511" i="27" s="1"/>
  <c r="K511" i="27" s="1"/>
  <c r="W511" i="27"/>
  <c r="I511" i="27" s="1"/>
  <c r="L530" i="27"/>
  <c r="K191" i="27"/>
  <c r="L185" i="27" s="1"/>
  <c r="X488" i="27"/>
  <c r="J488" i="27" s="1"/>
  <c r="W488" i="27"/>
  <c r="I488" i="27" s="1"/>
  <c r="V488" i="27"/>
  <c r="H488" i="27" s="1"/>
  <c r="K488" i="27" s="1"/>
  <c r="K510" i="27"/>
  <c r="X635" i="27"/>
  <c r="J635" i="27" s="1"/>
  <c r="W635" i="27"/>
  <c r="I635" i="27" s="1"/>
  <c r="V635" i="27"/>
  <c r="H635" i="27" s="1"/>
  <c r="K635" i="27" s="1"/>
  <c r="R160" i="27"/>
  <c r="U159" i="27"/>
  <c r="R431" i="27"/>
  <c r="U430" i="27"/>
  <c r="U85" i="27"/>
  <c r="R86" i="27"/>
  <c r="R268" i="27"/>
  <c r="U267" i="27"/>
  <c r="U193" i="27"/>
  <c r="R194" i="27"/>
  <c r="U489" i="27"/>
  <c r="R490" i="27"/>
  <c r="R468" i="27"/>
  <c r="U467" i="27"/>
  <c r="W158" i="27"/>
  <c r="I158" i="27" s="1"/>
  <c r="X158" i="27"/>
  <c r="J158" i="27" s="1"/>
  <c r="V158" i="27"/>
  <c r="H158" i="27" s="1"/>
  <c r="K158" i="27" s="1"/>
  <c r="X534" i="27"/>
  <c r="J534" i="27" s="1"/>
  <c r="W534" i="27"/>
  <c r="I534" i="27" s="1"/>
  <c r="V534" i="27"/>
  <c r="H534" i="27" s="1"/>
  <c r="X284" i="27"/>
  <c r="J284" i="27" s="1"/>
  <c r="W284" i="27"/>
  <c r="I284" i="27" s="1"/>
  <c r="V284" i="27"/>
  <c r="H284" i="27" s="1"/>
  <c r="K284" i="27" s="1"/>
  <c r="X17" i="27"/>
  <c r="J17" i="27" s="1"/>
  <c r="W17" i="27"/>
  <c r="I17" i="27" s="1"/>
  <c r="V17" i="27"/>
  <c r="H17" i="27" s="1"/>
  <c r="R612" i="27"/>
  <c r="U611" i="27"/>
  <c r="X192" i="27"/>
  <c r="J192" i="27" s="1"/>
  <c r="W192" i="27"/>
  <c r="I192" i="27" s="1"/>
  <c r="V192" i="27"/>
  <c r="H192" i="27" s="1"/>
  <c r="K192" i="27" s="1"/>
  <c r="W466" i="27"/>
  <c r="I466" i="27" s="1"/>
  <c r="X466" i="27"/>
  <c r="J466" i="27" s="1"/>
  <c r="V466" i="27"/>
  <c r="H466" i="27" s="1"/>
  <c r="K466" i="27" s="1"/>
  <c r="V555" i="27"/>
  <c r="H555" i="27" s="1"/>
  <c r="X555" i="27"/>
  <c r="J555" i="27" s="1"/>
  <c r="W555" i="27"/>
  <c r="I555" i="27" s="1"/>
  <c r="K382" i="27"/>
  <c r="R134" i="27"/>
  <c r="U133" i="27"/>
  <c r="K178" i="27"/>
  <c r="X180" i="27"/>
  <c r="W180" i="27"/>
  <c r="V180" i="27"/>
  <c r="X132" i="27"/>
  <c r="J132" i="27" s="1"/>
  <c r="W132" i="27"/>
  <c r="I132" i="27" s="1"/>
  <c r="V132" i="27"/>
  <c r="H132" i="27" s="1"/>
  <c r="K132" i="27" s="1"/>
  <c r="K157" i="27"/>
  <c r="L155" i="27" s="1"/>
  <c r="K554" i="27"/>
  <c r="K83" i="27"/>
  <c r="K252" i="27"/>
  <c r="L244" i="27"/>
  <c r="W383" i="27"/>
  <c r="I383" i="27" s="1"/>
  <c r="X383" i="27"/>
  <c r="J383" i="27" s="1"/>
  <c r="V383" i="27"/>
  <c r="H383" i="27" s="1"/>
  <c r="K383" i="27" s="1"/>
  <c r="R47" i="27"/>
  <c r="U46" i="27"/>
  <c r="V305" i="27"/>
  <c r="H305" i="27" s="1"/>
  <c r="K305" i="27" s="1"/>
  <c r="X305" i="27"/>
  <c r="J305" i="27" s="1"/>
  <c r="W305" i="27"/>
  <c r="I305" i="27" s="1"/>
  <c r="R67" i="27"/>
  <c r="U66" i="27"/>
  <c r="W369" i="27"/>
  <c r="I369" i="27" s="1"/>
  <c r="I370" i="27" s="1"/>
  <c r="X369" i="27"/>
  <c r="J369" i="27" s="1"/>
  <c r="J370" i="27" s="1"/>
  <c r="V369" i="27"/>
  <c r="H369" i="27" s="1"/>
  <c r="U384" i="27"/>
  <c r="R385" i="27"/>
  <c r="K265" i="27"/>
  <c r="X45" i="27"/>
  <c r="J45" i="27" s="1"/>
  <c r="V45" i="27"/>
  <c r="H45" i="27" s="1"/>
  <c r="W45" i="27"/>
  <c r="I45" i="27" s="1"/>
  <c r="X179" i="27"/>
  <c r="J179" i="27" s="1"/>
  <c r="J180" i="27" s="1"/>
  <c r="W179" i="27"/>
  <c r="I179" i="27" s="1"/>
  <c r="I180" i="27" s="1"/>
  <c r="V179" i="27"/>
  <c r="H179" i="27" s="1"/>
  <c r="R307" i="27"/>
  <c r="U306" i="27"/>
  <c r="X65" i="27"/>
  <c r="J65" i="27" s="1"/>
  <c r="W65" i="27"/>
  <c r="I65" i="27" s="1"/>
  <c r="V65" i="27"/>
  <c r="H65" i="27" s="1"/>
  <c r="K508" i="26"/>
  <c r="W509" i="26"/>
  <c r="I509" i="26" s="1"/>
  <c r="V509" i="26"/>
  <c r="H509" i="26" s="1"/>
  <c r="K509" i="26" s="1"/>
  <c r="X509" i="26"/>
  <c r="J509" i="26" s="1"/>
  <c r="R511" i="26"/>
  <c r="U510" i="26"/>
  <c r="K397" i="26"/>
  <c r="U399" i="26"/>
  <c r="R400" i="26"/>
  <c r="W398" i="26"/>
  <c r="I398" i="26" s="1"/>
  <c r="V398" i="26"/>
  <c r="H398" i="26" s="1"/>
  <c r="X398" i="26"/>
  <c r="J398" i="26" s="1"/>
  <c r="K320" i="26"/>
  <c r="K321" i="26" s="1"/>
  <c r="H321" i="26"/>
  <c r="K365" i="26"/>
  <c r="K527" i="26"/>
  <c r="V152" i="26"/>
  <c r="H152" i="26" s="1"/>
  <c r="W152" i="26"/>
  <c r="X152" i="26"/>
  <c r="J152" i="26" s="1"/>
  <c r="X459" i="26"/>
  <c r="J459" i="26" s="1"/>
  <c r="V459" i="26"/>
  <c r="H459" i="26" s="1"/>
  <c r="W459" i="26"/>
  <c r="I459" i="26" s="1"/>
  <c r="V528" i="26"/>
  <c r="H528" i="26" s="1"/>
  <c r="X528" i="26"/>
  <c r="J528" i="26" s="1"/>
  <c r="W528" i="26"/>
  <c r="K113" i="26"/>
  <c r="U115" i="26"/>
  <c r="R116" i="26"/>
  <c r="X581" i="26"/>
  <c r="J581" i="26" s="1"/>
  <c r="V581" i="26"/>
  <c r="H581" i="26" s="1"/>
  <c r="W581" i="26"/>
  <c r="W449" i="26"/>
  <c r="I449" i="26" s="1"/>
  <c r="V449" i="26"/>
  <c r="H449" i="26" s="1"/>
  <c r="X449" i="26"/>
  <c r="J449" i="26" s="1"/>
  <c r="V31" i="26"/>
  <c r="H31" i="26" s="1"/>
  <c r="W31" i="26"/>
  <c r="I31" i="26" s="1"/>
  <c r="X31" i="26"/>
  <c r="J31" i="26" s="1"/>
  <c r="V114" i="26"/>
  <c r="H114" i="26" s="1"/>
  <c r="X114" i="26"/>
  <c r="J114" i="26" s="1"/>
  <c r="W114" i="26"/>
  <c r="I114" i="26" s="1"/>
  <c r="X12" i="26"/>
  <c r="J12" i="26" s="1"/>
  <c r="V12" i="26"/>
  <c r="W12" i="26"/>
  <c r="I12" i="26" s="1"/>
  <c r="X628" i="26"/>
  <c r="V628" i="26"/>
  <c r="H628" i="26" s="1"/>
  <c r="W628" i="26"/>
  <c r="I628" i="26" s="1"/>
  <c r="K220" i="26"/>
  <c r="L214" i="26" s="1"/>
  <c r="W329" i="26"/>
  <c r="I329" i="26" s="1"/>
  <c r="X329" i="26"/>
  <c r="J329" i="26" s="1"/>
  <c r="V329" i="26"/>
  <c r="H329" i="26" s="1"/>
  <c r="W60" i="26"/>
  <c r="I60" i="26" s="1"/>
  <c r="X60" i="26"/>
  <c r="J60" i="26" s="1"/>
  <c r="V60" i="26"/>
  <c r="H60" i="26" s="1"/>
  <c r="X188" i="26"/>
  <c r="J188" i="26" s="1"/>
  <c r="V188" i="26"/>
  <c r="H188" i="26" s="1"/>
  <c r="W188" i="26"/>
  <c r="I188" i="26" s="1"/>
  <c r="X279" i="26"/>
  <c r="W279" i="26"/>
  <c r="I279" i="26" s="1"/>
  <c r="V279" i="26"/>
  <c r="H279" i="26" s="1"/>
  <c r="W173" i="26"/>
  <c r="I173" i="26" s="1"/>
  <c r="X173" i="26"/>
  <c r="J173" i="26" s="1"/>
  <c r="V173" i="26"/>
  <c r="H173" i="26" s="1"/>
  <c r="X260" i="26"/>
  <c r="J260" i="26" s="1"/>
  <c r="W260" i="26"/>
  <c r="I260" i="26" s="1"/>
  <c r="V260" i="26"/>
  <c r="H260" i="26" s="1"/>
  <c r="W366" i="26"/>
  <c r="I366" i="26" s="1"/>
  <c r="V366" i="26"/>
  <c r="H366" i="26" s="1"/>
  <c r="X366" i="26"/>
  <c r="J366" i="26" s="1"/>
  <c r="X240" i="26"/>
  <c r="W240" i="26"/>
  <c r="V240" i="26"/>
  <c r="W247" i="26"/>
  <c r="I247" i="26" s="1"/>
  <c r="X247" i="26"/>
  <c r="J247" i="26" s="1"/>
  <c r="V247" i="26"/>
  <c r="H247" i="26" s="1"/>
  <c r="W605" i="26"/>
  <c r="I605" i="26" s="1"/>
  <c r="X605" i="26"/>
  <c r="J605" i="26" s="1"/>
  <c r="V605" i="26"/>
  <c r="H605" i="26" s="1"/>
  <c r="V239" i="26"/>
  <c r="H239" i="26" s="1"/>
  <c r="W239" i="26"/>
  <c r="I239" i="26" s="1"/>
  <c r="I240" i="26" s="1"/>
  <c r="X239" i="26"/>
  <c r="J239" i="26" s="1"/>
  <c r="J240" i="26" s="1"/>
  <c r="X423" i="26"/>
  <c r="J423" i="26" s="1"/>
  <c r="V423" i="26"/>
  <c r="H423" i="26" s="1"/>
  <c r="W423" i="26"/>
  <c r="I423" i="26" s="1"/>
  <c r="V81" i="26"/>
  <c r="H81" i="26" s="1"/>
  <c r="X81" i="26"/>
  <c r="J81" i="26" s="1"/>
  <c r="W81" i="26"/>
  <c r="I81" i="26" s="1"/>
  <c r="X96" i="26"/>
  <c r="J96" i="26" s="1"/>
  <c r="V96" i="26"/>
  <c r="H96" i="26" s="1"/>
  <c r="W96" i="26"/>
  <c r="I96" i="26" s="1"/>
  <c r="X221" i="26"/>
  <c r="J221" i="26" s="1"/>
  <c r="W221" i="26"/>
  <c r="I221" i="26" s="1"/>
  <c r="V221" i="26"/>
  <c r="H221" i="26" s="1"/>
  <c r="W339" i="26"/>
  <c r="I339" i="26" s="1"/>
  <c r="X339" i="26"/>
  <c r="J339" i="26" s="1"/>
  <c r="V339" i="26"/>
  <c r="H339" i="26" s="1"/>
  <c r="X552" i="26"/>
  <c r="J552" i="26" s="1"/>
  <c r="V552" i="26"/>
  <c r="H552" i="26" s="1"/>
  <c r="W552" i="26"/>
  <c r="I552" i="26" s="1"/>
  <c r="V482" i="26"/>
  <c r="H482" i="26" s="1"/>
  <c r="W482" i="26"/>
  <c r="I482" i="26" s="1"/>
  <c r="X482" i="26"/>
  <c r="J482" i="26" s="1"/>
  <c r="X379" i="26"/>
  <c r="J379" i="26" s="1"/>
  <c r="W379" i="26"/>
  <c r="I379" i="26" s="1"/>
  <c r="V379" i="26"/>
  <c r="H379" i="26" s="1"/>
  <c r="X125" i="26"/>
  <c r="J125" i="26" s="1"/>
  <c r="W125" i="26"/>
  <c r="I125" i="26" s="1"/>
  <c r="V125" i="26"/>
  <c r="H125" i="26" s="1"/>
  <c r="X41" i="26"/>
  <c r="J41" i="26" s="1"/>
  <c r="W41" i="26"/>
  <c r="I41" i="26" s="1"/>
  <c r="V41" i="26"/>
  <c r="H41" i="26" s="1"/>
  <c r="W569" i="26"/>
  <c r="I569" i="26" s="1"/>
  <c r="X569" i="26"/>
  <c r="J569" i="26" s="1"/>
  <c r="V569" i="26"/>
  <c r="H569" i="26" s="1"/>
  <c r="K580" i="26"/>
  <c r="K246" i="26"/>
  <c r="K422" i="26"/>
  <c r="K172" i="26"/>
  <c r="K328" i="26"/>
  <c r="W305" i="26"/>
  <c r="I305" i="26" s="1"/>
  <c r="X305" i="26"/>
  <c r="J305" i="26" s="1"/>
  <c r="V305" i="26"/>
  <c r="H305" i="26" s="1"/>
  <c r="K448" i="26"/>
  <c r="K338" i="26"/>
  <c r="K378" i="26"/>
  <c r="K187" i="26"/>
  <c r="K11" i="26"/>
  <c r="K30" i="26"/>
  <c r="K627" i="26"/>
  <c r="L624" i="26" s="1"/>
  <c r="K151" i="26"/>
  <c r="K59" i="26"/>
  <c r="L54" i="26" s="1"/>
  <c r="K604" i="26"/>
  <c r="K80" i="26"/>
  <c r="L78" i="26" s="1"/>
  <c r="K124" i="26"/>
  <c r="K238" i="26"/>
  <c r="K568" i="26"/>
  <c r="L563" i="26" s="1"/>
  <c r="K304" i="26"/>
  <c r="K278" i="26"/>
  <c r="K259" i="26"/>
  <c r="K440" i="26"/>
  <c r="K551" i="26"/>
  <c r="K40" i="26"/>
  <c r="K95" i="26"/>
  <c r="K481" i="26"/>
  <c r="K458" i="26"/>
  <c r="L453" i="26" s="1"/>
  <c r="U463" i="26"/>
  <c r="R464" i="26"/>
  <c r="U464" i="26" s="1"/>
  <c r="K211" i="26"/>
  <c r="R368" i="26"/>
  <c r="U367" i="26"/>
  <c r="H12" i="26"/>
  <c r="R33" i="26"/>
  <c r="U33" i="26" s="1"/>
  <c r="U32" i="26"/>
  <c r="R571" i="26"/>
  <c r="U570" i="26"/>
  <c r="R190" i="26"/>
  <c r="U189" i="26"/>
  <c r="H441" i="26"/>
  <c r="R14" i="26"/>
  <c r="U13" i="26"/>
  <c r="R554" i="26"/>
  <c r="U553" i="26"/>
  <c r="R127" i="26"/>
  <c r="U126" i="26"/>
  <c r="I528" i="26"/>
  <c r="R331" i="26"/>
  <c r="U330" i="26"/>
  <c r="R451" i="26"/>
  <c r="U450" i="26"/>
  <c r="R262" i="26"/>
  <c r="U261" i="26"/>
  <c r="R98" i="26"/>
  <c r="U97" i="26"/>
  <c r="R341" i="26"/>
  <c r="U340" i="26"/>
  <c r="R530" i="26"/>
  <c r="U529" i="26"/>
  <c r="R484" i="26"/>
  <c r="U483" i="26"/>
  <c r="R381" i="26"/>
  <c r="U380" i="26"/>
  <c r="I152" i="26"/>
  <c r="I581" i="26"/>
  <c r="R307" i="26"/>
  <c r="U306" i="26"/>
  <c r="R175" i="26"/>
  <c r="U174" i="26"/>
  <c r="R154" i="26"/>
  <c r="U153" i="26"/>
  <c r="R223" i="26"/>
  <c r="U222" i="26"/>
  <c r="R583" i="26"/>
  <c r="U582" i="26"/>
  <c r="L476" i="26"/>
  <c r="J279" i="26"/>
  <c r="R249" i="26"/>
  <c r="U248" i="26"/>
  <c r="R630" i="26"/>
  <c r="U629" i="26"/>
  <c r="R425" i="26"/>
  <c r="U424" i="26"/>
  <c r="R607" i="26"/>
  <c r="U606" i="26"/>
  <c r="R43" i="26"/>
  <c r="U42" i="26"/>
  <c r="R461" i="26"/>
  <c r="U460" i="26"/>
  <c r="R281" i="26"/>
  <c r="U280" i="26"/>
  <c r="R62" i="26"/>
  <c r="U61" i="26"/>
  <c r="R83" i="26"/>
  <c r="U82" i="26"/>
  <c r="J628" i="26"/>
  <c r="U513" i="27" l="1"/>
  <c r="R514" i="27"/>
  <c r="K266" i="27"/>
  <c r="V512" i="27"/>
  <c r="H512" i="27" s="1"/>
  <c r="X512" i="27"/>
  <c r="J512" i="27" s="1"/>
  <c r="W512" i="27"/>
  <c r="I512" i="27" s="1"/>
  <c r="U268" i="27"/>
  <c r="R269" i="27"/>
  <c r="R87" i="27"/>
  <c r="U86" i="27"/>
  <c r="W85" i="27"/>
  <c r="I85" i="27" s="1"/>
  <c r="V85" i="27"/>
  <c r="H85" i="27" s="1"/>
  <c r="X85" i="27"/>
  <c r="J85" i="27" s="1"/>
  <c r="L332" i="27"/>
  <c r="R347" i="27"/>
  <c r="U346" i="27"/>
  <c r="R589" i="27"/>
  <c r="U588" i="27"/>
  <c r="K534" i="27"/>
  <c r="W430" i="27"/>
  <c r="I430" i="27" s="1"/>
  <c r="V430" i="27"/>
  <c r="H430" i="27" s="1"/>
  <c r="X430" i="27"/>
  <c r="J430" i="27" s="1"/>
  <c r="L462" i="27"/>
  <c r="W345" i="27"/>
  <c r="I345" i="27" s="1"/>
  <c r="V345" i="27"/>
  <c r="H345" i="27" s="1"/>
  <c r="X345" i="27"/>
  <c r="J345" i="27" s="1"/>
  <c r="W587" i="27"/>
  <c r="I587" i="27" s="1"/>
  <c r="V587" i="27"/>
  <c r="H587" i="27" s="1"/>
  <c r="X587" i="27"/>
  <c r="J587" i="27" s="1"/>
  <c r="L252" i="27"/>
  <c r="K45" i="27"/>
  <c r="W159" i="27"/>
  <c r="I159" i="27" s="1"/>
  <c r="X159" i="27"/>
  <c r="J159" i="27" s="1"/>
  <c r="V159" i="27"/>
  <c r="H159" i="27" s="1"/>
  <c r="X226" i="27"/>
  <c r="J226" i="27" s="1"/>
  <c r="W226" i="27"/>
  <c r="I226" i="27" s="1"/>
  <c r="V226" i="27"/>
  <c r="H226" i="27" s="1"/>
  <c r="K226" i="27" s="1"/>
  <c r="R407" i="27"/>
  <c r="U406" i="27"/>
  <c r="X556" i="27"/>
  <c r="J556" i="27" s="1"/>
  <c r="V556" i="27"/>
  <c r="H556" i="27" s="1"/>
  <c r="K556" i="27" s="1"/>
  <c r="W556" i="27"/>
  <c r="I556" i="27" s="1"/>
  <c r="K586" i="27"/>
  <c r="U536" i="27"/>
  <c r="R537" i="27"/>
  <c r="X306" i="27"/>
  <c r="J306" i="27" s="1"/>
  <c r="W306" i="27"/>
  <c r="I306" i="27" s="1"/>
  <c r="V306" i="27"/>
  <c r="H306" i="27" s="1"/>
  <c r="K306" i="27" s="1"/>
  <c r="U286" i="27"/>
  <c r="R287" i="27"/>
  <c r="V267" i="27"/>
  <c r="H267" i="27" s="1"/>
  <c r="X267" i="27"/>
  <c r="J267" i="27" s="1"/>
  <c r="W267" i="27"/>
  <c r="I267" i="27" s="1"/>
  <c r="X46" i="27"/>
  <c r="J46" i="27" s="1"/>
  <c r="W46" i="27"/>
  <c r="I46" i="27" s="1"/>
  <c r="V46" i="27"/>
  <c r="H46" i="27" s="1"/>
  <c r="K46" i="27" s="1"/>
  <c r="R48" i="27"/>
  <c r="U47" i="27"/>
  <c r="R161" i="27"/>
  <c r="U160" i="27"/>
  <c r="W535" i="27"/>
  <c r="I535" i="27" s="1"/>
  <c r="V535" i="27"/>
  <c r="H535" i="27" s="1"/>
  <c r="K535" i="27" s="1"/>
  <c r="X535" i="27"/>
  <c r="J535" i="27" s="1"/>
  <c r="U385" i="27"/>
  <c r="R386" i="27"/>
  <c r="V285" i="27"/>
  <c r="H285" i="27" s="1"/>
  <c r="W285" i="27"/>
  <c r="I285" i="27" s="1"/>
  <c r="X285" i="27"/>
  <c r="J285" i="27" s="1"/>
  <c r="X133" i="27"/>
  <c r="J133" i="27" s="1"/>
  <c r="W133" i="27"/>
  <c r="I133" i="27" s="1"/>
  <c r="V133" i="27"/>
  <c r="H133" i="27" s="1"/>
  <c r="K133" i="27" s="1"/>
  <c r="X384" i="27"/>
  <c r="J384" i="27" s="1"/>
  <c r="W384" i="27"/>
  <c r="I384" i="27" s="1"/>
  <c r="V384" i="27"/>
  <c r="H384" i="27" s="1"/>
  <c r="X467" i="27"/>
  <c r="J467" i="27" s="1"/>
  <c r="W467" i="27"/>
  <c r="I467" i="27" s="1"/>
  <c r="V467" i="27"/>
  <c r="H467" i="27" s="1"/>
  <c r="X101" i="27"/>
  <c r="J101" i="27" s="1"/>
  <c r="W101" i="27"/>
  <c r="I101" i="27" s="1"/>
  <c r="V101" i="27"/>
  <c r="H101" i="27" s="1"/>
  <c r="K101" i="27" s="1"/>
  <c r="K100" i="27"/>
  <c r="U307" i="27"/>
  <c r="R308" i="27"/>
  <c r="X405" i="27"/>
  <c r="J405" i="27" s="1"/>
  <c r="W405" i="27"/>
  <c r="I405" i="27" s="1"/>
  <c r="V405" i="27"/>
  <c r="H405" i="27" s="1"/>
  <c r="K405" i="27" s="1"/>
  <c r="K369" i="27"/>
  <c r="H370" i="27"/>
  <c r="R469" i="27"/>
  <c r="U468" i="27"/>
  <c r="R103" i="27"/>
  <c r="U102" i="27"/>
  <c r="R135" i="27"/>
  <c r="U134" i="27"/>
  <c r="X66" i="27"/>
  <c r="J66" i="27" s="1"/>
  <c r="W66" i="27"/>
  <c r="I66" i="27" s="1"/>
  <c r="V66" i="27"/>
  <c r="H66" i="27" s="1"/>
  <c r="U490" i="27"/>
  <c r="R491" i="27"/>
  <c r="U431" i="27"/>
  <c r="R432" i="27"/>
  <c r="U432" i="27" s="1"/>
  <c r="R68" i="27"/>
  <c r="U67" i="27"/>
  <c r="W611" i="27"/>
  <c r="I611" i="27" s="1"/>
  <c r="V611" i="27"/>
  <c r="H611" i="27" s="1"/>
  <c r="X611" i="27"/>
  <c r="J611" i="27" s="1"/>
  <c r="V489" i="27"/>
  <c r="H489" i="27" s="1"/>
  <c r="X489" i="27"/>
  <c r="J489" i="27" s="1"/>
  <c r="W489" i="27"/>
  <c r="I489" i="27" s="1"/>
  <c r="V636" i="27"/>
  <c r="H636" i="27" s="1"/>
  <c r="W636" i="27"/>
  <c r="I636" i="27" s="1"/>
  <c r="X636" i="27"/>
  <c r="J636" i="27" s="1"/>
  <c r="K179" i="27"/>
  <c r="H180" i="27"/>
  <c r="K555" i="27"/>
  <c r="R613" i="27"/>
  <c r="U612" i="27"/>
  <c r="R195" i="27"/>
  <c r="U194" i="27"/>
  <c r="R638" i="27"/>
  <c r="U638" i="27" s="1"/>
  <c r="U637" i="27"/>
  <c r="L569" i="27"/>
  <c r="V18" i="27"/>
  <c r="H18" i="27" s="1"/>
  <c r="W18" i="27"/>
  <c r="I18" i="27" s="1"/>
  <c r="X18" i="27"/>
  <c r="J18" i="27" s="1"/>
  <c r="R228" i="27"/>
  <c r="U227" i="27"/>
  <c r="U557" i="27"/>
  <c r="R558" i="27"/>
  <c r="K65" i="27"/>
  <c r="L60" i="27" s="1"/>
  <c r="K17" i="27"/>
  <c r="X193" i="27"/>
  <c r="J193" i="27" s="1"/>
  <c r="W193" i="27"/>
  <c r="I193" i="27" s="1"/>
  <c r="V193" i="27"/>
  <c r="H193" i="27" s="1"/>
  <c r="K193" i="27" s="1"/>
  <c r="R20" i="27"/>
  <c r="U19" i="27"/>
  <c r="K404" i="27"/>
  <c r="X510" i="26"/>
  <c r="J510" i="26" s="1"/>
  <c r="W510" i="26"/>
  <c r="I510" i="26" s="1"/>
  <c r="V510" i="26"/>
  <c r="H510" i="26" s="1"/>
  <c r="K510" i="26" s="1"/>
  <c r="R512" i="26"/>
  <c r="U511" i="26"/>
  <c r="L319" i="26"/>
  <c r="L321" i="26" s="1"/>
  <c r="K398" i="26"/>
  <c r="U400" i="26"/>
  <c r="R401" i="26"/>
  <c r="X399" i="26"/>
  <c r="J399" i="26" s="1"/>
  <c r="W399" i="26"/>
  <c r="I399" i="26" s="1"/>
  <c r="V399" i="26"/>
  <c r="H399" i="26" s="1"/>
  <c r="L391" i="26"/>
  <c r="K260" i="26"/>
  <c r="L258" i="26" s="1"/>
  <c r="K12" i="26"/>
  <c r="W553" i="26"/>
  <c r="X553" i="26"/>
  <c r="V553" i="26"/>
  <c r="H553" i="26" s="1"/>
  <c r="V464" i="26"/>
  <c r="W464" i="26"/>
  <c r="I464" i="26" s="1"/>
  <c r="X464" i="26"/>
  <c r="J464" i="26" s="1"/>
  <c r="U116" i="26"/>
  <c r="R117" i="26"/>
  <c r="U117" i="26" s="1"/>
  <c r="W463" i="26"/>
  <c r="I463" i="26" s="1"/>
  <c r="V463" i="26"/>
  <c r="H463" i="26" s="1"/>
  <c r="X463" i="26"/>
  <c r="W115" i="26"/>
  <c r="I115" i="26" s="1"/>
  <c r="V115" i="26"/>
  <c r="H115" i="26" s="1"/>
  <c r="X115" i="26"/>
  <c r="J115" i="26" s="1"/>
  <c r="X529" i="26"/>
  <c r="J529" i="26" s="1"/>
  <c r="W529" i="26"/>
  <c r="V529" i="26"/>
  <c r="V330" i="26"/>
  <c r="W330" i="26"/>
  <c r="I330" i="26" s="1"/>
  <c r="X330" i="26"/>
  <c r="V189" i="26"/>
  <c r="H189" i="26" s="1"/>
  <c r="W189" i="26"/>
  <c r="I189" i="26" s="1"/>
  <c r="X189" i="26"/>
  <c r="J189" i="26" s="1"/>
  <c r="V582" i="26"/>
  <c r="H582" i="26" s="1"/>
  <c r="W582" i="26"/>
  <c r="I582" i="26" s="1"/>
  <c r="X582" i="26"/>
  <c r="J582" i="26" s="1"/>
  <c r="K114" i="26"/>
  <c r="W222" i="26"/>
  <c r="I222" i="26" s="1"/>
  <c r="V222" i="26"/>
  <c r="H222" i="26" s="1"/>
  <c r="X222" i="26"/>
  <c r="J222" i="26" s="1"/>
  <c r="W340" i="26"/>
  <c r="I340" i="26" s="1"/>
  <c r="V340" i="26"/>
  <c r="H340" i="26" s="1"/>
  <c r="X340" i="26"/>
  <c r="J340" i="26" s="1"/>
  <c r="X570" i="26"/>
  <c r="J570" i="26" s="1"/>
  <c r="V570" i="26"/>
  <c r="H570" i="26" s="1"/>
  <c r="W570" i="26"/>
  <c r="I570" i="26" s="1"/>
  <c r="X629" i="26"/>
  <c r="J629" i="26" s="1"/>
  <c r="W629" i="26"/>
  <c r="I629" i="26" s="1"/>
  <c r="V629" i="26"/>
  <c r="H629" i="26" s="1"/>
  <c r="V33" i="26"/>
  <c r="X33" i="26"/>
  <c r="W33" i="26"/>
  <c r="W42" i="26"/>
  <c r="I42" i="26" s="1"/>
  <c r="X42" i="26"/>
  <c r="J42" i="26" s="1"/>
  <c r="V42" i="26"/>
  <c r="H42" i="26" s="1"/>
  <c r="V606" i="26"/>
  <c r="H606" i="26" s="1"/>
  <c r="W606" i="26"/>
  <c r="I606" i="26" s="1"/>
  <c r="X606" i="26"/>
  <c r="J606" i="26" s="1"/>
  <c r="X13" i="26"/>
  <c r="J13" i="26" s="1"/>
  <c r="V13" i="26"/>
  <c r="H13" i="26" s="1"/>
  <c r="W13" i="26"/>
  <c r="I13" i="26" s="1"/>
  <c r="W61" i="26"/>
  <c r="I61" i="26" s="1"/>
  <c r="V61" i="26"/>
  <c r="H61" i="26" s="1"/>
  <c r="X61" i="26"/>
  <c r="J61" i="26" s="1"/>
  <c r="W380" i="26"/>
  <c r="I380" i="26" s="1"/>
  <c r="V380" i="26"/>
  <c r="H380" i="26" s="1"/>
  <c r="X380" i="26"/>
  <c r="J380" i="26" s="1"/>
  <c r="X424" i="26"/>
  <c r="J424" i="26" s="1"/>
  <c r="W424" i="26"/>
  <c r="I424" i="26" s="1"/>
  <c r="V424" i="26"/>
  <c r="H424" i="26" s="1"/>
  <c r="X483" i="26"/>
  <c r="J483" i="26" s="1"/>
  <c r="V483" i="26"/>
  <c r="H483" i="26" s="1"/>
  <c r="W483" i="26"/>
  <c r="I483" i="26" s="1"/>
  <c r="V97" i="26"/>
  <c r="H97" i="26" s="1"/>
  <c r="W97" i="26"/>
  <c r="I97" i="26" s="1"/>
  <c r="X97" i="26"/>
  <c r="J97" i="26" s="1"/>
  <c r="W248" i="26"/>
  <c r="I248" i="26" s="1"/>
  <c r="V248" i="26"/>
  <c r="H248" i="26" s="1"/>
  <c r="X248" i="26"/>
  <c r="J248" i="26" s="1"/>
  <c r="W280" i="26"/>
  <c r="I280" i="26" s="1"/>
  <c r="V280" i="26"/>
  <c r="H280" i="26" s="1"/>
  <c r="X280" i="26"/>
  <c r="J280" i="26" s="1"/>
  <c r="W174" i="26"/>
  <c r="I174" i="26" s="1"/>
  <c r="X174" i="26"/>
  <c r="J174" i="26" s="1"/>
  <c r="V174" i="26"/>
  <c r="H174" i="26" s="1"/>
  <c r="X32" i="26"/>
  <c r="J32" i="26" s="1"/>
  <c r="J33" i="26" s="1"/>
  <c r="W32" i="26"/>
  <c r="I32" i="26" s="1"/>
  <c r="I33" i="26" s="1"/>
  <c r="V32" i="26"/>
  <c r="H32" i="26" s="1"/>
  <c r="K379" i="26"/>
  <c r="V367" i="26"/>
  <c r="H367" i="26" s="1"/>
  <c r="X367" i="26"/>
  <c r="J367" i="26" s="1"/>
  <c r="W367" i="26"/>
  <c r="I367" i="26" s="1"/>
  <c r="V450" i="26"/>
  <c r="H450" i="26" s="1"/>
  <c r="X450" i="26"/>
  <c r="J450" i="26" s="1"/>
  <c r="W450" i="26"/>
  <c r="I450" i="26" s="1"/>
  <c r="V153" i="26"/>
  <c r="H153" i="26" s="1"/>
  <c r="W153" i="26"/>
  <c r="I153" i="26" s="1"/>
  <c r="X153" i="26"/>
  <c r="J153" i="26" s="1"/>
  <c r="W261" i="26"/>
  <c r="I261" i="26" s="1"/>
  <c r="X261" i="26"/>
  <c r="J261" i="26" s="1"/>
  <c r="V261" i="26"/>
  <c r="H261" i="26" s="1"/>
  <c r="W460" i="26"/>
  <c r="I460" i="26" s="1"/>
  <c r="X460" i="26"/>
  <c r="J460" i="26" s="1"/>
  <c r="V460" i="26"/>
  <c r="H460" i="26" s="1"/>
  <c r="V82" i="26"/>
  <c r="H82" i="26" s="1"/>
  <c r="X82" i="26"/>
  <c r="J82" i="26" s="1"/>
  <c r="W82" i="26"/>
  <c r="I82" i="26" s="1"/>
  <c r="V126" i="26"/>
  <c r="H126" i="26" s="1"/>
  <c r="W126" i="26"/>
  <c r="I126" i="26" s="1"/>
  <c r="X126" i="26"/>
  <c r="J126" i="26" s="1"/>
  <c r="K329" i="26"/>
  <c r="K339" i="26"/>
  <c r="K628" i="26"/>
  <c r="K366" i="26"/>
  <c r="K60" i="26"/>
  <c r="K552" i="26"/>
  <c r="K31" i="26"/>
  <c r="K279" i="26"/>
  <c r="K96" i="26"/>
  <c r="L92" i="26" s="1"/>
  <c r="K305" i="26"/>
  <c r="W306" i="26"/>
  <c r="I306" i="26" s="1"/>
  <c r="X306" i="26"/>
  <c r="J306" i="26" s="1"/>
  <c r="V306" i="26"/>
  <c r="H306" i="26" s="1"/>
  <c r="K188" i="26"/>
  <c r="K482" i="26"/>
  <c r="L481" i="26" s="1"/>
  <c r="K125" i="26"/>
  <c r="K247" i="26"/>
  <c r="K173" i="26"/>
  <c r="K528" i="26"/>
  <c r="K81" i="26"/>
  <c r="K239" i="26"/>
  <c r="K459" i="26"/>
  <c r="K152" i="26"/>
  <c r="K449" i="26"/>
  <c r="K41" i="26"/>
  <c r="K569" i="26"/>
  <c r="K605" i="26"/>
  <c r="K581" i="26"/>
  <c r="K423" i="26"/>
  <c r="L417" i="26" s="1"/>
  <c r="K221" i="26"/>
  <c r="H464" i="26"/>
  <c r="J463" i="26"/>
  <c r="R250" i="26"/>
  <c r="U249" i="26"/>
  <c r="I553" i="26"/>
  <c r="J553" i="26"/>
  <c r="L273" i="26"/>
  <c r="R155" i="26"/>
  <c r="U154" i="26"/>
  <c r="H240" i="26"/>
  <c r="R555" i="26"/>
  <c r="U554" i="26"/>
  <c r="R84" i="26"/>
  <c r="U83" i="26"/>
  <c r="L122" i="26"/>
  <c r="R263" i="26"/>
  <c r="U262" i="26"/>
  <c r="R15" i="26"/>
  <c r="U14" i="26"/>
  <c r="R191" i="26"/>
  <c r="U190" i="26"/>
  <c r="R63" i="26"/>
  <c r="U62" i="26"/>
  <c r="R382" i="26"/>
  <c r="U381" i="26"/>
  <c r="L437" i="26"/>
  <c r="K441" i="26"/>
  <c r="R369" i="26"/>
  <c r="U368" i="26"/>
  <c r="R342" i="26"/>
  <c r="U341" i="26"/>
  <c r="R608" i="26"/>
  <c r="U607" i="26"/>
  <c r="R224" i="26"/>
  <c r="U223" i="26"/>
  <c r="R452" i="26"/>
  <c r="U452" i="26" s="1"/>
  <c r="U451" i="26"/>
  <c r="R572" i="26"/>
  <c r="U571" i="26"/>
  <c r="R282" i="26"/>
  <c r="U281" i="26"/>
  <c r="R176" i="26"/>
  <c r="U175" i="26"/>
  <c r="R44" i="26"/>
  <c r="U43" i="26"/>
  <c r="R426" i="26"/>
  <c r="U425" i="26"/>
  <c r="J330" i="26"/>
  <c r="H330" i="26"/>
  <c r="R584" i="26"/>
  <c r="U583" i="26"/>
  <c r="R462" i="26"/>
  <c r="U461" i="26"/>
  <c r="R485" i="26"/>
  <c r="U484" i="26"/>
  <c r="R332" i="26"/>
  <c r="U332" i="26" s="1"/>
  <c r="U331" i="26"/>
  <c r="R128" i="26"/>
  <c r="U127" i="26"/>
  <c r="R631" i="26"/>
  <c r="U630" i="26"/>
  <c r="L6" i="26"/>
  <c r="H529" i="26"/>
  <c r="I529" i="26"/>
  <c r="R308" i="26"/>
  <c r="U307" i="26"/>
  <c r="R531" i="26"/>
  <c r="U530" i="26"/>
  <c r="R99" i="26"/>
  <c r="U98" i="26"/>
  <c r="U386" i="27" l="1"/>
  <c r="R387" i="27"/>
  <c r="U269" i="27"/>
  <c r="R270" i="27"/>
  <c r="U613" i="27"/>
  <c r="R614" i="27"/>
  <c r="L15" i="27"/>
  <c r="X490" i="27"/>
  <c r="J490" i="27" s="1"/>
  <c r="W490" i="27"/>
  <c r="I490" i="27" s="1"/>
  <c r="V490" i="27"/>
  <c r="H490" i="27" s="1"/>
  <c r="X385" i="27"/>
  <c r="J385" i="27" s="1"/>
  <c r="W385" i="27"/>
  <c r="I385" i="27" s="1"/>
  <c r="V385" i="27"/>
  <c r="H385" i="27" s="1"/>
  <c r="R538" i="27"/>
  <c r="U537" i="27"/>
  <c r="V268" i="27"/>
  <c r="H268" i="27" s="1"/>
  <c r="K268" i="27" s="1"/>
  <c r="X268" i="27"/>
  <c r="J268" i="27" s="1"/>
  <c r="W268" i="27"/>
  <c r="I268" i="27" s="1"/>
  <c r="X612" i="27"/>
  <c r="J612" i="27" s="1"/>
  <c r="W612" i="27"/>
  <c r="I612" i="27" s="1"/>
  <c r="V612" i="27"/>
  <c r="H612" i="27" s="1"/>
  <c r="K66" i="27"/>
  <c r="R309" i="27"/>
  <c r="U308" i="27"/>
  <c r="X536" i="27"/>
  <c r="J536" i="27" s="1"/>
  <c r="W536" i="27"/>
  <c r="I536" i="27" s="1"/>
  <c r="V536" i="27"/>
  <c r="H536" i="27" s="1"/>
  <c r="K536" i="27" s="1"/>
  <c r="K345" i="27"/>
  <c r="X286" i="27"/>
  <c r="J286" i="27" s="1"/>
  <c r="V286" i="27"/>
  <c r="H286" i="27" s="1"/>
  <c r="W286" i="27"/>
  <c r="I286" i="27" s="1"/>
  <c r="V307" i="27"/>
  <c r="H307" i="27" s="1"/>
  <c r="X307" i="27"/>
  <c r="J307" i="27" s="1"/>
  <c r="W307" i="27"/>
  <c r="I307" i="27" s="1"/>
  <c r="K512" i="27"/>
  <c r="L504" i="27" s="1"/>
  <c r="K636" i="27"/>
  <c r="K489" i="27"/>
  <c r="L485" i="27" s="1"/>
  <c r="K467" i="27"/>
  <c r="V47" i="27"/>
  <c r="H47" i="27" s="1"/>
  <c r="W47" i="27"/>
  <c r="I47" i="27" s="1"/>
  <c r="X47" i="27"/>
  <c r="J47" i="27" s="1"/>
  <c r="U407" i="27"/>
  <c r="R408" i="27"/>
  <c r="U514" i="27"/>
  <c r="R515" i="27"/>
  <c r="U48" i="27"/>
  <c r="R49" i="27"/>
  <c r="V588" i="27"/>
  <c r="H588" i="27" s="1"/>
  <c r="X588" i="27"/>
  <c r="J588" i="27" s="1"/>
  <c r="W588" i="27"/>
  <c r="I588" i="27" s="1"/>
  <c r="W513" i="27"/>
  <c r="I513" i="27" s="1"/>
  <c r="V513" i="27"/>
  <c r="H513" i="27" s="1"/>
  <c r="X513" i="27"/>
  <c r="J513" i="27" s="1"/>
  <c r="U558" i="27"/>
  <c r="R559" i="27"/>
  <c r="K18" i="27"/>
  <c r="K611" i="27"/>
  <c r="L603" i="27" s="1"/>
  <c r="R136" i="27"/>
  <c r="U135" i="27"/>
  <c r="U589" i="27"/>
  <c r="R590" i="27"/>
  <c r="K285" i="27"/>
  <c r="R162" i="27"/>
  <c r="U161" i="27"/>
  <c r="L574" i="27"/>
  <c r="X102" i="27"/>
  <c r="J102" i="27" s="1"/>
  <c r="W102" i="27"/>
  <c r="I102" i="27" s="1"/>
  <c r="V102" i="27"/>
  <c r="H102" i="27" s="1"/>
  <c r="K102" i="27" s="1"/>
  <c r="K384" i="27"/>
  <c r="X346" i="27"/>
  <c r="J346" i="27" s="1"/>
  <c r="V346" i="27"/>
  <c r="H346" i="27" s="1"/>
  <c r="W346" i="27"/>
  <c r="I346" i="27" s="1"/>
  <c r="W557" i="27"/>
  <c r="I557" i="27" s="1"/>
  <c r="X557" i="27"/>
  <c r="J557" i="27" s="1"/>
  <c r="V557" i="27"/>
  <c r="H557" i="27" s="1"/>
  <c r="K430" i="27"/>
  <c r="X134" i="27"/>
  <c r="J134" i="27" s="1"/>
  <c r="W134" i="27"/>
  <c r="I134" i="27" s="1"/>
  <c r="V134" i="27"/>
  <c r="H134" i="27" s="1"/>
  <c r="K134" i="27" s="1"/>
  <c r="X637" i="27"/>
  <c r="J637" i="27" s="1"/>
  <c r="W637" i="27"/>
  <c r="I637" i="27" s="1"/>
  <c r="V637" i="27"/>
  <c r="H637" i="27" s="1"/>
  <c r="K637" i="27" s="1"/>
  <c r="V67" i="27"/>
  <c r="H67" i="27" s="1"/>
  <c r="W67" i="27"/>
  <c r="I67" i="27" s="1"/>
  <c r="X67" i="27"/>
  <c r="J67" i="27" s="1"/>
  <c r="U103" i="27"/>
  <c r="R104" i="27"/>
  <c r="K159" i="27"/>
  <c r="R348" i="27"/>
  <c r="U347" i="27"/>
  <c r="U20" i="27"/>
  <c r="R21" i="27"/>
  <c r="X86" i="27"/>
  <c r="J86" i="27" s="1"/>
  <c r="V86" i="27"/>
  <c r="H86" i="27" s="1"/>
  <c r="K86" i="27" s="1"/>
  <c r="W86" i="27"/>
  <c r="I86" i="27" s="1"/>
  <c r="U491" i="27"/>
  <c r="R492" i="27"/>
  <c r="L167" i="27"/>
  <c r="K180" i="27"/>
  <c r="X227" i="27"/>
  <c r="J227" i="27" s="1"/>
  <c r="W227" i="27"/>
  <c r="I227" i="27" s="1"/>
  <c r="V227" i="27"/>
  <c r="H227" i="27" s="1"/>
  <c r="K227" i="27" s="1"/>
  <c r="U195" i="27"/>
  <c r="R196" i="27"/>
  <c r="K587" i="27"/>
  <c r="U469" i="27"/>
  <c r="R470" i="27"/>
  <c r="R88" i="27"/>
  <c r="U87" i="27"/>
  <c r="W160" i="27"/>
  <c r="I160" i="27" s="1"/>
  <c r="X160" i="27"/>
  <c r="J160" i="27" s="1"/>
  <c r="V160" i="27"/>
  <c r="H160" i="27" s="1"/>
  <c r="K160" i="27" s="1"/>
  <c r="R229" i="27"/>
  <c r="U228" i="27"/>
  <c r="V432" i="27"/>
  <c r="X432" i="27"/>
  <c r="W432" i="27"/>
  <c r="K267" i="27"/>
  <c r="X406" i="27"/>
  <c r="J406" i="27" s="1"/>
  <c r="V406" i="27"/>
  <c r="H406" i="27" s="1"/>
  <c r="W406" i="27"/>
  <c r="I406" i="27" s="1"/>
  <c r="X638" i="27"/>
  <c r="J638" i="27" s="1"/>
  <c r="J639" i="27" s="1"/>
  <c r="W638" i="27"/>
  <c r="I638" i="27" s="1"/>
  <c r="I639" i="27" s="1"/>
  <c r="V638" i="27"/>
  <c r="H638" i="27" s="1"/>
  <c r="U68" i="27"/>
  <c r="R69" i="27"/>
  <c r="X468" i="27"/>
  <c r="J468" i="27" s="1"/>
  <c r="W468" i="27"/>
  <c r="I468" i="27" s="1"/>
  <c r="V468" i="27"/>
  <c r="H468" i="27" s="1"/>
  <c r="W19" i="27"/>
  <c r="I19" i="27" s="1"/>
  <c r="V19" i="27"/>
  <c r="H19" i="27" s="1"/>
  <c r="K19" i="27" s="1"/>
  <c r="X19" i="27"/>
  <c r="J19" i="27" s="1"/>
  <c r="X194" i="27"/>
  <c r="J194" i="27" s="1"/>
  <c r="W194" i="27"/>
  <c r="I194" i="27" s="1"/>
  <c r="V194" i="27"/>
  <c r="H194" i="27" s="1"/>
  <c r="K194" i="27" s="1"/>
  <c r="X431" i="27"/>
  <c r="J431" i="27" s="1"/>
  <c r="J432" i="27" s="1"/>
  <c r="W431" i="27"/>
  <c r="I431" i="27" s="1"/>
  <c r="I432" i="27" s="1"/>
  <c r="V431" i="27"/>
  <c r="H431" i="27" s="1"/>
  <c r="K370" i="27"/>
  <c r="L359" i="27"/>
  <c r="R288" i="27"/>
  <c r="U287" i="27"/>
  <c r="K85" i="27"/>
  <c r="X511" i="26"/>
  <c r="J511" i="26" s="1"/>
  <c r="W511" i="26"/>
  <c r="I511" i="26" s="1"/>
  <c r="V511" i="26"/>
  <c r="H511" i="26" s="1"/>
  <c r="K511" i="26" s="1"/>
  <c r="R513" i="26"/>
  <c r="U512" i="26"/>
  <c r="K399" i="26"/>
  <c r="U401" i="26"/>
  <c r="R402" i="26"/>
  <c r="X400" i="26"/>
  <c r="J400" i="26" s="1"/>
  <c r="W400" i="26"/>
  <c r="I400" i="26" s="1"/>
  <c r="V400" i="26"/>
  <c r="H400" i="26" s="1"/>
  <c r="K115" i="26"/>
  <c r="V223" i="26"/>
  <c r="H223" i="26" s="1"/>
  <c r="W223" i="26"/>
  <c r="I223" i="26" s="1"/>
  <c r="X223" i="26"/>
  <c r="J223" i="26" s="1"/>
  <c r="X83" i="26"/>
  <c r="J83" i="26" s="1"/>
  <c r="V83" i="26"/>
  <c r="H83" i="26" s="1"/>
  <c r="W83" i="26"/>
  <c r="I83" i="26" s="1"/>
  <c r="X554" i="26"/>
  <c r="J554" i="26" s="1"/>
  <c r="W554" i="26"/>
  <c r="I554" i="26" s="1"/>
  <c r="V554" i="26"/>
  <c r="H554" i="26" s="1"/>
  <c r="V452" i="26"/>
  <c r="X452" i="26"/>
  <c r="W452" i="26"/>
  <c r="X583" i="26"/>
  <c r="W583" i="26"/>
  <c r="I583" i="26" s="1"/>
  <c r="V583" i="26"/>
  <c r="H583" i="26" s="1"/>
  <c r="X117" i="26"/>
  <c r="W117" i="26"/>
  <c r="V117" i="26"/>
  <c r="W425" i="26"/>
  <c r="I425" i="26" s="1"/>
  <c r="X425" i="26"/>
  <c r="J425" i="26" s="1"/>
  <c r="V425" i="26"/>
  <c r="H425" i="26" s="1"/>
  <c r="K570" i="26"/>
  <c r="W249" i="26"/>
  <c r="I249" i="26" s="1"/>
  <c r="V249" i="26"/>
  <c r="H249" i="26" s="1"/>
  <c r="X249" i="26"/>
  <c r="J249" i="26" s="1"/>
  <c r="V281" i="26"/>
  <c r="X281" i="26"/>
  <c r="J281" i="26" s="1"/>
  <c r="W281" i="26"/>
  <c r="I281" i="26" s="1"/>
  <c r="X116" i="26"/>
  <c r="J116" i="26" s="1"/>
  <c r="J117" i="26" s="1"/>
  <c r="W116" i="26"/>
  <c r="I116" i="26" s="1"/>
  <c r="I117" i="26" s="1"/>
  <c r="V116" i="26"/>
  <c r="H116" i="26" s="1"/>
  <c r="X461" i="26"/>
  <c r="J461" i="26" s="1"/>
  <c r="V461" i="26"/>
  <c r="W461" i="26"/>
  <c r="I461" i="26" s="1"/>
  <c r="V332" i="26"/>
  <c r="X332" i="26"/>
  <c r="W332" i="26"/>
  <c r="W607" i="26"/>
  <c r="I607" i="26" s="1"/>
  <c r="X607" i="26"/>
  <c r="J607" i="26" s="1"/>
  <c r="V607" i="26"/>
  <c r="H607" i="26" s="1"/>
  <c r="W98" i="26"/>
  <c r="I98" i="26" s="1"/>
  <c r="V98" i="26"/>
  <c r="X98" i="26"/>
  <c r="J98" i="26" s="1"/>
  <c r="W62" i="26"/>
  <c r="I62" i="26" s="1"/>
  <c r="X62" i="26"/>
  <c r="J62" i="26" s="1"/>
  <c r="V62" i="26"/>
  <c r="H62" i="26" s="1"/>
  <c r="X530" i="26"/>
  <c r="J530" i="26" s="1"/>
  <c r="V530" i="26"/>
  <c r="H530" i="26" s="1"/>
  <c r="W530" i="26"/>
  <c r="I530" i="26" s="1"/>
  <c r="W630" i="26"/>
  <c r="I630" i="26" s="1"/>
  <c r="V630" i="26"/>
  <c r="H630" i="26" s="1"/>
  <c r="X630" i="26"/>
  <c r="J630" i="26" s="1"/>
  <c r="V127" i="26"/>
  <c r="H127" i="26" s="1"/>
  <c r="X127" i="26"/>
  <c r="J127" i="26" s="1"/>
  <c r="W127" i="26"/>
  <c r="I127" i="26" s="1"/>
  <c r="X381" i="26"/>
  <c r="J381" i="26" s="1"/>
  <c r="W381" i="26"/>
  <c r="I381" i="26" s="1"/>
  <c r="V381" i="26"/>
  <c r="H381" i="26" s="1"/>
  <c r="V190" i="26"/>
  <c r="H190" i="26" s="1"/>
  <c r="W190" i="26"/>
  <c r="I190" i="26" s="1"/>
  <c r="X190" i="26"/>
  <c r="J190" i="26" s="1"/>
  <c r="W484" i="26"/>
  <c r="I484" i="26" s="1"/>
  <c r="V484" i="26"/>
  <c r="H484" i="26" s="1"/>
  <c r="X484" i="26"/>
  <c r="J484" i="26" s="1"/>
  <c r="X175" i="26"/>
  <c r="J175" i="26" s="1"/>
  <c r="W175" i="26"/>
  <c r="I175" i="26" s="1"/>
  <c r="V175" i="26"/>
  <c r="H175" i="26" s="1"/>
  <c r="K629" i="26"/>
  <c r="W341" i="26"/>
  <c r="I341" i="26" s="1"/>
  <c r="V341" i="26"/>
  <c r="H341" i="26" s="1"/>
  <c r="X341" i="26"/>
  <c r="J341" i="26" s="1"/>
  <c r="W571" i="26"/>
  <c r="I571" i="26" s="1"/>
  <c r="V571" i="26"/>
  <c r="H571" i="26" s="1"/>
  <c r="X571" i="26"/>
  <c r="J571" i="26" s="1"/>
  <c r="V368" i="26"/>
  <c r="H368" i="26" s="1"/>
  <c r="W368" i="26"/>
  <c r="I368" i="26" s="1"/>
  <c r="X368" i="26"/>
  <c r="J368" i="26" s="1"/>
  <c r="W331" i="26"/>
  <c r="I331" i="26" s="1"/>
  <c r="I332" i="26" s="1"/>
  <c r="V331" i="26"/>
  <c r="H331" i="26" s="1"/>
  <c r="X331" i="26"/>
  <c r="J331" i="26" s="1"/>
  <c r="J332" i="26" s="1"/>
  <c r="V43" i="26"/>
  <c r="H43" i="26" s="1"/>
  <c r="X43" i="26"/>
  <c r="J43" i="26" s="1"/>
  <c r="W43" i="26"/>
  <c r="I43" i="26" s="1"/>
  <c r="V451" i="26"/>
  <c r="H451" i="26" s="1"/>
  <c r="W451" i="26"/>
  <c r="I451" i="26" s="1"/>
  <c r="I452" i="26" s="1"/>
  <c r="X451" i="26"/>
  <c r="J451" i="26" s="1"/>
  <c r="J452" i="26" s="1"/>
  <c r="W14" i="26"/>
  <c r="I14" i="26" s="1"/>
  <c r="V14" i="26"/>
  <c r="H14" i="26" s="1"/>
  <c r="X14" i="26"/>
  <c r="J14" i="26" s="1"/>
  <c r="X262" i="26"/>
  <c r="J262" i="26" s="1"/>
  <c r="V262" i="26"/>
  <c r="H262" i="26" s="1"/>
  <c r="W262" i="26"/>
  <c r="I262" i="26" s="1"/>
  <c r="X154" i="26"/>
  <c r="J154" i="26" s="1"/>
  <c r="V154" i="26"/>
  <c r="H154" i="26" s="1"/>
  <c r="W154" i="26"/>
  <c r="I154" i="26" s="1"/>
  <c r="K460" i="26"/>
  <c r="K189" i="26"/>
  <c r="K367" i="26"/>
  <c r="K280" i="26"/>
  <c r="K126" i="26"/>
  <c r="K330" i="26"/>
  <c r="K61" i="26"/>
  <c r="K424" i="26"/>
  <c r="K222" i="26"/>
  <c r="K248" i="26"/>
  <c r="K553" i="26"/>
  <c r="K306" i="26"/>
  <c r="X307" i="26"/>
  <c r="J307" i="26" s="1"/>
  <c r="V307" i="26"/>
  <c r="H307" i="26" s="1"/>
  <c r="W307" i="26"/>
  <c r="I307" i="26" s="1"/>
  <c r="K340" i="26"/>
  <c r="K261" i="26"/>
  <c r="K450" i="26"/>
  <c r="K582" i="26"/>
  <c r="K464" i="26"/>
  <c r="K529" i="26"/>
  <c r="L522" i="26" s="1"/>
  <c r="K42" i="26"/>
  <c r="K483" i="26"/>
  <c r="K13" i="26"/>
  <c r="K463" i="26"/>
  <c r="K82" i="26"/>
  <c r="L81" i="26" s="1"/>
  <c r="K97" i="26"/>
  <c r="K606" i="26"/>
  <c r="K174" i="26"/>
  <c r="K380" i="26"/>
  <c r="K153" i="26"/>
  <c r="H33" i="26"/>
  <c r="K32" i="26"/>
  <c r="R100" i="26"/>
  <c r="U99" i="26"/>
  <c r="R129" i="26"/>
  <c r="U128" i="26"/>
  <c r="R609" i="26"/>
  <c r="U608" i="26"/>
  <c r="R427" i="26"/>
  <c r="U426" i="26"/>
  <c r="R573" i="26"/>
  <c r="U572" i="26"/>
  <c r="R556" i="26"/>
  <c r="U555" i="26"/>
  <c r="R532" i="26"/>
  <c r="U531" i="26"/>
  <c r="H461" i="26"/>
  <c r="R192" i="26"/>
  <c r="U191" i="26"/>
  <c r="R264" i="26"/>
  <c r="U263" i="26"/>
  <c r="R177" i="26"/>
  <c r="U176" i="26"/>
  <c r="R383" i="26"/>
  <c r="U382" i="26"/>
  <c r="J583" i="26"/>
  <c r="R343" i="26"/>
  <c r="U342" i="26"/>
  <c r="R16" i="26"/>
  <c r="U15" i="26"/>
  <c r="H98" i="26"/>
  <c r="R585" i="26"/>
  <c r="U584" i="26"/>
  <c r="R309" i="26"/>
  <c r="U308" i="26"/>
  <c r="R465" i="26"/>
  <c r="U462" i="26"/>
  <c r="R486" i="26"/>
  <c r="U485" i="26"/>
  <c r="R370" i="26"/>
  <c r="U370" i="26" s="1"/>
  <c r="U369" i="26"/>
  <c r="L233" i="26"/>
  <c r="K240" i="26"/>
  <c r="H281" i="26"/>
  <c r="R225" i="26"/>
  <c r="U224" i="26"/>
  <c r="R64" i="26"/>
  <c r="U63" i="26"/>
  <c r="R632" i="26"/>
  <c r="U631" i="26"/>
  <c r="R45" i="26"/>
  <c r="U44" i="26"/>
  <c r="R283" i="26"/>
  <c r="U282" i="26"/>
  <c r="L441" i="26"/>
  <c r="R85" i="26"/>
  <c r="U84" i="26"/>
  <c r="R156" i="26"/>
  <c r="U155" i="26"/>
  <c r="R251" i="26"/>
  <c r="U250" i="26"/>
  <c r="K588" i="27" l="1"/>
  <c r="K385" i="27"/>
  <c r="K307" i="27"/>
  <c r="K638" i="27"/>
  <c r="H639" i="27"/>
  <c r="V287" i="27"/>
  <c r="H287" i="27" s="1"/>
  <c r="X287" i="27"/>
  <c r="J287" i="27" s="1"/>
  <c r="W287" i="27"/>
  <c r="I287" i="27" s="1"/>
  <c r="X48" i="27"/>
  <c r="J48" i="27" s="1"/>
  <c r="V48" i="27"/>
  <c r="H48" i="27" s="1"/>
  <c r="K48" i="27" s="1"/>
  <c r="W48" i="27"/>
  <c r="I48" i="27" s="1"/>
  <c r="X537" i="27"/>
  <c r="J537" i="27" s="1"/>
  <c r="W537" i="27"/>
  <c r="I537" i="27" s="1"/>
  <c r="V537" i="27"/>
  <c r="H537" i="27" s="1"/>
  <c r="R105" i="27"/>
  <c r="U104" i="27"/>
  <c r="R516" i="27"/>
  <c r="U515" i="27"/>
  <c r="K286" i="27"/>
  <c r="L284" i="27" s="1"/>
  <c r="K490" i="27"/>
  <c r="U348" i="27"/>
  <c r="R349" i="27"/>
  <c r="X195" i="27"/>
  <c r="J195" i="27" s="1"/>
  <c r="W195" i="27"/>
  <c r="I195" i="27" s="1"/>
  <c r="V195" i="27"/>
  <c r="H195" i="27" s="1"/>
  <c r="K195" i="27" s="1"/>
  <c r="R591" i="27"/>
  <c r="U590" i="27"/>
  <c r="X407" i="27"/>
  <c r="J407" i="27" s="1"/>
  <c r="W407" i="27"/>
  <c r="I407" i="27" s="1"/>
  <c r="V407" i="27"/>
  <c r="H407" i="27" s="1"/>
  <c r="R615" i="27"/>
  <c r="U614" i="27"/>
  <c r="V514" i="27"/>
  <c r="H514" i="27" s="1"/>
  <c r="X514" i="27"/>
  <c r="J514" i="27" s="1"/>
  <c r="W514" i="27"/>
  <c r="I514" i="27" s="1"/>
  <c r="X589" i="27"/>
  <c r="J589" i="27" s="1"/>
  <c r="W589" i="27"/>
  <c r="I589" i="27" s="1"/>
  <c r="V589" i="27"/>
  <c r="H589" i="27" s="1"/>
  <c r="X613" i="27"/>
  <c r="J613" i="27" s="1"/>
  <c r="W613" i="27"/>
  <c r="I613" i="27" s="1"/>
  <c r="V613" i="27"/>
  <c r="H613" i="27" s="1"/>
  <c r="K613" i="27" s="1"/>
  <c r="X135" i="27"/>
  <c r="J135" i="27" s="1"/>
  <c r="W135" i="27"/>
  <c r="I135" i="27" s="1"/>
  <c r="V135" i="27"/>
  <c r="H135" i="27" s="1"/>
  <c r="K135" i="27" s="1"/>
  <c r="X308" i="27"/>
  <c r="J308" i="27" s="1"/>
  <c r="V308" i="27"/>
  <c r="H308" i="27" s="1"/>
  <c r="W308" i="27"/>
  <c r="I308" i="27" s="1"/>
  <c r="U270" i="27"/>
  <c r="R271" i="27"/>
  <c r="X347" i="27"/>
  <c r="J347" i="27" s="1"/>
  <c r="V347" i="27"/>
  <c r="H347" i="27" s="1"/>
  <c r="W347" i="27"/>
  <c r="I347" i="27" s="1"/>
  <c r="L382" i="27"/>
  <c r="R539" i="27"/>
  <c r="U538" i="27"/>
  <c r="W103" i="27"/>
  <c r="I103" i="27" s="1"/>
  <c r="X103" i="27"/>
  <c r="J103" i="27" s="1"/>
  <c r="V103" i="27"/>
  <c r="H103" i="27" s="1"/>
  <c r="R493" i="27"/>
  <c r="U492" i="27"/>
  <c r="U136" i="27"/>
  <c r="R137" i="27"/>
  <c r="K47" i="27"/>
  <c r="U309" i="27"/>
  <c r="R310" i="27"/>
  <c r="X269" i="27"/>
  <c r="J269" i="27" s="1"/>
  <c r="W269" i="27"/>
  <c r="I269" i="27" s="1"/>
  <c r="V269" i="27"/>
  <c r="H269" i="27" s="1"/>
  <c r="K269" i="27" s="1"/>
  <c r="R89" i="27"/>
  <c r="U89" i="27" s="1"/>
  <c r="U88" i="27"/>
  <c r="V68" i="27"/>
  <c r="H68" i="27" s="1"/>
  <c r="X68" i="27"/>
  <c r="J68" i="27" s="1"/>
  <c r="W68" i="27"/>
  <c r="I68" i="27" s="1"/>
  <c r="R50" i="27"/>
  <c r="U49" i="27"/>
  <c r="U196" i="27"/>
  <c r="R197" i="27"/>
  <c r="L370" i="27"/>
  <c r="X161" i="27"/>
  <c r="J161" i="27" s="1"/>
  <c r="W161" i="27"/>
  <c r="I161" i="27" s="1"/>
  <c r="V161" i="27"/>
  <c r="H161" i="27" s="1"/>
  <c r="K161" i="27" s="1"/>
  <c r="L180" i="27"/>
  <c r="X491" i="27"/>
  <c r="J491" i="27" s="1"/>
  <c r="W491" i="27"/>
  <c r="I491" i="27" s="1"/>
  <c r="V491" i="27"/>
  <c r="H491" i="27" s="1"/>
  <c r="K491" i="27" s="1"/>
  <c r="L427" i="27"/>
  <c r="R388" i="27"/>
  <c r="U387" i="27"/>
  <c r="K431" i="27"/>
  <c r="K432" i="27" s="1"/>
  <c r="H432" i="27"/>
  <c r="V228" i="27"/>
  <c r="H228" i="27" s="1"/>
  <c r="W228" i="27"/>
  <c r="I228" i="27" s="1"/>
  <c r="X228" i="27"/>
  <c r="J228" i="27" s="1"/>
  <c r="K557" i="27"/>
  <c r="K612" i="27"/>
  <c r="X386" i="27"/>
  <c r="J386" i="27" s="1"/>
  <c r="W386" i="27"/>
  <c r="I386" i="27" s="1"/>
  <c r="V386" i="27"/>
  <c r="H386" i="27" s="1"/>
  <c r="K386" i="27" s="1"/>
  <c r="X87" i="27"/>
  <c r="J87" i="27" s="1"/>
  <c r="W87" i="27"/>
  <c r="I87" i="27" s="1"/>
  <c r="V87" i="27"/>
  <c r="H87" i="27" s="1"/>
  <c r="K87" i="27" s="1"/>
  <c r="R289" i="27"/>
  <c r="U288" i="27"/>
  <c r="U229" i="27"/>
  <c r="R230" i="27"/>
  <c r="R560" i="27"/>
  <c r="U559" i="27"/>
  <c r="U69" i="27"/>
  <c r="R70" i="27"/>
  <c r="X558" i="27"/>
  <c r="J558" i="27" s="1"/>
  <c r="W558" i="27"/>
  <c r="I558" i="27" s="1"/>
  <c r="V558" i="27"/>
  <c r="H558" i="27" s="1"/>
  <c r="K558" i="27" s="1"/>
  <c r="V469" i="27"/>
  <c r="H469" i="27" s="1"/>
  <c r="X469" i="27"/>
  <c r="J469" i="27" s="1"/>
  <c r="W469" i="27"/>
  <c r="I469" i="27" s="1"/>
  <c r="K406" i="27"/>
  <c r="K468" i="27"/>
  <c r="U21" i="27"/>
  <c r="R22" i="27"/>
  <c r="R471" i="27"/>
  <c r="U470" i="27"/>
  <c r="K67" i="27"/>
  <c r="U162" i="27"/>
  <c r="R163" i="27"/>
  <c r="U408" i="27"/>
  <c r="R409" i="27"/>
  <c r="V20" i="27"/>
  <c r="H20" i="27" s="1"/>
  <c r="X20" i="27"/>
  <c r="J20" i="27" s="1"/>
  <c r="W20" i="27"/>
  <c r="I20" i="27" s="1"/>
  <c r="K346" i="27"/>
  <c r="K513" i="27"/>
  <c r="X512" i="26"/>
  <c r="J512" i="26" s="1"/>
  <c r="W512" i="26"/>
  <c r="I512" i="26" s="1"/>
  <c r="V512" i="26"/>
  <c r="H512" i="26" s="1"/>
  <c r="K512" i="26" s="1"/>
  <c r="R514" i="26"/>
  <c r="U513" i="26"/>
  <c r="L504" i="26"/>
  <c r="K400" i="26"/>
  <c r="U402" i="26"/>
  <c r="R403" i="26"/>
  <c r="X401" i="26"/>
  <c r="J401" i="26" s="1"/>
  <c r="W401" i="26"/>
  <c r="I401" i="26" s="1"/>
  <c r="V401" i="26"/>
  <c r="H401" i="26" s="1"/>
  <c r="K331" i="26"/>
  <c r="K116" i="26"/>
  <c r="H117" i="26"/>
  <c r="X342" i="26"/>
  <c r="J342" i="26" s="1"/>
  <c r="W342" i="26"/>
  <c r="V342" i="26"/>
  <c r="V608" i="26"/>
  <c r="H608" i="26" s="1"/>
  <c r="X608" i="26"/>
  <c r="J608" i="26" s="1"/>
  <c r="W608" i="26"/>
  <c r="I608" i="26" s="1"/>
  <c r="W369" i="26"/>
  <c r="X369" i="26"/>
  <c r="J369" i="26" s="1"/>
  <c r="J370" i="26" s="1"/>
  <c r="V369" i="26"/>
  <c r="H369" i="26" s="1"/>
  <c r="W176" i="26"/>
  <c r="I176" i="26" s="1"/>
  <c r="V176" i="26"/>
  <c r="H176" i="26" s="1"/>
  <c r="X176" i="26"/>
  <c r="X370" i="26"/>
  <c r="W370" i="26"/>
  <c r="V370" i="26"/>
  <c r="W572" i="26"/>
  <c r="X572" i="26"/>
  <c r="J572" i="26" s="1"/>
  <c r="V572" i="26"/>
  <c r="H572" i="26" s="1"/>
  <c r="X15" i="26"/>
  <c r="J15" i="26" s="1"/>
  <c r="V15" i="26"/>
  <c r="H15" i="26" s="1"/>
  <c r="W15" i="26"/>
  <c r="I15" i="26" s="1"/>
  <c r="X462" i="26"/>
  <c r="J462" i="26" s="1"/>
  <c r="W462" i="26"/>
  <c r="I462" i="26" s="1"/>
  <c r="V462" i="26"/>
  <c r="H462" i="26" s="1"/>
  <c r="V63" i="26"/>
  <c r="H63" i="26" s="1"/>
  <c r="X63" i="26"/>
  <c r="J63" i="26" s="1"/>
  <c r="W63" i="26"/>
  <c r="I63" i="26" s="1"/>
  <c r="W531" i="26"/>
  <c r="X531" i="26"/>
  <c r="V531" i="26"/>
  <c r="H531" i="26" s="1"/>
  <c r="X282" i="26"/>
  <c r="J282" i="26" s="1"/>
  <c r="V282" i="26"/>
  <c r="H282" i="26" s="1"/>
  <c r="W282" i="26"/>
  <c r="I282" i="26" s="1"/>
  <c r="W44" i="26"/>
  <c r="I44" i="26" s="1"/>
  <c r="V44" i="26"/>
  <c r="H44" i="26" s="1"/>
  <c r="X44" i="26"/>
  <c r="J44" i="26" s="1"/>
  <c r="V631" i="26"/>
  <c r="H631" i="26" s="1"/>
  <c r="X631" i="26"/>
  <c r="J631" i="26" s="1"/>
  <c r="W631" i="26"/>
  <c r="I631" i="26" s="1"/>
  <c r="V250" i="26"/>
  <c r="H250" i="26" s="1"/>
  <c r="X250" i="26"/>
  <c r="J250" i="26" s="1"/>
  <c r="W250" i="26"/>
  <c r="I250" i="26" s="1"/>
  <c r="W485" i="26"/>
  <c r="I485" i="26" s="1"/>
  <c r="X485" i="26"/>
  <c r="J485" i="26" s="1"/>
  <c r="V485" i="26"/>
  <c r="H485" i="26" s="1"/>
  <c r="W224" i="26"/>
  <c r="I224" i="26" s="1"/>
  <c r="X224" i="26"/>
  <c r="J224" i="26" s="1"/>
  <c r="V224" i="26"/>
  <c r="H224" i="26" s="1"/>
  <c r="W263" i="26"/>
  <c r="I263" i="26" s="1"/>
  <c r="X263" i="26"/>
  <c r="J263" i="26" s="1"/>
  <c r="V263" i="26"/>
  <c r="H263" i="26" s="1"/>
  <c r="V426" i="26"/>
  <c r="H426" i="26" s="1"/>
  <c r="X426" i="26"/>
  <c r="J426" i="26" s="1"/>
  <c r="W426" i="26"/>
  <c r="I426" i="26" s="1"/>
  <c r="X191" i="26"/>
  <c r="J191" i="26" s="1"/>
  <c r="V191" i="26"/>
  <c r="H191" i="26" s="1"/>
  <c r="W191" i="26"/>
  <c r="I191" i="26" s="1"/>
  <c r="W555" i="26"/>
  <c r="I555" i="26" s="1"/>
  <c r="V555" i="26"/>
  <c r="H555" i="26" s="1"/>
  <c r="X555" i="26"/>
  <c r="V128" i="26"/>
  <c r="H128" i="26" s="1"/>
  <c r="W128" i="26"/>
  <c r="I128" i="26" s="1"/>
  <c r="X128" i="26"/>
  <c r="J128" i="26" s="1"/>
  <c r="W584" i="26"/>
  <c r="I584" i="26" s="1"/>
  <c r="X584" i="26"/>
  <c r="J584" i="26" s="1"/>
  <c r="V584" i="26"/>
  <c r="H584" i="26" s="1"/>
  <c r="W155" i="26"/>
  <c r="I155" i="26" s="1"/>
  <c r="V155" i="26"/>
  <c r="H155" i="26" s="1"/>
  <c r="X155" i="26"/>
  <c r="J155" i="26" s="1"/>
  <c r="W99" i="26"/>
  <c r="I99" i="26" s="1"/>
  <c r="V99" i="26"/>
  <c r="H99" i="26" s="1"/>
  <c r="X99" i="26"/>
  <c r="J99" i="26" s="1"/>
  <c r="X84" i="26"/>
  <c r="J84" i="26" s="1"/>
  <c r="W84" i="26"/>
  <c r="I84" i="26" s="1"/>
  <c r="V84" i="26"/>
  <c r="H84" i="26" s="1"/>
  <c r="V382" i="26"/>
  <c r="H382" i="26" s="1"/>
  <c r="X382" i="26"/>
  <c r="J382" i="26" s="1"/>
  <c r="W382" i="26"/>
  <c r="I382" i="26" s="1"/>
  <c r="K43" i="26"/>
  <c r="K368" i="26"/>
  <c r="K154" i="26"/>
  <c r="L151" i="26" s="1"/>
  <c r="K262" i="26"/>
  <c r="K484" i="26"/>
  <c r="L483" i="26" s="1"/>
  <c r="K127" i="26"/>
  <c r="K341" i="26"/>
  <c r="K223" i="26"/>
  <c r="X308" i="26"/>
  <c r="J308" i="26" s="1"/>
  <c r="V308" i="26"/>
  <c r="H308" i="26" s="1"/>
  <c r="W308" i="26"/>
  <c r="I308" i="26" s="1"/>
  <c r="K307" i="26"/>
  <c r="K281" i="26"/>
  <c r="K461" i="26"/>
  <c r="L459" i="26" s="1"/>
  <c r="K175" i="26"/>
  <c r="K607" i="26"/>
  <c r="K530" i="26"/>
  <c r="K249" i="26"/>
  <c r="K554" i="26"/>
  <c r="K630" i="26"/>
  <c r="K381" i="26"/>
  <c r="L378" i="26" s="1"/>
  <c r="K62" i="26"/>
  <c r="K583" i="26"/>
  <c r="K98" i="26"/>
  <c r="K83" i="26"/>
  <c r="K571" i="26"/>
  <c r="K451" i="26"/>
  <c r="K190" i="26"/>
  <c r="K14" i="26"/>
  <c r="L12" i="26" s="1"/>
  <c r="K425" i="26"/>
  <c r="R17" i="26"/>
  <c r="U16" i="26"/>
  <c r="R428" i="26"/>
  <c r="U427" i="26"/>
  <c r="R46" i="26"/>
  <c r="U45" i="26"/>
  <c r="R101" i="26"/>
  <c r="U100" i="26"/>
  <c r="R284" i="26"/>
  <c r="U283" i="26"/>
  <c r="K332" i="26"/>
  <c r="R610" i="26"/>
  <c r="U609" i="26"/>
  <c r="R130" i="26"/>
  <c r="U129" i="26"/>
  <c r="J176" i="26"/>
  <c r="R633" i="26"/>
  <c r="U632" i="26"/>
  <c r="R344" i="26"/>
  <c r="U343" i="26"/>
  <c r="R178" i="26"/>
  <c r="U177" i="26"/>
  <c r="R487" i="26"/>
  <c r="U486" i="26"/>
  <c r="R310" i="26"/>
  <c r="U309" i="26"/>
  <c r="J531" i="26"/>
  <c r="I531" i="26"/>
  <c r="R157" i="26"/>
  <c r="U156" i="26"/>
  <c r="H342" i="26"/>
  <c r="I342" i="26"/>
  <c r="L240" i="26"/>
  <c r="R265" i="26"/>
  <c r="U264" i="26"/>
  <c r="R533" i="26"/>
  <c r="U532" i="26"/>
  <c r="R226" i="26"/>
  <c r="U225" i="26"/>
  <c r="R466" i="26"/>
  <c r="U465" i="26"/>
  <c r="R586" i="26"/>
  <c r="U585" i="26"/>
  <c r="H452" i="26"/>
  <c r="J555" i="26"/>
  <c r="R193" i="26"/>
  <c r="U192" i="26"/>
  <c r="R557" i="26"/>
  <c r="U556" i="26"/>
  <c r="I572" i="26"/>
  <c r="R65" i="26"/>
  <c r="U64" i="26"/>
  <c r="K33" i="26"/>
  <c r="L25" i="26"/>
  <c r="R384" i="26"/>
  <c r="U383" i="26"/>
  <c r="H332" i="26"/>
  <c r="R574" i="26"/>
  <c r="U574" i="26" s="1"/>
  <c r="U573" i="26"/>
  <c r="R86" i="26"/>
  <c r="U85" i="26"/>
  <c r="R252" i="26"/>
  <c r="U252" i="26" s="1"/>
  <c r="U251" i="26"/>
  <c r="I369" i="26"/>
  <c r="I370" i="26" s="1"/>
  <c r="K68" i="27" l="1"/>
  <c r="X104" i="27"/>
  <c r="J104" i="27" s="1"/>
  <c r="V104" i="27"/>
  <c r="H104" i="27" s="1"/>
  <c r="W104" i="27"/>
  <c r="I104" i="27" s="1"/>
  <c r="K514" i="27"/>
  <c r="R106" i="27"/>
  <c r="U106" i="27" s="1"/>
  <c r="U105" i="27"/>
  <c r="X89" i="27"/>
  <c r="W89" i="27"/>
  <c r="V89" i="27"/>
  <c r="K347" i="27"/>
  <c r="L343" i="27" s="1"/>
  <c r="K537" i="27"/>
  <c r="X614" i="27"/>
  <c r="J614" i="27" s="1"/>
  <c r="W614" i="27"/>
  <c r="I614" i="27" s="1"/>
  <c r="V614" i="27"/>
  <c r="H614" i="27" s="1"/>
  <c r="K614" i="27" s="1"/>
  <c r="U539" i="27"/>
  <c r="R540" i="27"/>
  <c r="X270" i="27"/>
  <c r="J270" i="27" s="1"/>
  <c r="W270" i="27"/>
  <c r="I270" i="27" s="1"/>
  <c r="V270" i="27"/>
  <c r="H270" i="27" s="1"/>
  <c r="K270" i="27" s="1"/>
  <c r="K407" i="27"/>
  <c r="R272" i="27"/>
  <c r="U272" i="27" s="1"/>
  <c r="U271" i="27"/>
  <c r="R311" i="27"/>
  <c r="U310" i="27"/>
  <c r="V590" i="27"/>
  <c r="H590" i="27" s="1"/>
  <c r="W590" i="27"/>
  <c r="I590" i="27" s="1"/>
  <c r="X590" i="27"/>
  <c r="J590" i="27" s="1"/>
  <c r="R592" i="27"/>
  <c r="U591" i="27"/>
  <c r="R71" i="27"/>
  <c r="U70" i="27"/>
  <c r="U163" i="27"/>
  <c r="R164" i="27"/>
  <c r="X136" i="27"/>
  <c r="J136" i="27" s="1"/>
  <c r="W136" i="27"/>
  <c r="I136" i="27" s="1"/>
  <c r="V136" i="27"/>
  <c r="H136" i="27" s="1"/>
  <c r="K136" i="27" s="1"/>
  <c r="K287" i="27"/>
  <c r="X515" i="27"/>
  <c r="J515" i="27" s="1"/>
  <c r="W515" i="27"/>
  <c r="I515" i="27" s="1"/>
  <c r="V515" i="27"/>
  <c r="H515" i="27" s="1"/>
  <c r="K515" i="27" s="1"/>
  <c r="W88" i="27"/>
  <c r="I88" i="27" s="1"/>
  <c r="I89" i="27" s="1"/>
  <c r="V88" i="27"/>
  <c r="H88" i="27" s="1"/>
  <c r="X88" i="27"/>
  <c r="J88" i="27" s="1"/>
  <c r="J89" i="27" s="1"/>
  <c r="U615" i="27"/>
  <c r="R616" i="27"/>
  <c r="W69" i="27"/>
  <c r="I69" i="27" s="1"/>
  <c r="X69" i="27"/>
  <c r="J69" i="27" s="1"/>
  <c r="V69" i="27"/>
  <c r="H69" i="27" s="1"/>
  <c r="K69" i="27" s="1"/>
  <c r="U560" i="27"/>
  <c r="R561" i="27"/>
  <c r="V492" i="27"/>
  <c r="H492" i="27" s="1"/>
  <c r="X492" i="27"/>
  <c r="J492" i="27" s="1"/>
  <c r="W492" i="27"/>
  <c r="I492" i="27" s="1"/>
  <c r="K469" i="27"/>
  <c r="X559" i="27"/>
  <c r="J559" i="27" s="1"/>
  <c r="V559" i="27"/>
  <c r="H559" i="27" s="1"/>
  <c r="W559" i="27"/>
  <c r="I559" i="27" s="1"/>
  <c r="R231" i="27"/>
  <c r="U230" i="27"/>
  <c r="U493" i="27"/>
  <c r="R494" i="27"/>
  <c r="K639" i="27"/>
  <c r="L633" i="27"/>
  <c r="U289" i="27"/>
  <c r="R290" i="27"/>
  <c r="X538" i="27"/>
  <c r="J538" i="27" s="1"/>
  <c r="W538" i="27"/>
  <c r="I538" i="27" s="1"/>
  <c r="V538" i="27"/>
  <c r="H538" i="27" s="1"/>
  <c r="K308" i="27"/>
  <c r="L304" i="27" s="1"/>
  <c r="X470" i="27"/>
  <c r="J470" i="27" s="1"/>
  <c r="V470" i="27"/>
  <c r="H470" i="27" s="1"/>
  <c r="W470" i="27"/>
  <c r="I470" i="27" s="1"/>
  <c r="X229" i="27"/>
  <c r="J229" i="27" s="1"/>
  <c r="V229" i="27"/>
  <c r="H229" i="27" s="1"/>
  <c r="W229" i="27"/>
  <c r="I229" i="27" s="1"/>
  <c r="U197" i="27"/>
  <c r="R198" i="27"/>
  <c r="U516" i="27"/>
  <c r="R517" i="27"/>
  <c r="L432" i="27"/>
  <c r="K228" i="27"/>
  <c r="U471" i="27"/>
  <c r="R472" i="27"/>
  <c r="X196" i="27"/>
  <c r="J196" i="27" s="1"/>
  <c r="W196" i="27"/>
  <c r="I196" i="27" s="1"/>
  <c r="V196" i="27"/>
  <c r="H196" i="27" s="1"/>
  <c r="U349" i="27"/>
  <c r="R350" i="27"/>
  <c r="K20" i="27"/>
  <c r="V309" i="27"/>
  <c r="H309" i="27" s="1"/>
  <c r="X309" i="27"/>
  <c r="J309" i="27" s="1"/>
  <c r="W309" i="27"/>
  <c r="I309" i="27" s="1"/>
  <c r="R410" i="27"/>
  <c r="U409" i="27"/>
  <c r="R23" i="27"/>
  <c r="U22" i="27"/>
  <c r="X387" i="27"/>
  <c r="J387" i="27" s="1"/>
  <c r="W387" i="27"/>
  <c r="I387" i="27" s="1"/>
  <c r="V387" i="27"/>
  <c r="H387" i="27" s="1"/>
  <c r="K387" i="27" s="1"/>
  <c r="X49" i="27"/>
  <c r="J49" i="27" s="1"/>
  <c r="W49" i="27"/>
  <c r="I49" i="27" s="1"/>
  <c r="V49" i="27"/>
  <c r="H49" i="27" s="1"/>
  <c r="K103" i="27"/>
  <c r="L100" i="27" s="1"/>
  <c r="V348" i="27"/>
  <c r="H348" i="27" s="1"/>
  <c r="X348" i="27"/>
  <c r="J348" i="27" s="1"/>
  <c r="W348" i="27"/>
  <c r="I348" i="27" s="1"/>
  <c r="V408" i="27"/>
  <c r="H408" i="27" s="1"/>
  <c r="W408" i="27"/>
  <c r="I408" i="27" s="1"/>
  <c r="X408" i="27"/>
  <c r="J408" i="27" s="1"/>
  <c r="U137" i="27"/>
  <c r="R138" i="27"/>
  <c r="W162" i="27"/>
  <c r="I162" i="27" s="1"/>
  <c r="X162" i="27"/>
  <c r="J162" i="27" s="1"/>
  <c r="V162" i="27"/>
  <c r="H162" i="27" s="1"/>
  <c r="K162" i="27" s="1"/>
  <c r="X21" i="27"/>
  <c r="J21" i="27" s="1"/>
  <c r="V21" i="27"/>
  <c r="H21" i="27" s="1"/>
  <c r="W21" i="27"/>
  <c r="I21" i="27" s="1"/>
  <c r="X288" i="27"/>
  <c r="J288" i="27" s="1"/>
  <c r="W288" i="27"/>
  <c r="I288" i="27" s="1"/>
  <c r="V288" i="27"/>
  <c r="H288" i="27" s="1"/>
  <c r="K288" i="27" s="1"/>
  <c r="R389" i="27"/>
  <c r="U388" i="27"/>
  <c r="R51" i="27"/>
  <c r="U50" i="27"/>
  <c r="K589" i="27"/>
  <c r="X513" i="26"/>
  <c r="J513" i="26" s="1"/>
  <c r="V513" i="26"/>
  <c r="H513" i="26" s="1"/>
  <c r="W513" i="26"/>
  <c r="I513" i="26" s="1"/>
  <c r="R515" i="26"/>
  <c r="U514" i="26"/>
  <c r="K401" i="26"/>
  <c r="U403" i="26"/>
  <c r="R404" i="26"/>
  <c r="X402" i="26"/>
  <c r="J402" i="26" s="1"/>
  <c r="W402" i="26"/>
  <c r="I402" i="26" s="1"/>
  <c r="V402" i="26"/>
  <c r="H402" i="26" s="1"/>
  <c r="W609" i="26"/>
  <c r="X609" i="26"/>
  <c r="J609" i="26" s="1"/>
  <c r="V609" i="26"/>
  <c r="W129" i="26"/>
  <c r="I129" i="26" s="1"/>
  <c r="V129" i="26"/>
  <c r="X129" i="26"/>
  <c r="W16" i="26"/>
  <c r="V16" i="26"/>
  <c r="X16" i="26"/>
  <c r="J16" i="26" s="1"/>
  <c r="V343" i="26"/>
  <c r="H343" i="26" s="1"/>
  <c r="X343" i="26"/>
  <c r="J343" i="26" s="1"/>
  <c r="W343" i="26"/>
  <c r="I343" i="26" s="1"/>
  <c r="W573" i="26"/>
  <c r="I573" i="26" s="1"/>
  <c r="I574" i="26" s="1"/>
  <c r="X573" i="26"/>
  <c r="J573" i="26" s="1"/>
  <c r="J574" i="26" s="1"/>
  <c r="V573" i="26"/>
  <c r="H573" i="26" s="1"/>
  <c r="X45" i="26"/>
  <c r="V45" i="26"/>
  <c r="W45" i="26"/>
  <c r="I45" i="26" s="1"/>
  <c r="W192" i="26"/>
  <c r="I192" i="26" s="1"/>
  <c r="X192" i="26"/>
  <c r="J192" i="26" s="1"/>
  <c r="V192" i="26"/>
  <c r="H192" i="26" s="1"/>
  <c r="V383" i="26"/>
  <c r="H383" i="26" s="1"/>
  <c r="X383" i="26"/>
  <c r="J383" i="26" s="1"/>
  <c r="W383" i="26"/>
  <c r="I383" i="26" s="1"/>
  <c r="X225" i="26"/>
  <c r="J225" i="26" s="1"/>
  <c r="V225" i="26"/>
  <c r="H225" i="26" s="1"/>
  <c r="W225" i="26"/>
  <c r="I225" i="26" s="1"/>
  <c r="X556" i="26"/>
  <c r="J556" i="26" s="1"/>
  <c r="W556" i="26"/>
  <c r="I556" i="26" s="1"/>
  <c r="V556" i="26"/>
  <c r="H556" i="26" s="1"/>
  <c r="W632" i="26"/>
  <c r="I632" i="26" s="1"/>
  <c r="X632" i="26"/>
  <c r="J632" i="26" s="1"/>
  <c r="V632" i="26"/>
  <c r="H632" i="26" s="1"/>
  <c r="V252" i="26"/>
  <c r="X252" i="26"/>
  <c r="W252" i="26"/>
  <c r="W251" i="26"/>
  <c r="I251" i="26" s="1"/>
  <c r="I252" i="26" s="1"/>
  <c r="V251" i="26"/>
  <c r="H251" i="26" s="1"/>
  <c r="X251" i="26"/>
  <c r="J251" i="26" s="1"/>
  <c r="J252" i="26" s="1"/>
  <c r="X100" i="26"/>
  <c r="J100" i="26" s="1"/>
  <c r="V100" i="26"/>
  <c r="H100" i="26" s="1"/>
  <c r="W100" i="26"/>
  <c r="I100" i="26" s="1"/>
  <c r="W64" i="26"/>
  <c r="I64" i="26" s="1"/>
  <c r="X64" i="26"/>
  <c r="J64" i="26" s="1"/>
  <c r="V64" i="26"/>
  <c r="H64" i="26" s="1"/>
  <c r="V85" i="26"/>
  <c r="H85" i="26" s="1"/>
  <c r="W85" i="26"/>
  <c r="I85" i="26" s="1"/>
  <c r="X85" i="26"/>
  <c r="J85" i="26" s="1"/>
  <c r="W465" i="26"/>
  <c r="I465" i="26" s="1"/>
  <c r="X465" i="26"/>
  <c r="J465" i="26" s="1"/>
  <c r="V465" i="26"/>
  <c r="H465" i="26" s="1"/>
  <c r="W177" i="26"/>
  <c r="I177" i="26" s="1"/>
  <c r="V177" i="26"/>
  <c r="H177" i="26" s="1"/>
  <c r="X177" i="26"/>
  <c r="J177" i="26" s="1"/>
  <c r="V574" i="26"/>
  <c r="W574" i="26"/>
  <c r="X574" i="26"/>
  <c r="X156" i="26"/>
  <c r="J156" i="26" s="1"/>
  <c r="V156" i="26"/>
  <c r="H156" i="26" s="1"/>
  <c r="W156" i="26"/>
  <c r="I156" i="26" s="1"/>
  <c r="X264" i="26"/>
  <c r="J264" i="26" s="1"/>
  <c r="V264" i="26"/>
  <c r="H264" i="26" s="1"/>
  <c r="W264" i="26"/>
  <c r="I264" i="26" s="1"/>
  <c r="V585" i="26"/>
  <c r="H585" i="26" s="1"/>
  <c r="W585" i="26"/>
  <c r="I585" i="26" s="1"/>
  <c r="X585" i="26"/>
  <c r="J585" i="26" s="1"/>
  <c r="W427" i="26"/>
  <c r="I427" i="26" s="1"/>
  <c r="X427" i="26"/>
  <c r="J427" i="26" s="1"/>
  <c r="V427" i="26"/>
  <c r="H427" i="26" s="1"/>
  <c r="L107" i="26"/>
  <c r="K117" i="26"/>
  <c r="V532" i="26"/>
  <c r="H532" i="26" s="1"/>
  <c r="W532" i="26"/>
  <c r="I532" i="26" s="1"/>
  <c r="X532" i="26"/>
  <c r="J532" i="26" s="1"/>
  <c r="V283" i="26"/>
  <c r="H283" i="26" s="1"/>
  <c r="W283" i="26"/>
  <c r="I283" i="26" s="1"/>
  <c r="X283" i="26"/>
  <c r="J283" i="26" s="1"/>
  <c r="X486" i="26"/>
  <c r="J486" i="26" s="1"/>
  <c r="W486" i="26"/>
  <c r="I486" i="26" s="1"/>
  <c r="V486" i="26"/>
  <c r="H486" i="26" s="1"/>
  <c r="K176" i="26"/>
  <c r="K531" i="26"/>
  <c r="K631" i="26"/>
  <c r="K263" i="26"/>
  <c r="K128" i="26"/>
  <c r="K99" i="26"/>
  <c r="L97" i="26" s="1"/>
  <c r="K15" i="26"/>
  <c r="W309" i="26"/>
  <c r="I309" i="26" s="1"/>
  <c r="V309" i="26"/>
  <c r="H309" i="26" s="1"/>
  <c r="X309" i="26"/>
  <c r="J309" i="26" s="1"/>
  <c r="K382" i="26"/>
  <c r="K84" i="26"/>
  <c r="K308" i="26"/>
  <c r="L304" i="26" s="1"/>
  <c r="K342" i="26"/>
  <c r="L338" i="26" s="1"/>
  <c r="K485" i="26"/>
  <c r="K63" i="26"/>
  <c r="K608" i="26"/>
  <c r="K250" i="26"/>
  <c r="K426" i="26"/>
  <c r="L424" i="26" s="1"/>
  <c r="K282" i="26"/>
  <c r="K369" i="26"/>
  <c r="K224" i="26"/>
  <c r="K155" i="26"/>
  <c r="K44" i="26"/>
  <c r="L38" i="26" s="1"/>
  <c r="K584" i="26"/>
  <c r="L575" i="26" s="1"/>
  <c r="K555" i="26"/>
  <c r="K572" i="26"/>
  <c r="K191" i="26"/>
  <c r="L185" i="26" s="1"/>
  <c r="K462" i="26"/>
  <c r="L323" i="26"/>
  <c r="L332" i="26" s="1"/>
  <c r="R87" i="26"/>
  <c r="U86" i="26"/>
  <c r="R587" i="26"/>
  <c r="U586" i="26"/>
  <c r="R634" i="26"/>
  <c r="U633" i="26"/>
  <c r="I609" i="26"/>
  <c r="H609" i="26"/>
  <c r="R611" i="26"/>
  <c r="U610" i="26"/>
  <c r="R285" i="26"/>
  <c r="U284" i="26"/>
  <c r="R467" i="26"/>
  <c r="U466" i="26"/>
  <c r="R179" i="26"/>
  <c r="U178" i="26"/>
  <c r="R102" i="26"/>
  <c r="U101" i="26"/>
  <c r="R429" i="26"/>
  <c r="U428" i="26"/>
  <c r="H370" i="26"/>
  <c r="R534" i="26"/>
  <c r="U533" i="26"/>
  <c r="R345" i="26"/>
  <c r="U344" i="26"/>
  <c r="I16" i="26"/>
  <c r="H16" i="26"/>
  <c r="R18" i="26"/>
  <c r="U17" i="26"/>
  <c r="R66" i="26"/>
  <c r="U65" i="26"/>
  <c r="R227" i="26"/>
  <c r="U226" i="26"/>
  <c r="R266" i="26"/>
  <c r="U265" i="26"/>
  <c r="H45" i="26"/>
  <c r="J45" i="26"/>
  <c r="R558" i="26"/>
  <c r="U557" i="26"/>
  <c r="R47" i="26"/>
  <c r="U46" i="26"/>
  <c r="R385" i="26"/>
  <c r="U384" i="26"/>
  <c r="R311" i="26"/>
  <c r="U310" i="26"/>
  <c r="L33" i="26"/>
  <c r="R158" i="26"/>
  <c r="U157" i="26"/>
  <c r="H129" i="26"/>
  <c r="J129" i="26"/>
  <c r="R194" i="26"/>
  <c r="U193" i="26"/>
  <c r="K452" i="26"/>
  <c r="L447" i="26"/>
  <c r="R488" i="26"/>
  <c r="U487" i="26"/>
  <c r="R131" i="26"/>
  <c r="U130" i="26"/>
  <c r="V471" i="27" l="1"/>
  <c r="H471" i="27" s="1"/>
  <c r="W471" i="27"/>
  <c r="I471" i="27" s="1"/>
  <c r="X471" i="27"/>
  <c r="J471" i="27" s="1"/>
  <c r="R617" i="27"/>
  <c r="U616" i="27"/>
  <c r="R291" i="27"/>
  <c r="U290" i="27"/>
  <c r="V22" i="27"/>
  <c r="H22" i="27" s="1"/>
  <c r="X22" i="27"/>
  <c r="J22" i="27" s="1"/>
  <c r="W22" i="27"/>
  <c r="I22" i="27" s="1"/>
  <c r="R518" i="27"/>
  <c r="U517" i="27"/>
  <c r="R495" i="27"/>
  <c r="U494" i="27"/>
  <c r="V615" i="27"/>
  <c r="H615" i="27" s="1"/>
  <c r="K615" i="27" s="1"/>
  <c r="X615" i="27"/>
  <c r="J615" i="27" s="1"/>
  <c r="W615" i="27"/>
  <c r="I615" i="27" s="1"/>
  <c r="X105" i="27"/>
  <c r="J105" i="27" s="1"/>
  <c r="J106" i="27" s="1"/>
  <c r="J118" i="27" s="1"/>
  <c r="W105" i="27"/>
  <c r="I105" i="27" s="1"/>
  <c r="I106" i="27" s="1"/>
  <c r="I118" i="27" s="1"/>
  <c r="V105" i="27"/>
  <c r="H105" i="27" s="1"/>
  <c r="K590" i="27"/>
  <c r="W106" i="27"/>
  <c r="V106" i="27"/>
  <c r="X106" i="27"/>
  <c r="L639" i="27"/>
  <c r="V409" i="27"/>
  <c r="H409" i="27" s="1"/>
  <c r="K409" i="27" s="1"/>
  <c r="X409" i="27"/>
  <c r="J409" i="27" s="1"/>
  <c r="W409" i="27"/>
  <c r="I409" i="27" s="1"/>
  <c r="R199" i="27"/>
  <c r="U199" i="27" s="1"/>
  <c r="U198" i="27"/>
  <c r="K88" i="27"/>
  <c r="H89" i="27"/>
  <c r="X310" i="27"/>
  <c r="J310" i="27" s="1"/>
  <c r="W310" i="27"/>
  <c r="I310" i="27" s="1"/>
  <c r="V310" i="27"/>
  <c r="H310" i="27" s="1"/>
  <c r="K559" i="27"/>
  <c r="V271" i="27"/>
  <c r="H271" i="27" s="1"/>
  <c r="W271" i="27"/>
  <c r="I271" i="27" s="1"/>
  <c r="I272" i="27" s="1"/>
  <c r="X271" i="27"/>
  <c r="J271" i="27" s="1"/>
  <c r="J272" i="27" s="1"/>
  <c r="K408" i="27"/>
  <c r="R351" i="27"/>
  <c r="U350" i="27"/>
  <c r="K470" i="27"/>
  <c r="L467" i="27" s="1"/>
  <c r="X493" i="27"/>
  <c r="J493" i="27" s="1"/>
  <c r="V493" i="27"/>
  <c r="H493" i="27" s="1"/>
  <c r="W493" i="27"/>
  <c r="I493" i="27" s="1"/>
  <c r="U410" i="27"/>
  <c r="R411" i="27"/>
  <c r="X230" i="27"/>
  <c r="J230" i="27" s="1"/>
  <c r="W230" i="27"/>
  <c r="I230" i="27" s="1"/>
  <c r="V230" i="27"/>
  <c r="H230" i="27" s="1"/>
  <c r="R139" i="27"/>
  <c r="U138" i="27"/>
  <c r="U231" i="27"/>
  <c r="R232" i="27"/>
  <c r="U232" i="27" s="1"/>
  <c r="X137" i="27"/>
  <c r="J137" i="27" s="1"/>
  <c r="V137" i="27"/>
  <c r="H137" i="27" s="1"/>
  <c r="W137" i="27"/>
  <c r="I137" i="27" s="1"/>
  <c r="V272" i="27"/>
  <c r="X272" i="27"/>
  <c r="W272" i="27"/>
  <c r="X349" i="27"/>
  <c r="J349" i="27" s="1"/>
  <c r="V349" i="27"/>
  <c r="H349" i="27" s="1"/>
  <c r="W349" i="27"/>
  <c r="I349" i="27" s="1"/>
  <c r="U540" i="27"/>
  <c r="R541" i="27"/>
  <c r="V197" i="27"/>
  <c r="H197" i="27" s="1"/>
  <c r="X197" i="27"/>
  <c r="J197" i="27" s="1"/>
  <c r="W197" i="27"/>
  <c r="I197" i="27" s="1"/>
  <c r="W50" i="27"/>
  <c r="I50" i="27" s="1"/>
  <c r="X50" i="27"/>
  <c r="J50" i="27" s="1"/>
  <c r="V50" i="27"/>
  <c r="H50" i="27" s="1"/>
  <c r="K196" i="27"/>
  <c r="R165" i="27"/>
  <c r="U165" i="27" s="1"/>
  <c r="U164" i="27"/>
  <c r="X539" i="27"/>
  <c r="J539" i="27" s="1"/>
  <c r="W539" i="27"/>
  <c r="I539" i="27" s="1"/>
  <c r="V539" i="27"/>
  <c r="H539" i="27" s="1"/>
  <c r="K539" i="27" s="1"/>
  <c r="X591" i="27"/>
  <c r="J591" i="27" s="1"/>
  <c r="W591" i="27"/>
  <c r="I591" i="27" s="1"/>
  <c r="V591" i="27"/>
  <c r="H591" i="27" s="1"/>
  <c r="K591" i="27" s="1"/>
  <c r="U592" i="27"/>
  <c r="R593" i="27"/>
  <c r="U23" i="27"/>
  <c r="R24" i="27"/>
  <c r="U24" i="27" s="1"/>
  <c r="U311" i="27"/>
  <c r="R312" i="27"/>
  <c r="K309" i="27"/>
  <c r="K348" i="27"/>
  <c r="K492" i="27"/>
  <c r="L490" i="27" s="1"/>
  <c r="W163" i="27"/>
  <c r="I163" i="27" s="1"/>
  <c r="X163" i="27"/>
  <c r="J163" i="27" s="1"/>
  <c r="V163" i="27"/>
  <c r="H163" i="27" s="1"/>
  <c r="K163" i="27" s="1"/>
  <c r="X289" i="27"/>
  <c r="J289" i="27" s="1"/>
  <c r="V289" i="27"/>
  <c r="H289" i="27" s="1"/>
  <c r="W289" i="27"/>
  <c r="I289" i="27" s="1"/>
  <c r="W516" i="27"/>
  <c r="I516" i="27" s="1"/>
  <c r="V516" i="27"/>
  <c r="H516" i="27" s="1"/>
  <c r="X516" i="27"/>
  <c r="J516" i="27" s="1"/>
  <c r="W388" i="27"/>
  <c r="I388" i="27" s="1"/>
  <c r="X388" i="27"/>
  <c r="J388" i="27" s="1"/>
  <c r="V388" i="27"/>
  <c r="H388" i="27" s="1"/>
  <c r="K388" i="27" s="1"/>
  <c r="K538" i="27"/>
  <c r="R562" i="27"/>
  <c r="U562" i="27" s="1"/>
  <c r="U561" i="27"/>
  <c r="X70" i="27"/>
  <c r="J70" i="27" s="1"/>
  <c r="W70" i="27"/>
  <c r="I70" i="27" s="1"/>
  <c r="V70" i="27"/>
  <c r="H70" i="27" s="1"/>
  <c r="K70" i="27" s="1"/>
  <c r="R473" i="27"/>
  <c r="U472" i="27"/>
  <c r="K21" i="27"/>
  <c r="K104" i="27"/>
  <c r="K229" i="27"/>
  <c r="U51" i="27"/>
  <c r="R52" i="27"/>
  <c r="R390" i="27"/>
  <c r="U390" i="27" s="1"/>
  <c r="U389" i="27"/>
  <c r="K49" i="27"/>
  <c r="L45" i="27" s="1"/>
  <c r="W560" i="27"/>
  <c r="I560" i="27" s="1"/>
  <c r="V560" i="27"/>
  <c r="H560" i="27" s="1"/>
  <c r="X560" i="27"/>
  <c r="J560" i="27" s="1"/>
  <c r="U71" i="27"/>
  <c r="R72" i="27"/>
  <c r="U72" i="27" s="1"/>
  <c r="V514" i="26"/>
  <c r="H514" i="26" s="1"/>
  <c r="W514" i="26"/>
  <c r="I514" i="26" s="1"/>
  <c r="X514" i="26"/>
  <c r="J514" i="26" s="1"/>
  <c r="R516" i="26"/>
  <c r="U515" i="26"/>
  <c r="K513" i="26"/>
  <c r="K402" i="26"/>
  <c r="U404" i="26"/>
  <c r="R405" i="26"/>
  <c r="X403" i="26"/>
  <c r="J403" i="26" s="1"/>
  <c r="W403" i="26"/>
  <c r="I403" i="26" s="1"/>
  <c r="V403" i="26"/>
  <c r="H403" i="26" s="1"/>
  <c r="K403" i="26" s="1"/>
  <c r="K465" i="26"/>
  <c r="K85" i="26"/>
  <c r="K609" i="26"/>
  <c r="K64" i="26"/>
  <c r="W487" i="26"/>
  <c r="X487" i="26"/>
  <c r="V487" i="26"/>
  <c r="H487" i="26" s="1"/>
  <c r="X65" i="26"/>
  <c r="J65" i="26" s="1"/>
  <c r="V65" i="26"/>
  <c r="H65" i="26" s="1"/>
  <c r="W65" i="26"/>
  <c r="I65" i="26" s="1"/>
  <c r="L117" i="26"/>
  <c r="X610" i="26"/>
  <c r="V610" i="26"/>
  <c r="H610" i="26" s="1"/>
  <c r="W610" i="26"/>
  <c r="I610" i="26" s="1"/>
  <c r="W533" i="26"/>
  <c r="I533" i="26" s="1"/>
  <c r="X533" i="26"/>
  <c r="J533" i="26" s="1"/>
  <c r="V533" i="26"/>
  <c r="H533" i="26" s="1"/>
  <c r="X86" i="26"/>
  <c r="J86" i="26" s="1"/>
  <c r="V86" i="26"/>
  <c r="H86" i="26" s="1"/>
  <c r="W86" i="26"/>
  <c r="W193" i="26"/>
  <c r="I193" i="26" s="1"/>
  <c r="X193" i="26"/>
  <c r="J193" i="26" s="1"/>
  <c r="V193" i="26"/>
  <c r="W101" i="26"/>
  <c r="I101" i="26" s="1"/>
  <c r="V101" i="26"/>
  <c r="H101" i="26" s="1"/>
  <c r="X101" i="26"/>
  <c r="J101" i="26" s="1"/>
  <c r="X46" i="26"/>
  <c r="J46" i="26" s="1"/>
  <c r="V46" i="26"/>
  <c r="H46" i="26" s="1"/>
  <c r="W46" i="26"/>
  <c r="I46" i="26" s="1"/>
  <c r="W428" i="26"/>
  <c r="I428" i="26" s="1"/>
  <c r="V428" i="26"/>
  <c r="H428" i="26" s="1"/>
  <c r="X428" i="26"/>
  <c r="J428" i="26" s="1"/>
  <c r="X265" i="26"/>
  <c r="J265" i="26" s="1"/>
  <c r="V265" i="26"/>
  <c r="H265" i="26" s="1"/>
  <c r="W265" i="26"/>
  <c r="I265" i="26" s="1"/>
  <c r="X557" i="26"/>
  <c r="W557" i="26"/>
  <c r="V557" i="26"/>
  <c r="H557" i="26" s="1"/>
  <c r="W157" i="26"/>
  <c r="I157" i="26" s="1"/>
  <c r="X157" i="26"/>
  <c r="J157" i="26" s="1"/>
  <c r="V157" i="26"/>
  <c r="H157" i="26" s="1"/>
  <c r="W178" i="26"/>
  <c r="I178" i="26" s="1"/>
  <c r="X178" i="26"/>
  <c r="J178" i="26" s="1"/>
  <c r="V178" i="26"/>
  <c r="H178" i="26" s="1"/>
  <c r="V17" i="26"/>
  <c r="H17" i="26" s="1"/>
  <c r="W17" i="26"/>
  <c r="I17" i="26" s="1"/>
  <c r="X17" i="26"/>
  <c r="J17" i="26" s="1"/>
  <c r="W384" i="26"/>
  <c r="I384" i="26" s="1"/>
  <c r="X384" i="26"/>
  <c r="J384" i="26" s="1"/>
  <c r="V384" i="26"/>
  <c r="H384" i="26" s="1"/>
  <c r="X344" i="26"/>
  <c r="J344" i="26" s="1"/>
  <c r="V344" i="26"/>
  <c r="H344" i="26" s="1"/>
  <c r="W344" i="26"/>
  <c r="I344" i="26" s="1"/>
  <c r="W633" i="26"/>
  <c r="I633" i="26" s="1"/>
  <c r="V633" i="26"/>
  <c r="H633" i="26" s="1"/>
  <c r="X633" i="26"/>
  <c r="J633" i="26" s="1"/>
  <c r="V586" i="26"/>
  <c r="H586" i="26" s="1"/>
  <c r="X586" i="26"/>
  <c r="J586" i="26" s="1"/>
  <c r="W586" i="26"/>
  <c r="I586" i="26" s="1"/>
  <c r="X130" i="26"/>
  <c r="J130" i="26" s="1"/>
  <c r="V130" i="26"/>
  <c r="H130" i="26" s="1"/>
  <c r="W130" i="26"/>
  <c r="I130" i="26" s="1"/>
  <c r="X466" i="26"/>
  <c r="J466" i="26" s="1"/>
  <c r="W466" i="26"/>
  <c r="I466" i="26" s="1"/>
  <c r="V466" i="26"/>
  <c r="H466" i="26" s="1"/>
  <c r="V226" i="26"/>
  <c r="H226" i="26" s="1"/>
  <c r="W226" i="26"/>
  <c r="I226" i="26" s="1"/>
  <c r="X226" i="26"/>
  <c r="J226" i="26" s="1"/>
  <c r="K264" i="26"/>
  <c r="L261" i="26" s="1"/>
  <c r="W284" i="26"/>
  <c r="I284" i="26" s="1"/>
  <c r="X284" i="26"/>
  <c r="J284" i="26" s="1"/>
  <c r="V284" i="26"/>
  <c r="H284" i="26" s="1"/>
  <c r="K283" i="26"/>
  <c r="L279" i="26" s="1"/>
  <c r="K309" i="26"/>
  <c r="K556" i="26"/>
  <c r="K486" i="26"/>
  <c r="K585" i="26"/>
  <c r="K343" i="26"/>
  <c r="W310" i="26"/>
  <c r="I310" i="26" s="1"/>
  <c r="X310" i="26"/>
  <c r="J310" i="26" s="1"/>
  <c r="V310" i="26"/>
  <c r="H310" i="26" s="1"/>
  <c r="K532" i="26"/>
  <c r="K177" i="26"/>
  <c r="K632" i="26"/>
  <c r="L628" i="26" s="1"/>
  <c r="K427" i="26"/>
  <c r="K100" i="26"/>
  <c r="K251" i="26"/>
  <c r="K192" i="26"/>
  <c r="K156" i="26"/>
  <c r="K225" i="26"/>
  <c r="K129" i="26"/>
  <c r="K45" i="26"/>
  <c r="K383" i="26"/>
  <c r="K573" i="26"/>
  <c r="K574" i="26" s="1"/>
  <c r="K16" i="26"/>
  <c r="L359" i="26"/>
  <c r="K370" i="26"/>
  <c r="J610" i="26"/>
  <c r="R346" i="26"/>
  <c r="U345" i="26"/>
  <c r="R430" i="26"/>
  <c r="U429" i="26"/>
  <c r="R612" i="26"/>
  <c r="U611" i="26"/>
  <c r="R88" i="26"/>
  <c r="U87" i="26"/>
  <c r="R312" i="26"/>
  <c r="U311" i="26"/>
  <c r="R48" i="26"/>
  <c r="U47" i="26"/>
  <c r="R468" i="26"/>
  <c r="U467" i="26"/>
  <c r="R489" i="26"/>
  <c r="U488" i="26"/>
  <c r="R103" i="26"/>
  <c r="U102" i="26"/>
  <c r="R159" i="26"/>
  <c r="U158" i="26"/>
  <c r="R286" i="26"/>
  <c r="U285" i="26"/>
  <c r="R132" i="26"/>
  <c r="U131" i="26"/>
  <c r="L125" i="26"/>
  <c r="R67" i="26"/>
  <c r="U66" i="26"/>
  <c r="R535" i="26"/>
  <c r="U534" i="26"/>
  <c r="I487" i="26"/>
  <c r="J487" i="26"/>
  <c r="R635" i="26"/>
  <c r="U634" i="26"/>
  <c r="H252" i="26"/>
  <c r="R19" i="26"/>
  <c r="U18" i="26"/>
  <c r="R228" i="26"/>
  <c r="U227" i="26"/>
  <c r="R180" i="26"/>
  <c r="U180" i="26" s="1"/>
  <c r="U179" i="26"/>
  <c r="H193" i="26"/>
  <c r="R195" i="26"/>
  <c r="U194" i="26"/>
  <c r="J557" i="26"/>
  <c r="I557" i="26"/>
  <c r="H574" i="26"/>
  <c r="R588" i="26"/>
  <c r="U587" i="26"/>
  <c r="R559" i="26"/>
  <c r="U558" i="26"/>
  <c r="R267" i="26"/>
  <c r="U266" i="26"/>
  <c r="L452" i="26"/>
  <c r="R386" i="26"/>
  <c r="U385" i="26"/>
  <c r="I86" i="26"/>
  <c r="V562" i="27" l="1"/>
  <c r="X562" i="27"/>
  <c r="W562" i="27"/>
  <c r="X72" i="27"/>
  <c r="W72" i="27"/>
  <c r="V72" i="27"/>
  <c r="R594" i="27"/>
  <c r="U593" i="27"/>
  <c r="X540" i="27"/>
  <c r="J540" i="27" s="1"/>
  <c r="W540" i="27"/>
  <c r="I540" i="27" s="1"/>
  <c r="V540" i="27"/>
  <c r="H540" i="27" s="1"/>
  <c r="K540" i="27" s="1"/>
  <c r="K493" i="27"/>
  <c r="X199" i="27"/>
  <c r="W199" i="27"/>
  <c r="V199" i="27"/>
  <c r="X24" i="27"/>
  <c r="W24" i="27"/>
  <c r="V24" i="27"/>
  <c r="X311" i="27"/>
  <c r="J311" i="27" s="1"/>
  <c r="W311" i="27"/>
  <c r="I311" i="27" s="1"/>
  <c r="V311" i="27"/>
  <c r="H311" i="27" s="1"/>
  <c r="K311" i="27" s="1"/>
  <c r="K349" i="27"/>
  <c r="K22" i="27"/>
  <c r="R618" i="27"/>
  <c r="U617" i="27"/>
  <c r="X410" i="27"/>
  <c r="J410" i="27" s="1"/>
  <c r="V410" i="27"/>
  <c r="H410" i="27" s="1"/>
  <c r="W410" i="27"/>
  <c r="I410" i="27" s="1"/>
  <c r="X592" i="27"/>
  <c r="J592" i="27" s="1"/>
  <c r="W592" i="27"/>
  <c r="I592" i="27" s="1"/>
  <c r="V592" i="27"/>
  <c r="H592" i="27" s="1"/>
  <c r="K592" i="27" s="1"/>
  <c r="K516" i="27"/>
  <c r="U291" i="27"/>
  <c r="R292" i="27"/>
  <c r="K289" i="27"/>
  <c r="L287" i="27" s="1"/>
  <c r="X164" i="27"/>
  <c r="J164" i="27" s="1"/>
  <c r="J165" i="27" s="1"/>
  <c r="V164" i="27"/>
  <c r="H164" i="27" s="1"/>
  <c r="W164" i="27"/>
  <c r="I164" i="27" s="1"/>
  <c r="I165" i="27" s="1"/>
  <c r="K137" i="27"/>
  <c r="W71" i="27"/>
  <c r="I71" i="27" s="1"/>
  <c r="I72" i="27" s="1"/>
  <c r="V71" i="27"/>
  <c r="H71" i="27" s="1"/>
  <c r="X71" i="27"/>
  <c r="J71" i="27" s="1"/>
  <c r="J72" i="27" s="1"/>
  <c r="K560" i="27"/>
  <c r="U541" i="27"/>
  <c r="R542" i="27"/>
  <c r="X350" i="27"/>
  <c r="J350" i="27" s="1"/>
  <c r="W350" i="27"/>
  <c r="I350" i="27" s="1"/>
  <c r="V350" i="27"/>
  <c r="H350" i="27" s="1"/>
  <c r="K350" i="27" s="1"/>
  <c r="V51" i="27"/>
  <c r="H51" i="27" s="1"/>
  <c r="X51" i="27"/>
  <c r="J51" i="27" s="1"/>
  <c r="W51" i="27"/>
  <c r="I51" i="27" s="1"/>
  <c r="V472" i="27"/>
  <c r="H472" i="27" s="1"/>
  <c r="K472" i="27" s="1"/>
  <c r="W472" i="27"/>
  <c r="I472" i="27" s="1"/>
  <c r="X472" i="27"/>
  <c r="J472" i="27" s="1"/>
  <c r="X165" i="27"/>
  <c r="V165" i="27"/>
  <c r="W165" i="27"/>
  <c r="R313" i="27"/>
  <c r="U313" i="27" s="1"/>
  <c r="U312" i="27"/>
  <c r="U495" i="27"/>
  <c r="R496" i="27"/>
  <c r="R519" i="27"/>
  <c r="U518" i="27"/>
  <c r="W389" i="27"/>
  <c r="I389" i="27" s="1"/>
  <c r="I390" i="27" s="1"/>
  <c r="V389" i="27"/>
  <c r="H389" i="27" s="1"/>
  <c r="X389" i="27"/>
  <c r="J389" i="27" s="1"/>
  <c r="J390" i="27" s="1"/>
  <c r="V232" i="27"/>
  <c r="X232" i="27"/>
  <c r="W232" i="27"/>
  <c r="K105" i="27"/>
  <c r="K106" i="27" s="1"/>
  <c r="K118" i="27" s="1"/>
  <c r="H106" i="27"/>
  <c r="H118" i="27" s="1"/>
  <c r="K471" i="27"/>
  <c r="X198" i="27"/>
  <c r="J198" i="27" s="1"/>
  <c r="J199" i="27" s="1"/>
  <c r="J212" i="27" s="1"/>
  <c r="W198" i="27"/>
  <c r="I198" i="27" s="1"/>
  <c r="I199" i="27" s="1"/>
  <c r="I212" i="27" s="1"/>
  <c r="V198" i="27"/>
  <c r="H198" i="27" s="1"/>
  <c r="U52" i="27"/>
  <c r="R53" i="27"/>
  <c r="U53" i="27" s="1"/>
  <c r="V231" i="27"/>
  <c r="H231" i="27" s="1"/>
  <c r="W231" i="27"/>
  <c r="I231" i="27" s="1"/>
  <c r="I232" i="27" s="1"/>
  <c r="I253" i="27" s="1"/>
  <c r="X231" i="27"/>
  <c r="J231" i="27" s="1"/>
  <c r="J232" i="27" s="1"/>
  <c r="J253" i="27" s="1"/>
  <c r="R412" i="27"/>
  <c r="U411" i="27"/>
  <c r="K89" i="27"/>
  <c r="L83" i="27"/>
  <c r="X390" i="27"/>
  <c r="W390" i="27"/>
  <c r="V390" i="27"/>
  <c r="X616" i="27"/>
  <c r="J616" i="27" s="1"/>
  <c r="W616" i="27"/>
  <c r="I616" i="27" s="1"/>
  <c r="V616" i="27"/>
  <c r="H616" i="27" s="1"/>
  <c r="K616" i="27" s="1"/>
  <c r="L104" i="27"/>
  <c r="V138" i="27"/>
  <c r="H138" i="27" s="1"/>
  <c r="X138" i="27"/>
  <c r="J138" i="27" s="1"/>
  <c r="W138" i="27"/>
  <c r="I138" i="27" s="1"/>
  <c r="K271" i="27"/>
  <c r="H272" i="27"/>
  <c r="K197" i="27"/>
  <c r="X290" i="27"/>
  <c r="J290" i="27" s="1"/>
  <c r="W290" i="27"/>
  <c r="I290" i="27" s="1"/>
  <c r="V290" i="27"/>
  <c r="H290" i="27" s="1"/>
  <c r="K290" i="27" s="1"/>
  <c r="K50" i="27"/>
  <c r="R140" i="27"/>
  <c r="U139" i="27"/>
  <c r="X494" i="27"/>
  <c r="J494" i="27" s="1"/>
  <c r="W494" i="27"/>
  <c r="I494" i="27" s="1"/>
  <c r="V494" i="27"/>
  <c r="H494" i="27" s="1"/>
  <c r="W517" i="27"/>
  <c r="I517" i="27" s="1"/>
  <c r="X517" i="27"/>
  <c r="J517" i="27" s="1"/>
  <c r="V517" i="27"/>
  <c r="H517" i="27" s="1"/>
  <c r="K517" i="27" s="1"/>
  <c r="W23" i="27"/>
  <c r="I23" i="27" s="1"/>
  <c r="I24" i="27" s="1"/>
  <c r="V23" i="27"/>
  <c r="H23" i="27" s="1"/>
  <c r="X23" i="27"/>
  <c r="J23" i="27" s="1"/>
  <c r="J24" i="27" s="1"/>
  <c r="R352" i="27"/>
  <c r="U351" i="27"/>
  <c r="U473" i="27"/>
  <c r="R474" i="27"/>
  <c r="W561" i="27"/>
  <c r="I561" i="27" s="1"/>
  <c r="I562" i="27" s="1"/>
  <c r="X561" i="27"/>
  <c r="J561" i="27" s="1"/>
  <c r="J562" i="27" s="1"/>
  <c r="V561" i="27"/>
  <c r="H561" i="27" s="1"/>
  <c r="K230" i="27"/>
  <c r="K310" i="27"/>
  <c r="V515" i="26"/>
  <c r="H515" i="26" s="1"/>
  <c r="W515" i="26"/>
  <c r="I515" i="26" s="1"/>
  <c r="X515" i="26"/>
  <c r="J515" i="26" s="1"/>
  <c r="U516" i="26"/>
  <c r="R517" i="26"/>
  <c r="K514" i="26"/>
  <c r="K466" i="26"/>
  <c r="R406" i="26"/>
  <c r="U405" i="26"/>
  <c r="X404" i="26"/>
  <c r="J404" i="26" s="1"/>
  <c r="W404" i="26"/>
  <c r="I404" i="26" s="1"/>
  <c r="V404" i="26"/>
  <c r="H404" i="26" s="1"/>
  <c r="K404" i="26" s="1"/>
  <c r="K586" i="26"/>
  <c r="W18" i="26"/>
  <c r="I18" i="26" s="1"/>
  <c r="V18" i="26"/>
  <c r="X18" i="26"/>
  <c r="W467" i="26"/>
  <c r="I467" i="26" s="1"/>
  <c r="X467" i="26"/>
  <c r="J467" i="26" s="1"/>
  <c r="V467" i="26"/>
  <c r="H467" i="26" s="1"/>
  <c r="V158" i="26"/>
  <c r="H158" i="26" s="1"/>
  <c r="X158" i="26"/>
  <c r="W158" i="26"/>
  <c r="I158" i="26" s="1"/>
  <c r="W131" i="26"/>
  <c r="I131" i="26" s="1"/>
  <c r="X131" i="26"/>
  <c r="J131" i="26" s="1"/>
  <c r="V131" i="26"/>
  <c r="H131" i="26" s="1"/>
  <c r="X285" i="26"/>
  <c r="J285" i="26" s="1"/>
  <c r="V285" i="26"/>
  <c r="H285" i="26" s="1"/>
  <c r="W285" i="26"/>
  <c r="I285" i="26" s="1"/>
  <c r="W385" i="26"/>
  <c r="I385" i="26" s="1"/>
  <c r="V385" i="26"/>
  <c r="H385" i="26" s="1"/>
  <c r="X385" i="26"/>
  <c r="X47" i="26"/>
  <c r="J47" i="26" s="1"/>
  <c r="W47" i="26"/>
  <c r="I47" i="26" s="1"/>
  <c r="V47" i="26"/>
  <c r="H47" i="26" s="1"/>
  <c r="X266" i="26"/>
  <c r="J266" i="26" s="1"/>
  <c r="V266" i="26"/>
  <c r="H266" i="26" s="1"/>
  <c r="W266" i="26"/>
  <c r="I266" i="26" s="1"/>
  <c r="V102" i="26"/>
  <c r="H102" i="26" s="1"/>
  <c r="X102" i="26"/>
  <c r="J102" i="26" s="1"/>
  <c r="W102" i="26"/>
  <c r="I102" i="26" s="1"/>
  <c r="W179" i="26"/>
  <c r="I179" i="26" s="1"/>
  <c r="I180" i="26" s="1"/>
  <c r="V179" i="26"/>
  <c r="H179" i="26" s="1"/>
  <c r="X179" i="26"/>
  <c r="J179" i="26" s="1"/>
  <c r="J180" i="26" s="1"/>
  <c r="V634" i="26"/>
  <c r="H634" i="26" s="1"/>
  <c r="X634" i="26"/>
  <c r="J634" i="26" s="1"/>
  <c r="W634" i="26"/>
  <c r="I634" i="26" s="1"/>
  <c r="W87" i="26"/>
  <c r="I87" i="26" s="1"/>
  <c r="X87" i="26"/>
  <c r="J87" i="26" s="1"/>
  <c r="V87" i="26"/>
  <c r="H87" i="26" s="1"/>
  <c r="V429" i="26"/>
  <c r="H429" i="26" s="1"/>
  <c r="W429" i="26"/>
  <c r="I429" i="26" s="1"/>
  <c r="X429" i="26"/>
  <c r="J429" i="26" s="1"/>
  <c r="V345" i="26"/>
  <c r="H345" i="26" s="1"/>
  <c r="W345" i="26"/>
  <c r="I345" i="26" s="1"/>
  <c r="X345" i="26"/>
  <c r="J345" i="26" s="1"/>
  <c r="W194" i="26"/>
  <c r="I194" i="26" s="1"/>
  <c r="V194" i="26"/>
  <c r="H194" i="26" s="1"/>
  <c r="X194" i="26"/>
  <c r="J194" i="26" s="1"/>
  <c r="V180" i="26"/>
  <c r="X180" i="26"/>
  <c r="W180" i="26"/>
  <c r="W534" i="26"/>
  <c r="I534" i="26" s="1"/>
  <c r="X534" i="26"/>
  <c r="J534" i="26" s="1"/>
  <c r="V534" i="26"/>
  <c r="H534" i="26" s="1"/>
  <c r="X587" i="26"/>
  <c r="J587" i="26" s="1"/>
  <c r="V587" i="26"/>
  <c r="H587" i="26" s="1"/>
  <c r="W587" i="26"/>
  <c r="I587" i="26" s="1"/>
  <c r="W611" i="26"/>
  <c r="I611" i="26" s="1"/>
  <c r="V611" i="26"/>
  <c r="H611" i="26" s="1"/>
  <c r="X611" i="26"/>
  <c r="J611" i="26" s="1"/>
  <c r="V558" i="26"/>
  <c r="H558" i="26" s="1"/>
  <c r="X558" i="26"/>
  <c r="J558" i="26" s="1"/>
  <c r="W558" i="26"/>
  <c r="I558" i="26" s="1"/>
  <c r="V227" i="26"/>
  <c r="H227" i="26" s="1"/>
  <c r="X227" i="26"/>
  <c r="J227" i="26" s="1"/>
  <c r="W227" i="26"/>
  <c r="I227" i="26" s="1"/>
  <c r="V66" i="26"/>
  <c r="H66" i="26" s="1"/>
  <c r="W66" i="26"/>
  <c r="I66" i="26" s="1"/>
  <c r="X66" i="26"/>
  <c r="J66" i="26" s="1"/>
  <c r="V488" i="26"/>
  <c r="H488" i="26" s="1"/>
  <c r="X488" i="26"/>
  <c r="J488" i="26" s="1"/>
  <c r="W488" i="26"/>
  <c r="I488" i="26" s="1"/>
  <c r="K610" i="26"/>
  <c r="K157" i="26"/>
  <c r="L155" i="26" s="1"/>
  <c r="K265" i="26"/>
  <c r="K86" i="26"/>
  <c r="K226" i="26"/>
  <c r="K384" i="26"/>
  <c r="K193" i="26"/>
  <c r="X311" i="26"/>
  <c r="J311" i="26" s="1"/>
  <c r="W311" i="26"/>
  <c r="I311" i="26" s="1"/>
  <c r="V311" i="26"/>
  <c r="H311" i="26" s="1"/>
  <c r="K428" i="26"/>
  <c r="K178" i="26"/>
  <c r="K633" i="26"/>
  <c r="K65" i="26"/>
  <c r="L60" i="26" s="1"/>
  <c r="K130" i="26"/>
  <c r="K557" i="26"/>
  <c r="K487" i="26"/>
  <c r="K17" i="26"/>
  <c r="K101" i="26"/>
  <c r="K310" i="26"/>
  <c r="K533" i="26"/>
  <c r="L530" i="26" s="1"/>
  <c r="K284" i="26"/>
  <c r="K344" i="26"/>
  <c r="K46" i="26"/>
  <c r="L569" i="26"/>
  <c r="L574" i="26" s="1"/>
  <c r="H18" i="26"/>
  <c r="J18" i="26"/>
  <c r="R68" i="26"/>
  <c r="U67" i="26"/>
  <c r="L370" i="26"/>
  <c r="R613" i="26"/>
  <c r="U612" i="26"/>
  <c r="R20" i="26"/>
  <c r="U19" i="26"/>
  <c r="R589" i="26"/>
  <c r="U588" i="26"/>
  <c r="R229" i="26"/>
  <c r="U228" i="26"/>
  <c r="K252" i="26"/>
  <c r="L244" i="26"/>
  <c r="R133" i="26"/>
  <c r="U132" i="26"/>
  <c r="L462" i="26"/>
  <c r="J385" i="26"/>
  <c r="R287" i="26"/>
  <c r="U286" i="26"/>
  <c r="R431" i="26"/>
  <c r="U430" i="26"/>
  <c r="R268" i="26"/>
  <c r="U267" i="26"/>
  <c r="R636" i="26"/>
  <c r="U635" i="26"/>
  <c r="J158" i="26"/>
  <c r="R490" i="26"/>
  <c r="U489" i="26"/>
  <c r="R49" i="26"/>
  <c r="U48" i="26"/>
  <c r="R104" i="26"/>
  <c r="U103" i="26"/>
  <c r="R387" i="26"/>
  <c r="U386" i="26"/>
  <c r="R160" i="26"/>
  <c r="U159" i="26"/>
  <c r="R347" i="26"/>
  <c r="U346" i="26"/>
  <c r="R89" i="26"/>
  <c r="U89" i="26" s="1"/>
  <c r="U88" i="26"/>
  <c r="R560" i="26"/>
  <c r="U559" i="26"/>
  <c r="R196" i="26"/>
  <c r="U195" i="26"/>
  <c r="R313" i="26"/>
  <c r="U313" i="26" s="1"/>
  <c r="U312" i="26"/>
  <c r="R536" i="26"/>
  <c r="U535" i="26"/>
  <c r="R469" i="26"/>
  <c r="U468" i="26"/>
  <c r="K494" i="27" l="1"/>
  <c r="K51" i="27"/>
  <c r="K389" i="27"/>
  <c r="H390" i="27"/>
  <c r="K71" i="27"/>
  <c r="H72" i="27"/>
  <c r="U618" i="27"/>
  <c r="R619" i="27"/>
  <c r="W139" i="27"/>
  <c r="I139" i="27" s="1"/>
  <c r="V139" i="27"/>
  <c r="H139" i="27" s="1"/>
  <c r="X139" i="27"/>
  <c r="J139" i="27" s="1"/>
  <c r="U594" i="27"/>
  <c r="R595" i="27"/>
  <c r="I73" i="27"/>
  <c r="L20" i="27"/>
  <c r="X291" i="27"/>
  <c r="J291" i="27" s="1"/>
  <c r="V291" i="27"/>
  <c r="H291" i="27" s="1"/>
  <c r="W291" i="27"/>
  <c r="I291" i="27" s="1"/>
  <c r="U542" i="27"/>
  <c r="R543" i="27"/>
  <c r="W541" i="27"/>
  <c r="I541" i="27" s="1"/>
  <c r="V541" i="27"/>
  <c r="H541" i="27" s="1"/>
  <c r="X541" i="27"/>
  <c r="J541" i="27" s="1"/>
  <c r="W495" i="27"/>
  <c r="I495" i="27" s="1"/>
  <c r="V495" i="27"/>
  <c r="H495" i="27" s="1"/>
  <c r="X495" i="27"/>
  <c r="J495" i="27" s="1"/>
  <c r="K231" i="27"/>
  <c r="H232" i="27"/>
  <c r="H253" i="27" s="1"/>
  <c r="X313" i="27"/>
  <c r="W313" i="27"/>
  <c r="V313" i="27"/>
  <c r="X593" i="27"/>
  <c r="J593" i="27" s="1"/>
  <c r="W593" i="27"/>
  <c r="I593" i="27" s="1"/>
  <c r="V593" i="27"/>
  <c r="H593" i="27" s="1"/>
  <c r="K593" i="27" s="1"/>
  <c r="K561" i="27"/>
  <c r="H562" i="27"/>
  <c r="U519" i="27"/>
  <c r="R520" i="27"/>
  <c r="U520" i="27" s="1"/>
  <c r="U412" i="27"/>
  <c r="R413" i="27"/>
  <c r="W473" i="27"/>
  <c r="I473" i="27" s="1"/>
  <c r="X473" i="27"/>
  <c r="J473" i="27" s="1"/>
  <c r="V473" i="27"/>
  <c r="H473" i="27" s="1"/>
  <c r="X351" i="27"/>
  <c r="J351" i="27" s="1"/>
  <c r="W351" i="27"/>
  <c r="I351" i="27" s="1"/>
  <c r="V351" i="27"/>
  <c r="H351" i="27" s="1"/>
  <c r="K351" i="27" s="1"/>
  <c r="L348" i="27" s="1"/>
  <c r="X53" i="27"/>
  <c r="V53" i="27"/>
  <c r="W53" i="27"/>
  <c r="L106" i="27"/>
  <c r="L89" i="27"/>
  <c r="X518" i="27"/>
  <c r="J518" i="27" s="1"/>
  <c r="W518" i="27"/>
  <c r="I518" i="27" s="1"/>
  <c r="V518" i="27"/>
  <c r="H518" i="27" s="1"/>
  <c r="X617" i="27"/>
  <c r="J617" i="27" s="1"/>
  <c r="W617" i="27"/>
  <c r="I617" i="27" s="1"/>
  <c r="V617" i="27"/>
  <c r="H617" i="27" s="1"/>
  <c r="K617" i="27" s="1"/>
  <c r="U352" i="27"/>
  <c r="R353" i="27"/>
  <c r="X52" i="27"/>
  <c r="J52" i="27" s="1"/>
  <c r="J53" i="27" s="1"/>
  <c r="J73" i="27" s="1"/>
  <c r="W52" i="27"/>
  <c r="I52" i="27" s="1"/>
  <c r="I53" i="27" s="1"/>
  <c r="V52" i="27"/>
  <c r="H52" i="27" s="1"/>
  <c r="U474" i="27"/>
  <c r="R475" i="27"/>
  <c r="U475" i="27" s="1"/>
  <c r="K272" i="27"/>
  <c r="L265" i="27"/>
  <c r="K198" i="27"/>
  <c r="H199" i="27"/>
  <c r="H212" i="27" s="1"/>
  <c r="K164" i="27"/>
  <c r="H165" i="27"/>
  <c r="R497" i="27"/>
  <c r="U496" i="27"/>
  <c r="R141" i="27"/>
  <c r="U140" i="27"/>
  <c r="K23" i="27"/>
  <c r="K24" i="27" s="1"/>
  <c r="H24" i="27"/>
  <c r="K410" i="27"/>
  <c r="X411" i="27"/>
  <c r="J411" i="27" s="1"/>
  <c r="W411" i="27"/>
  <c r="I411" i="27" s="1"/>
  <c r="V411" i="27"/>
  <c r="H411" i="27" s="1"/>
  <c r="K411" i="27" s="1"/>
  <c r="X312" i="27"/>
  <c r="J312" i="27" s="1"/>
  <c r="J313" i="27" s="1"/>
  <c r="W312" i="27"/>
  <c r="I312" i="27" s="1"/>
  <c r="I313" i="27" s="1"/>
  <c r="V312" i="27"/>
  <c r="H312" i="27" s="1"/>
  <c r="K138" i="27"/>
  <c r="L130" i="27" s="1"/>
  <c r="R293" i="27"/>
  <c r="U292" i="27"/>
  <c r="U517" i="26"/>
  <c r="R518" i="26"/>
  <c r="X516" i="26"/>
  <c r="J516" i="26" s="1"/>
  <c r="V516" i="26"/>
  <c r="H516" i="26" s="1"/>
  <c r="W516" i="26"/>
  <c r="I516" i="26" s="1"/>
  <c r="K515" i="26"/>
  <c r="X405" i="26"/>
  <c r="J405" i="26" s="1"/>
  <c r="W405" i="26"/>
  <c r="I405" i="26" s="1"/>
  <c r="V405" i="26"/>
  <c r="H405" i="26" s="1"/>
  <c r="K405" i="26" s="1"/>
  <c r="U406" i="26"/>
  <c r="R407" i="26"/>
  <c r="W267" i="26"/>
  <c r="I267" i="26" s="1"/>
  <c r="V267" i="26"/>
  <c r="H267" i="26" s="1"/>
  <c r="X267" i="26"/>
  <c r="J267" i="26" s="1"/>
  <c r="V286" i="26"/>
  <c r="X286" i="26"/>
  <c r="J286" i="26" s="1"/>
  <c r="W286" i="26"/>
  <c r="I286" i="26" s="1"/>
  <c r="K285" i="26"/>
  <c r="V228" i="26"/>
  <c r="H228" i="26" s="1"/>
  <c r="X228" i="26"/>
  <c r="J228" i="26" s="1"/>
  <c r="W228" i="26"/>
  <c r="I228" i="26" s="1"/>
  <c r="W89" i="26"/>
  <c r="X89" i="26"/>
  <c r="V89" i="26"/>
  <c r="W103" i="26"/>
  <c r="V103" i="26"/>
  <c r="X103" i="26"/>
  <c r="J103" i="26" s="1"/>
  <c r="X88" i="26"/>
  <c r="J88" i="26" s="1"/>
  <c r="J89" i="26" s="1"/>
  <c r="W88" i="26"/>
  <c r="I88" i="26" s="1"/>
  <c r="I89" i="26" s="1"/>
  <c r="V88" i="26"/>
  <c r="H88" i="26" s="1"/>
  <c r="X346" i="26"/>
  <c r="W346" i="26"/>
  <c r="I346" i="26" s="1"/>
  <c r="V346" i="26"/>
  <c r="H346" i="26" s="1"/>
  <c r="W635" i="26"/>
  <c r="I635" i="26" s="1"/>
  <c r="V635" i="26"/>
  <c r="H635" i="26" s="1"/>
  <c r="X635" i="26"/>
  <c r="J635" i="26" s="1"/>
  <c r="W67" i="26"/>
  <c r="X67" i="26"/>
  <c r="J67" i="26" s="1"/>
  <c r="V67" i="26"/>
  <c r="H67" i="26" s="1"/>
  <c r="W48" i="26"/>
  <c r="I48" i="26" s="1"/>
  <c r="V48" i="26"/>
  <c r="H48" i="26" s="1"/>
  <c r="X48" i="26"/>
  <c r="J48" i="26" s="1"/>
  <c r="V159" i="26"/>
  <c r="H159" i="26" s="1"/>
  <c r="W159" i="26"/>
  <c r="I159" i="26" s="1"/>
  <c r="X159" i="26"/>
  <c r="J159" i="26" s="1"/>
  <c r="V386" i="26"/>
  <c r="H386" i="26" s="1"/>
  <c r="W386" i="26"/>
  <c r="I386" i="26" s="1"/>
  <c r="X386" i="26"/>
  <c r="J386" i="26" s="1"/>
  <c r="X588" i="26"/>
  <c r="J588" i="26" s="1"/>
  <c r="V588" i="26"/>
  <c r="H588" i="26" s="1"/>
  <c r="W588" i="26"/>
  <c r="I588" i="26" s="1"/>
  <c r="V313" i="26"/>
  <c r="W313" i="26"/>
  <c r="X313" i="26"/>
  <c r="X195" i="26"/>
  <c r="J195" i="26" s="1"/>
  <c r="W195" i="26"/>
  <c r="I195" i="26" s="1"/>
  <c r="V195" i="26"/>
  <c r="H195" i="26" s="1"/>
  <c r="W468" i="26"/>
  <c r="I468" i="26" s="1"/>
  <c r="X468" i="26"/>
  <c r="J468" i="26" s="1"/>
  <c r="V468" i="26"/>
  <c r="H468" i="26" s="1"/>
  <c r="V612" i="26"/>
  <c r="H612" i="26" s="1"/>
  <c r="W612" i="26"/>
  <c r="I612" i="26" s="1"/>
  <c r="X612" i="26"/>
  <c r="J612" i="26" s="1"/>
  <c r="W559" i="26"/>
  <c r="I559" i="26" s="1"/>
  <c r="X559" i="26"/>
  <c r="J559" i="26" s="1"/>
  <c r="V559" i="26"/>
  <c r="H559" i="26" s="1"/>
  <c r="X430" i="26"/>
  <c r="J430" i="26" s="1"/>
  <c r="W430" i="26"/>
  <c r="I430" i="26" s="1"/>
  <c r="V430" i="26"/>
  <c r="H430" i="26" s="1"/>
  <c r="X19" i="26"/>
  <c r="J19" i="26" s="1"/>
  <c r="V19" i="26"/>
  <c r="H19" i="26" s="1"/>
  <c r="W19" i="26"/>
  <c r="I19" i="26" s="1"/>
  <c r="V489" i="26"/>
  <c r="H489" i="26" s="1"/>
  <c r="X489" i="26"/>
  <c r="J489" i="26" s="1"/>
  <c r="W489" i="26"/>
  <c r="I489" i="26" s="1"/>
  <c r="X535" i="26"/>
  <c r="J535" i="26" s="1"/>
  <c r="W535" i="26"/>
  <c r="I535" i="26" s="1"/>
  <c r="V535" i="26"/>
  <c r="H535" i="26" s="1"/>
  <c r="X132" i="26"/>
  <c r="J132" i="26" s="1"/>
  <c r="V132" i="26"/>
  <c r="H132" i="26" s="1"/>
  <c r="W132" i="26"/>
  <c r="I132" i="26" s="1"/>
  <c r="K534" i="26"/>
  <c r="K429" i="26"/>
  <c r="K345" i="26"/>
  <c r="K311" i="26"/>
  <c r="K131" i="26"/>
  <c r="K385" i="26"/>
  <c r="L382" i="26" s="1"/>
  <c r="V312" i="26"/>
  <c r="H312" i="26" s="1"/>
  <c r="W312" i="26"/>
  <c r="I312" i="26" s="1"/>
  <c r="I313" i="26" s="1"/>
  <c r="X312" i="26"/>
  <c r="J312" i="26" s="1"/>
  <c r="J313" i="26" s="1"/>
  <c r="K18" i="26"/>
  <c r="K158" i="26"/>
  <c r="K634" i="26"/>
  <c r="K194" i="26"/>
  <c r="K66" i="26"/>
  <c r="K47" i="26"/>
  <c r="K488" i="26"/>
  <c r="K266" i="26"/>
  <c r="K87" i="26"/>
  <c r="K558" i="26"/>
  <c r="K611" i="26"/>
  <c r="L603" i="26" s="1"/>
  <c r="K467" i="26"/>
  <c r="K587" i="26"/>
  <c r="K102" i="26"/>
  <c r="K227" i="26"/>
  <c r="K179" i="26"/>
  <c r="R50" i="26"/>
  <c r="U49" i="26"/>
  <c r="I67" i="26"/>
  <c r="R69" i="26"/>
  <c r="U68" i="26"/>
  <c r="R348" i="26"/>
  <c r="U347" i="26"/>
  <c r="R491" i="26"/>
  <c r="U490" i="26"/>
  <c r="H286" i="26"/>
  <c r="R134" i="26"/>
  <c r="U133" i="26"/>
  <c r="R288" i="26"/>
  <c r="U287" i="26"/>
  <c r="L252" i="26"/>
  <c r="R21" i="26"/>
  <c r="U20" i="26"/>
  <c r="R470" i="26"/>
  <c r="U469" i="26"/>
  <c r="H180" i="26"/>
  <c r="R388" i="26"/>
  <c r="U387" i="26"/>
  <c r="R614" i="26"/>
  <c r="U613" i="26"/>
  <c r="H103" i="26"/>
  <c r="I103" i="26"/>
  <c r="R230" i="26"/>
  <c r="U229" i="26"/>
  <c r="R561" i="26"/>
  <c r="U560" i="26"/>
  <c r="R537" i="26"/>
  <c r="U536" i="26"/>
  <c r="R105" i="26"/>
  <c r="U104" i="26"/>
  <c r="R637" i="26"/>
  <c r="U636" i="26"/>
  <c r="R432" i="26"/>
  <c r="U432" i="26" s="1"/>
  <c r="U431" i="26"/>
  <c r="J346" i="26"/>
  <c r="R161" i="26"/>
  <c r="U160" i="26"/>
  <c r="R590" i="26"/>
  <c r="U589" i="26"/>
  <c r="R197" i="26"/>
  <c r="U196" i="26"/>
  <c r="R269" i="26"/>
  <c r="U268" i="26"/>
  <c r="K312" i="27" l="1"/>
  <c r="H313" i="27"/>
  <c r="L118" i="27"/>
  <c r="V594" i="27"/>
  <c r="H594" i="27" s="1"/>
  <c r="W594" i="27"/>
  <c r="I594" i="27" s="1"/>
  <c r="X594" i="27"/>
  <c r="J594" i="27" s="1"/>
  <c r="K165" i="27"/>
  <c r="L158" i="27"/>
  <c r="K139" i="27"/>
  <c r="K52" i="27"/>
  <c r="H53" i="27"/>
  <c r="K473" i="27"/>
  <c r="K199" i="27"/>
  <c r="K212" i="27" s="1"/>
  <c r="L192" i="27"/>
  <c r="X352" i="27"/>
  <c r="J352" i="27" s="1"/>
  <c r="W352" i="27"/>
  <c r="I352" i="27" s="1"/>
  <c r="V352" i="27"/>
  <c r="H352" i="27" s="1"/>
  <c r="K541" i="27"/>
  <c r="L534" i="27" s="1"/>
  <c r="K390" i="27"/>
  <c r="L386" i="27"/>
  <c r="K232" i="27"/>
  <c r="K253" i="27" s="1"/>
  <c r="L221" i="27"/>
  <c r="R142" i="27"/>
  <c r="U141" i="27"/>
  <c r="U413" i="27"/>
  <c r="R414" i="27"/>
  <c r="L24" i="27"/>
  <c r="X474" i="27"/>
  <c r="J474" i="27" s="1"/>
  <c r="J475" i="27" s="1"/>
  <c r="W474" i="27"/>
  <c r="I474" i="27" s="1"/>
  <c r="I475" i="27" s="1"/>
  <c r="V474" i="27"/>
  <c r="H474" i="27" s="1"/>
  <c r="X618" i="27"/>
  <c r="J618" i="27" s="1"/>
  <c r="W618" i="27"/>
  <c r="I618" i="27" s="1"/>
  <c r="V618" i="27"/>
  <c r="H618" i="27" s="1"/>
  <c r="K618" i="27" s="1"/>
  <c r="X140" i="27"/>
  <c r="J140" i="27" s="1"/>
  <c r="W140" i="27"/>
  <c r="I140" i="27" s="1"/>
  <c r="V140" i="27"/>
  <c r="H140" i="27" s="1"/>
  <c r="W412" i="27"/>
  <c r="I412" i="27" s="1"/>
  <c r="X412" i="27"/>
  <c r="J412" i="27" s="1"/>
  <c r="V412" i="27"/>
  <c r="H412" i="27" s="1"/>
  <c r="K412" i="27" s="1"/>
  <c r="R544" i="27"/>
  <c r="U544" i="27" s="1"/>
  <c r="U543" i="27"/>
  <c r="X520" i="27"/>
  <c r="W520" i="27"/>
  <c r="V520" i="27"/>
  <c r="V542" i="27"/>
  <c r="H542" i="27" s="1"/>
  <c r="W542" i="27"/>
  <c r="I542" i="27" s="1"/>
  <c r="X542" i="27"/>
  <c r="J542" i="27" s="1"/>
  <c r="L272" i="27"/>
  <c r="V475" i="27"/>
  <c r="X475" i="27"/>
  <c r="W475" i="27"/>
  <c r="K495" i="27"/>
  <c r="K72" i="27"/>
  <c r="L66" i="27"/>
  <c r="U353" i="27"/>
  <c r="R354" i="27"/>
  <c r="X292" i="27"/>
  <c r="J292" i="27" s="1"/>
  <c r="W292" i="27"/>
  <c r="I292" i="27" s="1"/>
  <c r="V292" i="27"/>
  <c r="H292" i="27" s="1"/>
  <c r="K292" i="27" s="1"/>
  <c r="K518" i="27"/>
  <c r="V519" i="27"/>
  <c r="H519" i="27" s="1"/>
  <c r="X519" i="27"/>
  <c r="J519" i="27" s="1"/>
  <c r="J520" i="27" s="1"/>
  <c r="W519" i="27"/>
  <c r="I519" i="27" s="1"/>
  <c r="I520" i="27" s="1"/>
  <c r="R596" i="27"/>
  <c r="U595" i="27"/>
  <c r="U619" i="27"/>
  <c r="R620" i="27"/>
  <c r="H73" i="27"/>
  <c r="R294" i="27"/>
  <c r="U294" i="27" s="1"/>
  <c r="U293" i="27"/>
  <c r="W496" i="27"/>
  <c r="I496" i="27" s="1"/>
  <c r="X496" i="27"/>
  <c r="J496" i="27" s="1"/>
  <c r="V496" i="27"/>
  <c r="H496" i="27" s="1"/>
  <c r="K291" i="27"/>
  <c r="R498" i="27"/>
  <c r="U498" i="27" s="1"/>
  <c r="U497" i="27"/>
  <c r="L545" i="27"/>
  <c r="K562" i="27"/>
  <c r="K516" i="26"/>
  <c r="U518" i="26"/>
  <c r="R519" i="26"/>
  <c r="V517" i="26"/>
  <c r="H517" i="26" s="1"/>
  <c r="X517" i="26"/>
  <c r="J517" i="26" s="1"/>
  <c r="W517" i="26"/>
  <c r="I517" i="26" s="1"/>
  <c r="R408" i="26"/>
  <c r="U407" i="26"/>
  <c r="X406" i="26"/>
  <c r="J406" i="26" s="1"/>
  <c r="W406" i="26"/>
  <c r="I406" i="26" s="1"/>
  <c r="V406" i="26"/>
  <c r="H406" i="26" s="1"/>
  <c r="K406" i="26" s="1"/>
  <c r="K267" i="26"/>
  <c r="V613" i="26"/>
  <c r="H613" i="26" s="1"/>
  <c r="W613" i="26"/>
  <c r="I613" i="26" s="1"/>
  <c r="X613" i="26"/>
  <c r="J613" i="26" s="1"/>
  <c r="X589" i="26"/>
  <c r="J589" i="26" s="1"/>
  <c r="V589" i="26"/>
  <c r="H589" i="26" s="1"/>
  <c r="W589" i="26"/>
  <c r="I589" i="26" s="1"/>
  <c r="V469" i="26"/>
  <c r="H469" i="26" s="1"/>
  <c r="W469" i="26"/>
  <c r="I469" i="26" s="1"/>
  <c r="X469" i="26"/>
  <c r="J469" i="26" s="1"/>
  <c r="X536" i="26"/>
  <c r="J536" i="26" s="1"/>
  <c r="W536" i="26"/>
  <c r="I536" i="26" s="1"/>
  <c r="V536" i="26"/>
  <c r="H536" i="26" s="1"/>
  <c r="X20" i="26"/>
  <c r="J20" i="26" s="1"/>
  <c r="W20" i="26"/>
  <c r="I20" i="26" s="1"/>
  <c r="V20" i="26"/>
  <c r="H20" i="26" s="1"/>
  <c r="V387" i="26"/>
  <c r="H387" i="26" s="1"/>
  <c r="X387" i="26"/>
  <c r="J387" i="26" s="1"/>
  <c r="W387" i="26"/>
  <c r="V49" i="26"/>
  <c r="H49" i="26" s="1"/>
  <c r="X49" i="26"/>
  <c r="J49" i="26" s="1"/>
  <c r="W49" i="26"/>
  <c r="I49" i="26" s="1"/>
  <c r="V560" i="26"/>
  <c r="H560" i="26" s="1"/>
  <c r="W560" i="26"/>
  <c r="I560" i="26" s="1"/>
  <c r="X560" i="26"/>
  <c r="J560" i="26" s="1"/>
  <c r="W490" i="26"/>
  <c r="I490" i="26" s="1"/>
  <c r="V490" i="26"/>
  <c r="H490" i="26" s="1"/>
  <c r="X490" i="26"/>
  <c r="J490" i="26" s="1"/>
  <c r="X229" i="26"/>
  <c r="J229" i="26" s="1"/>
  <c r="W229" i="26"/>
  <c r="I229" i="26" s="1"/>
  <c r="V229" i="26"/>
  <c r="H229" i="26" s="1"/>
  <c r="X268" i="26"/>
  <c r="J268" i="26" s="1"/>
  <c r="V268" i="26"/>
  <c r="H268" i="26" s="1"/>
  <c r="W268" i="26"/>
  <c r="I268" i="26" s="1"/>
  <c r="X160" i="26"/>
  <c r="J160" i="26" s="1"/>
  <c r="V160" i="26"/>
  <c r="H160" i="26" s="1"/>
  <c r="W160" i="26"/>
  <c r="I160" i="26" s="1"/>
  <c r="V431" i="26"/>
  <c r="H431" i="26" s="1"/>
  <c r="W431" i="26"/>
  <c r="I431" i="26" s="1"/>
  <c r="I432" i="26" s="1"/>
  <c r="X431" i="26"/>
  <c r="J431" i="26" s="1"/>
  <c r="J432" i="26" s="1"/>
  <c r="X432" i="26"/>
  <c r="W432" i="26"/>
  <c r="V432" i="26"/>
  <c r="X68" i="26"/>
  <c r="J68" i="26" s="1"/>
  <c r="V68" i="26"/>
  <c r="H68" i="26" s="1"/>
  <c r="W68" i="26"/>
  <c r="I68" i="26" s="1"/>
  <c r="W347" i="26"/>
  <c r="I347" i="26" s="1"/>
  <c r="X347" i="26"/>
  <c r="J347" i="26" s="1"/>
  <c r="V347" i="26"/>
  <c r="H347" i="26" s="1"/>
  <c r="X287" i="26"/>
  <c r="J287" i="26" s="1"/>
  <c r="V287" i="26"/>
  <c r="H287" i="26" s="1"/>
  <c r="W287" i="26"/>
  <c r="I287" i="26" s="1"/>
  <c r="W636" i="26"/>
  <c r="I636" i="26" s="1"/>
  <c r="X636" i="26"/>
  <c r="J636" i="26" s="1"/>
  <c r="V636" i="26"/>
  <c r="H636" i="26" s="1"/>
  <c r="X133" i="26"/>
  <c r="J133" i="26" s="1"/>
  <c r="V133" i="26"/>
  <c r="H133" i="26" s="1"/>
  <c r="W133" i="26"/>
  <c r="I133" i="26" s="1"/>
  <c r="V104" i="26"/>
  <c r="H104" i="26" s="1"/>
  <c r="W104" i="26"/>
  <c r="I104" i="26" s="1"/>
  <c r="X104" i="26"/>
  <c r="J104" i="26" s="1"/>
  <c r="V196" i="26"/>
  <c r="H196" i="26" s="1"/>
  <c r="W196" i="26"/>
  <c r="I196" i="26" s="1"/>
  <c r="X196" i="26"/>
  <c r="J196" i="26" s="1"/>
  <c r="K468" i="26"/>
  <c r="K88" i="26"/>
  <c r="K228" i="26"/>
  <c r="K489" i="26"/>
  <c r="L485" i="26" s="1"/>
  <c r="K559" i="26"/>
  <c r="K48" i="26"/>
  <c r="K312" i="26"/>
  <c r="K430" i="26"/>
  <c r="K535" i="26"/>
  <c r="K286" i="26"/>
  <c r="L284" i="26" s="1"/>
  <c r="K635" i="26"/>
  <c r="K612" i="26"/>
  <c r="K67" i="26"/>
  <c r="K386" i="26"/>
  <c r="K346" i="26"/>
  <c r="K19" i="26"/>
  <c r="L15" i="26" s="1"/>
  <c r="K159" i="26"/>
  <c r="K195" i="26"/>
  <c r="K132" i="26"/>
  <c r="K588" i="26"/>
  <c r="K103" i="26"/>
  <c r="L100" i="26" s="1"/>
  <c r="R492" i="26"/>
  <c r="U491" i="26"/>
  <c r="R638" i="26"/>
  <c r="U638" i="26" s="1"/>
  <c r="U637" i="26"/>
  <c r="R562" i="26"/>
  <c r="U562" i="26" s="1"/>
  <c r="U561" i="26"/>
  <c r="R289" i="26"/>
  <c r="U288" i="26"/>
  <c r="R70" i="26"/>
  <c r="U69" i="26"/>
  <c r="R349" i="26"/>
  <c r="U348" i="26"/>
  <c r="R106" i="26"/>
  <c r="U106" i="26" s="1"/>
  <c r="U105" i="26"/>
  <c r="R231" i="26"/>
  <c r="U230" i="26"/>
  <c r="R198" i="26"/>
  <c r="U197" i="26"/>
  <c r="R615" i="26"/>
  <c r="U614" i="26"/>
  <c r="R135" i="26"/>
  <c r="U134" i="26"/>
  <c r="R51" i="26"/>
  <c r="U50" i="26"/>
  <c r="R162" i="26"/>
  <c r="U161" i="26"/>
  <c r="R471" i="26"/>
  <c r="U470" i="26"/>
  <c r="H89" i="26"/>
  <c r="R22" i="26"/>
  <c r="U21" i="26"/>
  <c r="R538" i="26"/>
  <c r="U537" i="26"/>
  <c r="I387" i="26"/>
  <c r="K180" i="26"/>
  <c r="L167" i="26"/>
  <c r="R270" i="26"/>
  <c r="U269" i="26"/>
  <c r="R591" i="26"/>
  <c r="U590" i="26"/>
  <c r="R389" i="26"/>
  <c r="U388" i="26"/>
  <c r="H313" i="26"/>
  <c r="X294" i="27" l="1"/>
  <c r="W294" i="27"/>
  <c r="V294" i="27"/>
  <c r="R597" i="27"/>
  <c r="U597" i="27" s="1"/>
  <c r="U596" i="27"/>
  <c r="W141" i="27"/>
  <c r="I141" i="27" s="1"/>
  <c r="X141" i="27"/>
  <c r="J141" i="27" s="1"/>
  <c r="V141" i="27"/>
  <c r="H141" i="27" s="1"/>
  <c r="K141" i="27" s="1"/>
  <c r="U142" i="27"/>
  <c r="R143" i="27"/>
  <c r="W293" i="27"/>
  <c r="I293" i="27" s="1"/>
  <c r="I294" i="27" s="1"/>
  <c r="I322" i="27" s="1"/>
  <c r="V293" i="27"/>
  <c r="H293" i="27" s="1"/>
  <c r="X293" i="27"/>
  <c r="J293" i="27" s="1"/>
  <c r="J294" i="27" s="1"/>
  <c r="J322" i="27" s="1"/>
  <c r="L199" i="27"/>
  <c r="L212" i="27" s="1"/>
  <c r="R621" i="27"/>
  <c r="U621" i="27" s="1"/>
  <c r="U620" i="27"/>
  <c r="K519" i="27"/>
  <c r="K520" i="27" s="1"/>
  <c r="H520" i="27"/>
  <c r="W543" i="27"/>
  <c r="I543" i="27" s="1"/>
  <c r="I544" i="27" s="1"/>
  <c r="V543" i="27"/>
  <c r="H543" i="27" s="1"/>
  <c r="X543" i="27"/>
  <c r="J543" i="27" s="1"/>
  <c r="J544" i="27" s="1"/>
  <c r="L232" i="27"/>
  <c r="L253" i="27" s="1"/>
  <c r="K53" i="27"/>
  <c r="L50" i="27"/>
  <c r="X544" i="27"/>
  <c r="W544" i="27"/>
  <c r="V544" i="27"/>
  <c r="K594" i="27"/>
  <c r="L513" i="27"/>
  <c r="X498" i="27"/>
  <c r="W498" i="27"/>
  <c r="V498" i="27"/>
  <c r="U354" i="27"/>
  <c r="R355" i="27"/>
  <c r="L390" i="27"/>
  <c r="V619" i="27"/>
  <c r="H619" i="27" s="1"/>
  <c r="K619" i="27" s="1"/>
  <c r="X619" i="27"/>
  <c r="J619" i="27" s="1"/>
  <c r="W619" i="27"/>
  <c r="I619" i="27" s="1"/>
  <c r="K542" i="27"/>
  <c r="X413" i="27"/>
  <c r="J413" i="27" s="1"/>
  <c r="V413" i="27"/>
  <c r="H413" i="27" s="1"/>
  <c r="W413" i="27"/>
  <c r="I413" i="27" s="1"/>
  <c r="V497" i="27"/>
  <c r="H497" i="27" s="1"/>
  <c r="W497" i="27"/>
  <c r="I497" i="27" s="1"/>
  <c r="I498" i="27" s="1"/>
  <c r="I521" i="27" s="1"/>
  <c r="X497" i="27"/>
  <c r="J497" i="27" s="1"/>
  <c r="J498" i="27" s="1"/>
  <c r="X353" i="27"/>
  <c r="J353" i="27" s="1"/>
  <c r="W353" i="27"/>
  <c r="I353" i="27" s="1"/>
  <c r="V353" i="27"/>
  <c r="H353" i="27" s="1"/>
  <c r="K353" i="27" s="1"/>
  <c r="X595" i="27"/>
  <c r="J595" i="27" s="1"/>
  <c r="W595" i="27"/>
  <c r="I595" i="27" s="1"/>
  <c r="V595" i="27"/>
  <c r="H595" i="27" s="1"/>
  <c r="R415" i="27"/>
  <c r="U414" i="27"/>
  <c r="L165" i="27"/>
  <c r="L562" i="27"/>
  <c r="K496" i="27"/>
  <c r="L72" i="27"/>
  <c r="K313" i="27"/>
  <c r="L309" i="27"/>
  <c r="K474" i="27"/>
  <c r="K475" i="27" s="1"/>
  <c r="H475" i="27"/>
  <c r="K73" i="27"/>
  <c r="K140" i="27"/>
  <c r="L139" i="27" s="1"/>
  <c r="K352" i="27"/>
  <c r="L352" i="27" s="1"/>
  <c r="J521" i="27"/>
  <c r="K517" i="26"/>
  <c r="U519" i="26"/>
  <c r="R520" i="26"/>
  <c r="U520" i="26" s="1"/>
  <c r="W518" i="26"/>
  <c r="I518" i="26" s="1"/>
  <c r="V518" i="26"/>
  <c r="H518" i="26" s="1"/>
  <c r="X518" i="26"/>
  <c r="J518" i="26" s="1"/>
  <c r="X407" i="26"/>
  <c r="J407" i="26" s="1"/>
  <c r="W407" i="26"/>
  <c r="I407" i="26" s="1"/>
  <c r="V407" i="26"/>
  <c r="H407" i="26" s="1"/>
  <c r="R409" i="26"/>
  <c r="U408" i="26"/>
  <c r="X288" i="26"/>
  <c r="J288" i="26" s="1"/>
  <c r="W288" i="26"/>
  <c r="I288" i="26" s="1"/>
  <c r="V288" i="26"/>
  <c r="H288" i="26" s="1"/>
  <c r="X134" i="26"/>
  <c r="W134" i="26"/>
  <c r="V134" i="26"/>
  <c r="W638" i="26"/>
  <c r="I638" i="26" s="1"/>
  <c r="X638" i="26"/>
  <c r="J638" i="26" s="1"/>
  <c r="V638" i="26"/>
  <c r="H638" i="26" s="1"/>
  <c r="W230" i="26"/>
  <c r="I230" i="26" s="1"/>
  <c r="V230" i="26"/>
  <c r="H230" i="26" s="1"/>
  <c r="X230" i="26"/>
  <c r="J230" i="26" s="1"/>
  <c r="W50" i="26"/>
  <c r="I50" i="26" s="1"/>
  <c r="X50" i="26"/>
  <c r="J50" i="26" s="1"/>
  <c r="V50" i="26"/>
  <c r="H50" i="26" s="1"/>
  <c r="V637" i="26"/>
  <c r="H637" i="26" s="1"/>
  <c r="W637" i="26"/>
  <c r="I637" i="26" s="1"/>
  <c r="X637" i="26"/>
  <c r="J637" i="26" s="1"/>
  <c r="W561" i="26"/>
  <c r="I561" i="26" s="1"/>
  <c r="I562" i="26" s="1"/>
  <c r="V561" i="26"/>
  <c r="H561" i="26" s="1"/>
  <c r="X561" i="26"/>
  <c r="J561" i="26" s="1"/>
  <c r="J562" i="26" s="1"/>
  <c r="W590" i="26"/>
  <c r="I590" i="26" s="1"/>
  <c r="X590" i="26"/>
  <c r="J590" i="26" s="1"/>
  <c r="V590" i="26"/>
  <c r="H590" i="26" s="1"/>
  <c r="W69" i="26"/>
  <c r="I69" i="26" s="1"/>
  <c r="V69" i="26"/>
  <c r="H69" i="26" s="1"/>
  <c r="X69" i="26"/>
  <c r="J69" i="26" s="1"/>
  <c r="W106" i="26"/>
  <c r="V106" i="26"/>
  <c r="X106" i="26"/>
  <c r="V21" i="26"/>
  <c r="H21" i="26" s="1"/>
  <c r="X21" i="26"/>
  <c r="J21" i="26" s="1"/>
  <c r="W21" i="26"/>
  <c r="I21" i="26" s="1"/>
  <c r="W388" i="26"/>
  <c r="I388" i="26" s="1"/>
  <c r="V388" i="26"/>
  <c r="H388" i="26" s="1"/>
  <c r="X388" i="26"/>
  <c r="J388" i="26" s="1"/>
  <c r="X614" i="26"/>
  <c r="J614" i="26" s="1"/>
  <c r="W614" i="26"/>
  <c r="I614" i="26" s="1"/>
  <c r="V614" i="26"/>
  <c r="H614" i="26" s="1"/>
  <c r="X105" i="26"/>
  <c r="J105" i="26" s="1"/>
  <c r="J106" i="26" s="1"/>
  <c r="J118" i="26" s="1"/>
  <c r="V105" i="26"/>
  <c r="H105" i="26" s="1"/>
  <c r="W105" i="26"/>
  <c r="I105" i="26" s="1"/>
  <c r="I106" i="26" s="1"/>
  <c r="I118" i="26" s="1"/>
  <c r="X470" i="26"/>
  <c r="J470" i="26" s="1"/>
  <c r="W470" i="26"/>
  <c r="I470" i="26" s="1"/>
  <c r="V470" i="26"/>
  <c r="H470" i="26" s="1"/>
  <c r="W348" i="26"/>
  <c r="I348" i="26" s="1"/>
  <c r="X348" i="26"/>
  <c r="J348" i="26" s="1"/>
  <c r="V348" i="26"/>
  <c r="H348" i="26" s="1"/>
  <c r="K347" i="26"/>
  <c r="L343" i="26" s="1"/>
  <c r="V161" i="26"/>
  <c r="H161" i="26" s="1"/>
  <c r="W161" i="26"/>
  <c r="I161" i="26" s="1"/>
  <c r="X161" i="26"/>
  <c r="J161" i="26" s="1"/>
  <c r="X562" i="26"/>
  <c r="V562" i="26"/>
  <c r="W562" i="26"/>
  <c r="W537" i="26"/>
  <c r="I537" i="26" s="1"/>
  <c r="V537" i="26"/>
  <c r="H537" i="26" s="1"/>
  <c r="X537" i="26"/>
  <c r="J537" i="26" s="1"/>
  <c r="W491" i="26"/>
  <c r="I491" i="26" s="1"/>
  <c r="X491" i="26"/>
  <c r="J491" i="26" s="1"/>
  <c r="V491" i="26"/>
  <c r="H491" i="26" s="1"/>
  <c r="W269" i="26"/>
  <c r="I269" i="26" s="1"/>
  <c r="X269" i="26"/>
  <c r="J269" i="26" s="1"/>
  <c r="V269" i="26"/>
  <c r="H269" i="26" s="1"/>
  <c r="V197" i="26"/>
  <c r="H197" i="26" s="1"/>
  <c r="W197" i="26"/>
  <c r="I197" i="26" s="1"/>
  <c r="X197" i="26"/>
  <c r="J197" i="26" s="1"/>
  <c r="K268" i="26"/>
  <c r="K287" i="26"/>
  <c r="K431" i="26"/>
  <c r="K469" i="26"/>
  <c r="K20" i="26"/>
  <c r="K104" i="26"/>
  <c r="K68" i="26"/>
  <c r="K387" i="26"/>
  <c r="K196" i="26"/>
  <c r="K490" i="26"/>
  <c r="K49" i="26"/>
  <c r="L45" i="26" s="1"/>
  <c r="K133" i="26"/>
  <c r="K536" i="26"/>
  <c r="K613" i="26"/>
  <c r="K560" i="26"/>
  <c r="K589" i="26"/>
  <c r="K636" i="26"/>
  <c r="K229" i="26"/>
  <c r="K160" i="26"/>
  <c r="R472" i="26"/>
  <c r="U471" i="26"/>
  <c r="R199" i="26"/>
  <c r="U199" i="26" s="1"/>
  <c r="U198" i="26"/>
  <c r="L180" i="26"/>
  <c r="R232" i="26"/>
  <c r="U232" i="26" s="1"/>
  <c r="U231" i="26"/>
  <c r="R290" i="26"/>
  <c r="U289" i="26"/>
  <c r="R163" i="26"/>
  <c r="U162" i="26"/>
  <c r="R616" i="26"/>
  <c r="U615" i="26"/>
  <c r="R493" i="26"/>
  <c r="U492" i="26"/>
  <c r="R592" i="26"/>
  <c r="U591" i="26"/>
  <c r="K89" i="26"/>
  <c r="L83" i="26"/>
  <c r="R350" i="26"/>
  <c r="U349" i="26"/>
  <c r="R271" i="26"/>
  <c r="U270" i="26"/>
  <c r="R52" i="26"/>
  <c r="U51" i="26"/>
  <c r="R539" i="26"/>
  <c r="U538" i="26"/>
  <c r="K313" i="26"/>
  <c r="L309" i="26"/>
  <c r="R23" i="26"/>
  <c r="U22" i="26"/>
  <c r="H134" i="26"/>
  <c r="I134" i="26"/>
  <c r="J134" i="26"/>
  <c r="H432" i="26"/>
  <c r="R136" i="26"/>
  <c r="U135" i="26"/>
  <c r="R71" i="26"/>
  <c r="U70" i="26"/>
  <c r="R390" i="26"/>
  <c r="U390" i="26" s="1"/>
  <c r="U389" i="26"/>
  <c r="U355" i="27" l="1"/>
  <c r="R356" i="27"/>
  <c r="X620" i="27"/>
  <c r="J620" i="27" s="1"/>
  <c r="J621" i="27" s="1"/>
  <c r="J640" i="27" s="1"/>
  <c r="W620" i="27"/>
  <c r="I620" i="27" s="1"/>
  <c r="I621" i="27" s="1"/>
  <c r="I640" i="27" s="1"/>
  <c r="V620" i="27"/>
  <c r="H620" i="27" s="1"/>
  <c r="X621" i="27"/>
  <c r="W621" i="27"/>
  <c r="V621" i="27"/>
  <c r="K293" i="27"/>
  <c r="H294" i="27"/>
  <c r="H322" i="27" s="1"/>
  <c r="L520" i="27"/>
  <c r="L542" i="27"/>
  <c r="L53" i="27"/>
  <c r="L73" i="27" s="1"/>
  <c r="X596" i="27"/>
  <c r="J596" i="27" s="1"/>
  <c r="J597" i="27" s="1"/>
  <c r="J598" i="27" s="1"/>
  <c r="W596" i="27"/>
  <c r="I596" i="27" s="1"/>
  <c r="I597" i="27" s="1"/>
  <c r="I598" i="27" s="1"/>
  <c r="V596" i="27"/>
  <c r="H596" i="27" s="1"/>
  <c r="R144" i="27"/>
  <c r="U143" i="27"/>
  <c r="X597" i="27"/>
  <c r="W597" i="27"/>
  <c r="V597" i="27"/>
  <c r="L313" i="27"/>
  <c r="W142" i="27"/>
  <c r="I142" i="27" s="1"/>
  <c r="V142" i="27"/>
  <c r="H142" i="27" s="1"/>
  <c r="X142" i="27"/>
  <c r="J142" i="27" s="1"/>
  <c r="K543" i="27"/>
  <c r="K544" i="27" s="1"/>
  <c r="H544" i="27"/>
  <c r="K413" i="27"/>
  <c r="X414" i="27"/>
  <c r="J414" i="27" s="1"/>
  <c r="W414" i="27"/>
  <c r="I414" i="27" s="1"/>
  <c r="V414" i="27"/>
  <c r="H414" i="27" s="1"/>
  <c r="K414" i="27" s="1"/>
  <c r="K497" i="27"/>
  <c r="K498" i="27" s="1"/>
  <c r="H498" i="27"/>
  <c r="U415" i="27"/>
  <c r="R416" i="27"/>
  <c r="U416" i="27" s="1"/>
  <c r="H521" i="27"/>
  <c r="V354" i="27"/>
  <c r="H354" i="27" s="1"/>
  <c r="X354" i="27"/>
  <c r="J354" i="27" s="1"/>
  <c r="W354" i="27"/>
  <c r="I354" i="27" s="1"/>
  <c r="K595" i="27"/>
  <c r="K521" i="27"/>
  <c r="L471" i="27"/>
  <c r="K518" i="26"/>
  <c r="X520" i="26"/>
  <c r="W520" i="26"/>
  <c r="V520" i="26"/>
  <c r="W519" i="26"/>
  <c r="I519" i="26" s="1"/>
  <c r="I520" i="26" s="1"/>
  <c r="X519" i="26"/>
  <c r="J519" i="26" s="1"/>
  <c r="J520" i="26" s="1"/>
  <c r="V519" i="26"/>
  <c r="H519" i="26" s="1"/>
  <c r="K519" i="26" s="1"/>
  <c r="K520" i="26" s="1"/>
  <c r="X408" i="26"/>
  <c r="J408" i="26" s="1"/>
  <c r="W408" i="26"/>
  <c r="I408" i="26" s="1"/>
  <c r="V408" i="26"/>
  <c r="H408" i="26" s="1"/>
  <c r="K408" i="26" s="1"/>
  <c r="R410" i="26"/>
  <c r="U409" i="26"/>
  <c r="K407" i="26"/>
  <c r="W289" i="26"/>
  <c r="I289" i="26" s="1"/>
  <c r="V289" i="26"/>
  <c r="X289" i="26"/>
  <c r="X591" i="26"/>
  <c r="J591" i="26" s="1"/>
  <c r="V591" i="26"/>
  <c r="H591" i="26" s="1"/>
  <c r="W591" i="26"/>
  <c r="I591" i="26" s="1"/>
  <c r="W232" i="26"/>
  <c r="V232" i="26"/>
  <c r="X232" i="26"/>
  <c r="X389" i="26"/>
  <c r="J389" i="26" s="1"/>
  <c r="J390" i="26" s="1"/>
  <c r="W389" i="26"/>
  <c r="I389" i="26" s="1"/>
  <c r="I390" i="26" s="1"/>
  <c r="V389" i="26"/>
  <c r="H389" i="26" s="1"/>
  <c r="X231" i="26"/>
  <c r="J231" i="26" s="1"/>
  <c r="J232" i="26" s="1"/>
  <c r="J253" i="26" s="1"/>
  <c r="V231" i="26"/>
  <c r="H231" i="26" s="1"/>
  <c r="W231" i="26"/>
  <c r="I231" i="26" s="1"/>
  <c r="I232" i="26" s="1"/>
  <c r="I253" i="26" s="1"/>
  <c r="X70" i="26"/>
  <c r="J70" i="26" s="1"/>
  <c r="W70" i="26"/>
  <c r="I70" i="26" s="1"/>
  <c r="V70" i="26"/>
  <c r="H70" i="26" s="1"/>
  <c r="V471" i="26"/>
  <c r="H471" i="26" s="1"/>
  <c r="X471" i="26"/>
  <c r="J471" i="26" s="1"/>
  <c r="W471" i="26"/>
  <c r="I471" i="26" s="1"/>
  <c r="V538" i="26"/>
  <c r="H538" i="26" s="1"/>
  <c r="W538" i="26"/>
  <c r="I538" i="26" s="1"/>
  <c r="X538" i="26"/>
  <c r="J538" i="26" s="1"/>
  <c r="X492" i="26"/>
  <c r="J492" i="26" s="1"/>
  <c r="W492" i="26"/>
  <c r="I492" i="26" s="1"/>
  <c r="V492" i="26"/>
  <c r="H492" i="26" s="1"/>
  <c r="W22" i="26"/>
  <c r="I22" i="26" s="1"/>
  <c r="X22" i="26"/>
  <c r="J22" i="26" s="1"/>
  <c r="V22" i="26"/>
  <c r="H22" i="26" s="1"/>
  <c r="V390" i="26"/>
  <c r="X390" i="26"/>
  <c r="W390" i="26"/>
  <c r="X615" i="26"/>
  <c r="J615" i="26" s="1"/>
  <c r="W615" i="26"/>
  <c r="I615" i="26" s="1"/>
  <c r="V615" i="26"/>
  <c r="H615" i="26" s="1"/>
  <c r="W198" i="26"/>
  <c r="I198" i="26" s="1"/>
  <c r="I199" i="26" s="1"/>
  <c r="I212" i="26" s="1"/>
  <c r="V198" i="26"/>
  <c r="H198" i="26" s="1"/>
  <c r="X198" i="26"/>
  <c r="J198" i="26" s="1"/>
  <c r="J199" i="26" s="1"/>
  <c r="J212" i="26" s="1"/>
  <c r="X199" i="26"/>
  <c r="W199" i="26"/>
  <c r="V199" i="26"/>
  <c r="V51" i="26"/>
  <c r="H51" i="26" s="1"/>
  <c r="X51" i="26"/>
  <c r="J51" i="26" s="1"/>
  <c r="W51" i="26"/>
  <c r="I51" i="26" s="1"/>
  <c r="X270" i="26"/>
  <c r="J270" i="26" s="1"/>
  <c r="W270" i="26"/>
  <c r="I270" i="26" s="1"/>
  <c r="V270" i="26"/>
  <c r="H270" i="26" s="1"/>
  <c r="W162" i="26"/>
  <c r="I162" i="26" s="1"/>
  <c r="V162" i="26"/>
  <c r="H162" i="26" s="1"/>
  <c r="X162" i="26"/>
  <c r="J162" i="26" s="1"/>
  <c r="W135" i="26"/>
  <c r="I135" i="26" s="1"/>
  <c r="V135" i="26"/>
  <c r="H135" i="26" s="1"/>
  <c r="X135" i="26"/>
  <c r="J135" i="26" s="1"/>
  <c r="W349" i="26"/>
  <c r="I349" i="26" s="1"/>
  <c r="X349" i="26"/>
  <c r="J349" i="26" s="1"/>
  <c r="V349" i="26"/>
  <c r="H349" i="26" s="1"/>
  <c r="K105" i="26"/>
  <c r="K106" i="26" s="1"/>
  <c r="K118" i="26" s="1"/>
  <c r="I639" i="26"/>
  <c r="K388" i="26"/>
  <c r="J639" i="26"/>
  <c r="K161" i="26"/>
  <c r="K69" i="26"/>
  <c r="K50" i="26"/>
  <c r="K537" i="26"/>
  <c r="K288" i="26"/>
  <c r="K491" i="26"/>
  <c r="K197" i="26"/>
  <c r="K470" i="26"/>
  <c r="L467" i="26" s="1"/>
  <c r="K269" i="26"/>
  <c r="K21" i="26"/>
  <c r="K230" i="26"/>
  <c r="K637" i="26"/>
  <c r="K134" i="26"/>
  <c r="K561" i="26"/>
  <c r="K348" i="26"/>
  <c r="K614" i="26"/>
  <c r="K638" i="26"/>
  <c r="K590" i="26"/>
  <c r="R540" i="26"/>
  <c r="U539" i="26"/>
  <c r="R617" i="26"/>
  <c r="U616" i="26"/>
  <c r="R272" i="26"/>
  <c r="U272" i="26" s="1"/>
  <c r="U271" i="26"/>
  <c r="R593" i="26"/>
  <c r="U592" i="26"/>
  <c r="R164" i="26"/>
  <c r="U163" i="26"/>
  <c r="H639" i="26"/>
  <c r="L89" i="26"/>
  <c r="R473" i="26"/>
  <c r="U472" i="26"/>
  <c r="R72" i="26"/>
  <c r="U72" i="26" s="1"/>
  <c r="U71" i="26"/>
  <c r="R351" i="26"/>
  <c r="U350" i="26"/>
  <c r="R137" i="26"/>
  <c r="U136" i="26"/>
  <c r="J289" i="26"/>
  <c r="H289" i="26"/>
  <c r="R24" i="26"/>
  <c r="U24" i="26" s="1"/>
  <c r="U23" i="26"/>
  <c r="R53" i="26"/>
  <c r="U53" i="26" s="1"/>
  <c r="U52" i="26"/>
  <c r="R494" i="26"/>
  <c r="U493" i="26"/>
  <c r="R291" i="26"/>
  <c r="U290" i="26"/>
  <c r="K432" i="26"/>
  <c r="L427" i="26"/>
  <c r="H106" i="26"/>
  <c r="H118" i="26" s="1"/>
  <c r="L313" i="26"/>
  <c r="H562" i="26"/>
  <c r="L475" i="27" l="1"/>
  <c r="K620" i="27"/>
  <c r="H621" i="27"/>
  <c r="H640" i="27" s="1"/>
  <c r="K142" i="27"/>
  <c r="K294" i="27"/>
  <c r="K322" i="27" s="1"/>
  <c r="L290" i="27"/>
  <c r="X143" i="27"/>
  <c r="J143" i="27" s="1"/>
  <c r="V143" i="27"/>
  <c r="H143" i="27" s="1"/>
  <c r="W143" i="27"/>
  <c r="I143" i="27" s="1"/>
  <c r="U356" i="27"/>
  <c r="R357" i="27"/>
  <c r="U144" i="27"/>
  <c r="R145" i="27"/>
  <c r="U145" i="27" s="1"/>
  <c r="X355" i="27"/>
  <c r="J355" i="27" s="1"/>
  <c r="W355" i="27"/>
  <c r="I355" i="27" s="1"/>
  <c r="V355" i="27"/>
  <c r="H355" i="27" s="1"/>
  <c r="X416" i="27"/>
  <c r="W416" i="27"/>
  <c r="V416" i="27"/>
  <c r="K596" i="27"/>
  <c r="H597" i="27"/>
  <c r="H598" i="27" s="1"/>
  <c r="L544" i="27"/>
  <c r="K354" i="27"/>
  <c r="W415" i="27"/>
  <c r="I415" i="27" s="1"/>
  <c r="I416" i="27" s="1"/>
  <c r="I442" i="27" s="1"/>
  <c r="I641" i="27" s="1"/>
  <c r="V415" i="27"/>
  <c r="H415" i="27" s="1"/>
  <c r="X415" i="27"/>
  <c r="J415" i="27" s="1"/>
  <c r="J416" i="27" s="1"/>
  <c r="J442" i="27" s="1"/>
  <c r="J641" i="27" s="1"/>
  <c r="L493" i="27"/>
  <c r="L513" i="26"/>
  <c r="L520" i="26" s="1"/>
  <c r="H520" i="26"/>
  <c r="X409" i="26"/>
  <c r="J409" i="26" s="1"/>
  <c r="W409" i="26"/>
  <c r="I409" i="26" s="1"/>
  <c r="V409" i="26"/>
  <c r="H409" i="26" s="1"/>
  <c r="R411" i="26"/>
  <c r="U410" i="26"/>
  <c r="K349" i="26"/>
  <c r="V52" i="26"/>
  <c r="H52" i="26" s="1"/>
  <c r="W52" i="26"/>
  <c r="I52" i="26" s="1"/>
  <c r="I53" i="26" s="1"/>
  <c r="X52" i="26"/>
  <c r="J52" i="26" s="1"/>
  <c r="J53" i="26" s="1"/>
  <c r="W163" i="26"/>
  <c r="I163" i="26" s="1"/>
  <c r="X163" i="26"/>
  <c r="J163" i="26" s="1"/>
  <c r="V163" i="26"/>
  <c r="H163" i="26" s="1"/>
  <c r="V136" i="26"/>
  <c r="H136" i="26" s="1"/>
  <c r="X136" i="26"/>
  <c r="J136" i="26" s="1"/>
  <c r="W136" i="26"/>
  <c r="I136" i="26" s="1"/>
  <c r="V271" i="26"/>
  <c r="H271" i="26" s="1"/>
  <c r="X271" i="26"/>
  <c r="J271" i="26" s="1"/>
  <c r="J272" i="26" s="1"/>
  <c r="W271" i="26"/>
  <c r="I271" i="26" s="1"/>
  <c r="I272" i="26" s="1"/>
  <c r="W24" i="26"/>
  <c r="V24" i="26"/>
  <c r="X24" i="26"/>
  <c r="V539" i="26"/>
  <c r="H539" i="26" s="1"/>
  <c r="W539" i="26"/>
  <c r="I539" i="26" s="1"/>
  <c r="X539" i="26"/>
  <c r="J539" i="26" s="1"/>
  <c r="V53" i="26"/>
  <c r="W53" i="26"/>
  <c r="X53" i="26"/>
  <c r="V350" i="26"/>
  <c r="H350" i="26" s="1"/>
  <c r="X350" i="26"/>
  <c r="J350" i="26" s="1"/>
  <c r="W350" i="26"/>
  <c r="I350" i="26" s="1"/>
  <c r="V72" i="26"/>
  <c r="X72" i="26"/>
  <c r="W72" i="26"/>
  <c r="W272" i="26"/>
  <c r="X272" i="26"/>
  <c r="V272" i="26"/>
  <c r="X23" i="26"/>
  <c r="J23" i="26" s="1"/>
  <c r="J24" i="26" s="1"/>
  <c r="V23" i="26"/>
  <c r="H23" i="26" s="1"/>
  <c r="W23" i="26"/>
  <c r="I23" i="26" s="1"/>
  <c r="I24" i="26" s="1"/>
  <c r="W616" i="26"/>
  <c r="I616" i="26" s="1"/>
  <c r="X616" i="26"/>
  <c r="J616" i="26" s="1"/>
  <c r="V616" i="26"/>
  <c r="H616" i="26" s="1"/>
  <c r="W290" i="26"/>
  <c r="I290" i="26" s="1"/>
  <c r="X290" i="26"/>
  <c r="J290" i="26" s="1"/>
  <c r="V290" i="26"/>
  <c r="H290" i="26" s="1"/>
  <c r="X592" i="26"/>
  <c r="J592" i="26" s="1"/>
  <c r="V592" i="26"/>
  <c r="H592" i="26" s="1"/>
  <c r="W592" i="26"/>
  <c r="I592" i="26" s="1"/>
  <c r="X71" i="26"/>
  <c r="J71" i="26" s="1"/>
  <c r="J72" i="26" s="1"/>
  <c r="W71" i="26"/>
  <c r="I71" i="26" s="1"/>
  <c r="I72" i="26" s="1"/>
  <c r="V71" i="26"/>
  <c r="H71" i="26" s="1"/>
  <c r="W493" i="26"/>
  <c r="I493" i="26" s="1"/>
  <c r="X493" i="26"/>
  <c r="J493" i="26" s="1"/>
  <c r="V493" i="26"/>
  <c r="H493" i="26" s="1"/>
  <c r="V472" i="26"/>
  <c r="H472" i="26" s="1"/>
  <c r="W472" i="26"/>
  <c r="I472" i="26" s="1"/>
  <c r="X472" i="26"/>
  <c r="J472" i="26" s="1"/>
  <c r="K471" i="26"/>
  <c r="K538" i="26"/>
  <c r="K135" i="26"/>
  <c r="K231" i="26"/>
  <c r="K270" i="26"/>
  <c r="K162" i="26"/>
  <c r="K492" i="26"/>
  <c r="L490" i="26" s="1"/>
  <c r="K389" i="26"/>
  <c r="K615" i="26"/>
  <c r="K70" i="26"/>
  <c r="K51" i="26"/>
  <c r="K198" i="26"/>
  <c r="K591" i="26"/>
  <c r="K289" i="26"/>
  <c r="L287" i="26" s="1"/>
  <c r="K22" i="26"/>
  <c r="K639" i="26"/>
  <c r="R474" i="26"/>
  <c r="U473" i="26"/>
  <c r="R352" i="26"/>
  <c r="U351" i="26"/>
  <c r="R618" i="26"/>
  <c r="U617" i="26"/>
  <c r="H390" i="26"/>
  <c r="R138" i="26"/>
  <c r="U137" i="26"/>
  <c r="H232" i="26"/>
  <c r="H253" i="26" s="1"/>
  <c r="L432" i="26"/>
  <c r="R292" i="26"/>
  <c r="U291" i="26"/>
  <c r="R165" i="26"/>
  <c r="U165" i="26" s="1"/>
  <c r="U164" i="26"/>
  <c r="R541" i="26"/>
  <c r="U540" i="26"/>
  <c r="R495" i="26"/>
  <c r="U494" i="26"/>
  <c r="R594" i="26"/>
  <c r="U593" i="26"/>
  <c r="L104" i="26"/>
  <c r="L545" i="26"/>
  <c r="K562" i="26"/>
  <c r="H199" i="26"/>
  <c r="H212" i="26" s="1"/>
  <c r="L633" i="26"/>
  <c r="X144" i="27" l="1"/>
  <c r="J144" i="27" s="1"/>
  <c r="J145" i="27" s="1"/>
  <c r="J166" i="27" s="1"/>
  <c r="J213" i="27" s="1"/>
  <c r="W144" i="27"/>
  <c r="I144" i="27" s="1"/>
  <c r="I145" i="27" s="1"/>
  <c r="I166" i="27" s="1"/>
  <c r="I213" i="27" s="1"/>
  <c r="V144" i="27"/>
  <c r="H144" i="27" s="1"/>
  <c r="K415" i="27"/>
  <c r="H416" i="27"/>
  <c r="H442" i="27" s="1"/>
  <c r="K597" i="27"/>
  <c r="K598" i="27" s="1"/>
  <c r="L585" i="27"/>
  <c r="W356" i="27"/>
  <c r="I356" i="27" s="1"/>
  <c r="V356" i="27"/>
  <c r="H356" i="27" s="1"/>
  <c r="K356" i="27" s="1"/>
  <c r="X356" i="27"/>
  <c r="J356" i="27" s="1"/>
  <c r="H641" i="27"/>
  <c r="K143" i="27"/>
  <c r="K621" i="27"/>
  <c r="K640" i="27" s="1"/>
  <c r="L612" i="27"/>
  <c r="W145" i="27"/>
  <c r="X145" i="27"/>
  <c r="V145" i="27"/>
  <c r="R358" i="27"/>
  <c r="U358" i="27" s="1"/>
  <c r="U357" i="27"/>
  <c r="L498" i="27"/>
  <c r="L521" i="27" s="1"/>
  <c r="L294" i="27"/>
  <c r="L322" i="27" s="1"/>
  <c r="K355" i="27"/>
  <c r="K52" i="26"/>
  <c r="V410" i="26"/>
  <c r="H410" i="26" s="1"/>
  <c r="X410" i="26"/>
  <c r="J410" i="26" s="1"/>
  <c r="W410" i="26"/>
  <c r="I410" i="26" s="1"/>
  <c r="R412" i="26"/>
  <c r="U411" i="26"/>
  <c r="K409" i="26"/>
  <c r="K350" i="26"/>
  <c r="V473" i="26"/>
  <c r="H473" i="26" s="1"/>
  <c r="X473" i="26"/>
  <c r="J473" i="26" s="1"/>
  <c r="W473" i="26"/>
  <c r="I473" i="26" s="1"/>
  <c r="W617" i="26"/>
  <c r="I617" i="26" s="1"/>
  <c r="V617" i="26"/>
  <c r="H617" i="26" s="1"/>
  <c r="X617" i="26"/>
  <c r="J617" i="26" s="1"/>
  <c r="V351" i="26"/>
  <c r="H351" i="26" s="1"/>
  <c r="W351" i="26"/>
  <c r="I351" i="26" s="1"/>
  <c r="X351" i="26"/>
  <c r="J351" i="26" s="1"/>
  <c r="X494" i="26"/>
  <c r="J494" i="26" s="1"/>
  <c r="V494" i="26"/>
  <c r="H494" i="26" s="1"/>
  <c r="W494" i="26"/>
  <c r="I494" i="26" s="1"/>
  <c r="X164" i="26"/>
  <c r="J164" i="26" s="1"/>
  <c r="J165" i="26" s="1"/>
  <c r="W164" i="26"/>
  <c r="I164" i="26" s="1"/>
  <c r="I165" i="26" s="1"/>
  <c r="V164" i="26"/>
  <c r="H164" i="26" s="1"/>
  <c r="X593" i="26"/>
  <c r="J593" i="26" s="1"/>
  <c r="V593" i="26"/>
  <c r="H593" i="26" s="1"/>
  <c r="W593" i="26"/>
  <c r="I593" i="26" s="1"/>
  <c r="V540" i="26"/>
  <c r="H540" i="26" s="1"/>
  <c r="X540" i="26"/>
  <c r="J540" i="26" s="1"/>
  <c r="W540" i="26"/>
  <c r="I540" i="26" s="1"/>
  <c r="V165" i="26"/>
  <c r="W165" i="26"/>
  <c r="X165" i="26"/>
  <c r="V137" i="26"/>
  <c r="H137" i="26" s="1"/>
  <c r="W137" i="26"/>
  <c r="I137" i="26" s="1"/>
  <c r="X137" i="26"/>
  <c r="J137" i="26" s="1"/>
  <c r="V291" i="26"/>
  <c r="H291" i="26" s="1"/>
  <c r="W291" i="26"/>
  <c r="I291" i="26" s="1"/>
  <c r="X291" i="26"/>
  <c r="J291" i="26" s="1"/>
  <c r="K290" i="26"/>
  <c r="K493" i="26"/>
  <c r="K539" i="26"/>
  <c r="K136" i="26"/>
  <c r="K71" i="26"/>
  <c r="K616" i="26"/>
  <c r="K592" i="26"/>
  <c r="K163" i="26"/>
  <c r="K23" i="26"/>
  <c r="K24" i="26" s="1"/>
  <c r="K271" i="26"/>
  <c r="K472" i="26"/>
  <c r="L106" i="26"/>
  <c r="L118" i="26" s="1"/>
  <c r="K53" i="26"/>
  <c r="H53" i="26"/>
  <c r="K199" i="26"/>
  <c r="K212" i="26" s="1"/>
  <c r="L192" i="26"/>
  <c r="K390" i="26"/>
  <c r="L386" i="26"/>
  <c r="R595" i="26"/>
  <c r="U594" i="26"/>
  <c r="I73" i="26"/>
  <c r="R542" i="26"/>
  <c r="U541" i="26"/>
  <c r="R619" i="26"/>
  <c r="U618" i="26"/>
  <c r="R293" i="26"/>
  <c r="U292" i="26"/>
  <c r="R353" i="26"/>
  <c r="U352" i="26"/>
  <c r="R475" i="26"/>
  <c r="U475" i="26" s="1"/>
  <c r="U474" i="26"/>
  <c r="J73" i="26"/>
  <c r="R496" i="26"/>
  <c r="U495" i="26"/>
  <c r="H24" i="26"/>
  <c r="L562" i="26"/>
  <c r="H72" i="26"/>
  <c r="K232" i="26"/>
  <c r="K253" i="26" s="1"/>
  <c r="L221" i="26"/>
  <c r="L639" i="26"/>
  <c r="H272" i="26"/>
  <c r="R139" i="26"/>
  <c r="U138" i="26"/>
  <c r="L621" i="27" l="1"/>
  <c r="L640" i="27" s="1"/>
  <c r="K416" i="27"/>
  <c r="K442" i="27" s="1"/>
  <c r="K641" i="27" s="1"/>
  <c r="L398" i="27"/>
  <c r="K144" i="27"/>
  <c r="K145" i="27" s="1"/>
  <c r="K166" i="27" s="1"/>
  <c r="K213" i="27" s="1"/>
  <c r="H145" i="27"/>
  <c r="H166" i="27" s="1"/>
  <c r="H213" i="27" s="1"/>
  <c r="W357" i="27"/>
  <c r="I357" i="27" s="1"/>
  <c r="I358" i="27" s="1"/>
  <c r="I371" i="27" s="1"/>
  <c r="I372" i="27" s="1"/>
  <c r="I642" i="27" s="1"/>
  <c r="X357" i="27"/>
  <c r="J357" i="27" s="1"/>
  <c r="J358" i="27" s="1"/>
  <c r="J371" i="27" s="1"/>
  <c r="J372" i="27" s="1"/>
  <c r="J642" i="27" s="1"/>
  <c r="V357" i="27"/>
  <c r="H357" i="27" s="1"/>
  <c r="L597" i="27"/>
  <c r="L598" i="27" s="1"/>
  <c r="V358" i="27"/>
  <c r="X358" i="27"/>
  <c r="W358" i="27"/>
  <c r="W411" i="26"/>
  <c r="I411" i="26" s="1"/>
  <c r="X411" i="26"/>
  <c r="J411" i="26" s="1"/>
  <c r="V411" i="26"/>
  <c r="H411" i="26" s="1"/>
  <c r="U412" i="26"/>
  <c r="R413" i="26"/>
  <c r="K410" i="26"/>
  <c r="K164" i="26"/>
  <c r="X352" i="26"/>
  <c r="J352" i="26" s="1"/>
  <c r="V352" i="26"/>
  <c r="H352" i="26" s="1"/>
  <c r="W352" i="26"/>
  <c r="I352" i="26" s="1"/>
  <c r="V474" i="26"/>
  <c r="H474" i="26" s="1"/>
  <c r="W474" i="26"/>
  <c r="I474" i="26" s="1"/>
  <c r="I475" i="26" s="1"/>
  <c r="X474" i="26"/>
  <c r="J474" i="26" s="1"/>
  <c r="J475" i="26" s="1"/>
  <c r="X618" i="26"/>
  <c r="J618" i="26" s="1"/>
  <c r="V618" i="26"/>
  <c r="H618" i="26" s="1"/>
  <c r="W618" i="26"/>
  <c r="I618" i="26" s="1"/>
  <c r="W292" i="26"/>
  <c r="I292" i="26" s="1"/>
  <c r="X292" i="26"/>
  <c r="J292" i="26" s="1"/>
  <c r="V292" i="26"/>
  <c r="H292" i="26" s="1"/>
  <c r="V475" i="26"/>
  <c r="X475" i="26"/>
  <c r="W475" i="26"/>
  <c r="X495" i="26"/>
  <c r="J495" i="26" s="1"/>
  <c r="W495" i="26"/>
  <c r="I495" i="26" s="1"/>
  <c r="V495" i="26"/>
  <c r="H495" i="26" s="1"/>
  <c r="V541" i="26"/>
  <c r="H541" i="26" s="1"/>
  <c r="X541" i="26"/>
  <c r="J541" i="26" s="1"/>
  <c r="W541" i="26"/>
  <c r="I541" i="26" s="1"/>
  <c r="V138" i="26"/>
  <c r="H138" i="26" s="1"/>
  <c r="X138" i="26"/>
  <c r="J138" i="26" s="1"/>
  <c r="W138" i="26"/>
  <c r="I138" i="26" s="1"/>
  <c r="K291" i="26"/>
  <c r="V594" i="26"/>
  <c r="H594" i="26" s="1"/>
  <c r="X594" i="26"/>
  <c r="J594" i="26" s="1"/>
  <c r="W594" i="26"/>
  <c r="I594" i="26" s="1"/>
  <c r="H73" i="26"/>
  <c r="K351" i="26"/>
  <c r="L348" i="26" s="1"/>
  <c r="K617" i="26"/>
  <c r="K473" i="26"/>
  <c r="K494" i="26"/>
  <c r="K593" i="26"/>
  <c r="K540" i="26"/>
  <c r="K137" i="26"/>
  <c r="R140" i="26"/>
  <c r="U139" i="26"/>
  <c r="R620" i="26"/>
  <c r="U619" i="26"/>
  <c r="K72" i="26"/>
  <c r="K73" i="26" s="1"/>
  <c r="L66" i="26"/>
  <c r="R354" i="26"/>
  <c r="U353" i="26"/>
  <c r="R543" i="26"/>
  <c r="U542" i="26"/>
  <c r="R596" i="26"/>
  <c r="U595" i="26"/>
  <c r="L390" i="26"/>
  <c r="H165" i="26"/>
  <c r="K272" i="26"/>
  <c r="L265" i="26"/>
  <c r="R497" i="26"/>
  <c r="U496" i="26"/>
  <c r="R294" i="26"/>
  <c r="U294" i="26" s="1"/>
  <c r="U293" i="26"/>
  <c r="L20" i="26"/>
  <c r="L199" i="26"/>
  <c r="L212" i="26" s="1"/>
  <c r="L50" i="26"/>
  <c r="L232" i="26"/>
  <c r="L253" i="26" s="1"/>
  <c r="K357" i="27" l="1"/>
  <c r="H358" i="27"/>
  <c r="H371" i="27" s="1"/>
  <c r="H372" i="27" s="1"/>
  <c r="H642" i="27" s="1"/>
  <c r="L416" i="27"/>
  <c r="L442" i="27" s="1"/>
  <c r="L142" i="27"/>
  <c r="L641" i="27"/>
  <c r="U413" i="26"/>
  <c r="R414" i="26"/>
  <c r="V412" i="26"/>
  <c r="H412" i="26" s="1"/>
  <c r="X412" i="26"/>
  <c r="J412" i="26" s="1"/>
  <c r="W412" i="26"/>
  <c r="I412" i="26" s="1"/>
  <c r="K411" i="26"/>
  <c r="K541" i="26"/>
  <c r="L534" i="26" s="1"/>
  <c r="V294" i="26"/>
  <c r="X294" i="26"/>
  <c r="W294" i="26"/>
  <c r="V353" i="26"/>
  <c r="H353" i="26" s="1"/>
  <c r="W353" i="26"/>
  <c r="I353" i="26" s="1"/>
  <c r="X353" i="26"/>
  <c r="J353" i="26" s="1"/>
  <c r="X496" i="26"/>
  <c r="J496" i="26" s="1"/>
  <c r="W496" i="26"/>
  <c r="I496" i="26" s="1"/>
  <c r="V496" i="26"/>
  <c r="H496" i="26" s="1"/>
  <c r="V595" i="26"/>
  <c r="H595" i="26" s="1"/>
  <c r="X595" i="26"/>
  <c r="J595" i="26" s="1"/>
  <c r="W595" i="26"/>
  <c r="I595" i="26" s="1"/>
  <c r="W542" i="26"/>
  <c r="I542" i="26" s="1"/>
  <c r="V542" i="26"/>
  <c r="H542" i="26" s="1"/>
  <c r="X542" i="26"/>
  <c r="J542" i="26" s="1"/>
  <c r="W619" i="26"/>
  <c r="I619" i="26" s="1"/>
  <c r="X619" i="26"/>
  <c r="J619" i="26" s="1"/>
  <c r="V619" i="26"/>
  <c r="H619" i="26" s="1"/>
  <c r="X293" i="26"/>
  <c r="J293" i="26" s="1"/>
  <c r="J294" i="26" s="1"/>
  <c r="J322" i="26" s="1"/>
  <c r="V293" i="26"/>
  <c r="H293" i="26" s="1"/>
  <c r="W293" i="26"/>
  <c r="I293" i="26" s="1"/>
  <c r="I294" i="26" s="1"/>
  <c r="I322" i="26" s="1"/>
  <c r="X139" i="26"/>
  <c r="J139" i="26" s="1"/>
  <c r="V139" i="26"/>
  <c r="H139" i="26" s="1"/>
  <c r="W139" i="26"/>
  <c r="I139" i="26" s="1"/>
  <c r="K138" i="26"/>
  <c r="L130" i="26" s="1"/>
  <c r="K292" i="26"/>
  <c r="K474" i="26"/>
  <c r="K352" i="26"/>
  <c r="K495" i="26"/>
  <c r="K594" i="26"/>
  <c r="K618" i="26"/>
  <c r="R621" i="26"/>
  <c r="U621" i="26" s="1"/>
  <c r="U620" i="26"/>
  <c r="H475" i="26"/>
  <c r="L72" i="26"/>
  <c r="L272" i="26"/>
  <c r="R597" i="26"/>
  <c r="U597" i="26" s="1"/>
  <c r="U596" i="26"/>
  <c r="R544" i="26"/>
  <c r="U544" i="26" s="1"/>
  <c r="U543" i="26"/>
  <c r="R498" i="26"/>
  <c r="U498" i="26" s="1"/>
  <c r="U497" i="26"/>
  <c r="L24" i="26"/>
  <c r="K165" i="26"/>
  <c r="L158" i="26"/>
  <c r="R141" i="26"/>
  <c r="U140" i="26"/>
  <c r="L53" i="26"/>
  <c r="R355" i="26"/>
  <c r="U354" i="26"/>
  <c r="L145" i="27" l="1"/>
  <c r="L166" i="27" s="1"/>
  <c r="L213" i="27" s="1"/>
  <c r="K358" i="27"/>
  <c r="K371" i="27" s="1"/>
  <c r="K372" i="27" s="1"/>
  <c r="K642" i="27" s="1"/>
  <c r="L354" i="27"/>
  <c r="K412" i="26"/>
  <c r="U414" i="26"/>
  <c r="R415" i="26"/>
  <c r="V413" i="26"/>
  <c r="H413" i="26" s="1"/>
  <c r="X413" i="26"/>
  <c r="J413" i="26" s="1"/>
  <c r="W413" i="26"/>
  <c r="I413" i="26" s="1"/>
  <c r="K353" i="26"/>
  <c r="K293" i="26"/>
  <c r="K294" i="26" s="1"/>
  <c r="K322" i="26" s="1"/>
  <c r="X596" i="26"/>
  <c r="J596" i="26" s="1"/>
  <c r="J597" i="26" s="1"/>
  <c r="W596" i="26"/>
  <c r="I596" i="26" s="1"/>
  <c r="I597" i="26" s="1"/>
  <c r="V596" i="26"/>
  <c r="H596" i="26" s="1"/>
  <c r="V620" i="26"/>
  <c r="H620" i="26" s="1"/>
  <c r="W620" i="26"/>
  <c r="I620" i="26" s="1"/>
  <c r="I621" i="26" s="1"/>
  <c r="I640" i="26" s="1"/>
  <c r="X620" i="26"/>
  <c r="J620" i="26" s="1"/>
  <c r="J621" i="26" s="1"/>
  <c r="J640" i="26" s="1"/>
  <c r="W621" i="26"/>
  <c r="X621" i="26"/>
  <c r="V621" i="26"/>
  <c r="X597" i="26"/>
  <c r="W597" i="26"/>
  <c r="V597" i="26"/>
  <c r="V497" i="26"/>
  <c r="H497" i="26" s="1"/>
  <c r="X497" i="26"/>
  <c r="J497" i="26" s="1"/>
  <c r="J498" i="26" s="1"/>
  <c r="J521" i="26" s="1"/>
  <c r="W497" i="26"/>
  <c r="I497" i="26" s="1"/>
  <c r="I498" i="26" s="1"/>
  <c r="I521" i="26" s="1"/>
  <c r="W498" i="26"/>
  <c r="V498" i="26"/>
  <c r="X498" i="26"/>
  <c r="X354" i="26"/>
  <c r="J354" i="26" s="1"/>
  <c r="V354" i="26"/>
  <c r="H354" i="26" s="1"/>
  <c r="W354" i="26"/>
  <c r="I354" i="26" s="1"/>
  <c r="W140" i="26"/>
  <c r="I140" i="26" s="1"/>
  <c r="X140" i="26"/>
  <c r="J140" i="26" s="1"/>
  <c r="V140" i="26"/>
  <c r="H140" i="26" s="1"/>
  <c r="W544" i="26"/>
  <c r="X544" i="26"/>
  <c r="V544" i="26"/>
  <c r="V543" i="26"/>
  <c r="H543" i="26" s="1"/>
  <c r="X543" i="26"/>
  <c r="J543" i="26" s="1"/>
  <c r="J544" i="26" s="1"/>
  <c r="W543" i="26"/>
  <c r="I543" i="26" s="1"/>
  <c r="I544" i="26" s="1"/>
  <c r="K542" i="26"/>
  <c r="K619" i="26"/>
  <c r="K595" i="26"/>
  <c r="K139" i="26"/>
  <c r="K496" i="26"/>
  <c r="L352" i="26"/>
  <c r="K475" i="26"/>
  <c r="L471" i="26"/>
  <c r="R142" i="26"/>
  <c r="U141" i="26"/>
  <c r="L73" i="26"/>
  <c r="R356" i="26"/>
  <c r="U355" i="26"/>
  <c r="L165" i="26"/>
  <c r="H294" i="26"/>
  <c r="H322" i="26" s="1"/>
  <c r="L358" i="27" l="1"/>
  <c r="L371" i="27" s="1"/>
  <c r="L372" i="27" s="1"/>
  <c r="L642" i="27" s="1"/>
  <c r="K413" i="26"/>
  <c r="U415" i="26"/>
  <c r="R416" i="26"/>
  <c r="U416" i="26" s="1"/>
  <c r="W414" i="26"/>
  <c r="I414" i="26" s="1"/>
  <c r="V414" i="26"/>
  <c r="H414" i="26" s="1"/>
  <c r="X414" i="26"/>
  <c r="J414" i="26" s="1"/>
  <c r="V141" i="26"/>
  <c r="H141" i="26" s="1"/>
  <c r="X141" i="26"/>
  <c r="J141" i="26" s="1"/>
  <c r="W141" i="26"/>
  <c r="I141" i="26" s="1"/>
  <c r="X355" i="26"/>
  <c r="J355" i="26" s="1"/>
  <c r="V355" i="26"/>
  <c r="H355" i="26" s="1"/>
  <c r="W355" i="26"/>
  <c r="I355" i="26" s="1"/>
  <c r="K140" i="26"/>
  <c r="K596" i="26"/>
  <c r="K620" i="26"/>
  <c r="K497" i="26"/>
  <c r="K354" i="26"/>
  <c r="K543" i="26"/>
  <c r="K544" i="26" s="1"/>
  <c r="H621" i="26"/>
  <c r="H640" i="26" s="1"/>
  <c r="L290" i="26"/>
  <c r="R357" i="26"/>
  <c r="U356" i="26"/>
  <c r="H498" i="26"/>
  <c r="H521" i="26" s="1"/>
  <c r="R143" i="26"/>
  <c r="U142" i="26"/>
  <c r="J598" i="26"/>
  <c r="L475" i="26"/>
  <c r="I598" i="26"/>
  <c r="H597" i="26"/>
  <c r="H544" i="26"/>
  <c r="M637" i="27" l="1"/>
  <c r="N637" i="27" s="1"/>
  <c r="O637" i="27" s="1"/>
  <c r="P637" i="27" s="1"/>
  <c r="M620" i="27"/>
  <c r="N620" i="27" s="1"/>
  <c r="O620" i="27" s="1"/>
  <c r="P620" i="27" s="1"/>
  <c r="M616" i="27"/>
  <c r="N616" i="27" s="1"/>
  <c r="O616" i="27" s="1"/>
  <c r="P616" i="27" s="1"/>
  <c r="M595" i="27"/>
  <c r="N595" i="27" s="1"/>
  <c r="O595" i="27" s="1"/>
  <c r="P595" i="27" s="1"/>
  <c r="M591" i="27"/>
  <c r="N591" i="27" s="1"/>
  <c r="O591" i="27" s="1"/>
  <c r="P591" i="27" s="1"/>
  <c r="M587" i="27"/>
  <c r="N587" i="27" s="1"/>
  <c r="O587" i="27" s="1"/>
  <c r="P587" i="27" s="1"/>
  <c r="M629" i="27"/>
  <c r="N629" i="27" s="1"/>
  <c r="O629" i="27" s="1"/>
  <c r="P629" i="27" s="1"/>
  <c r="M626" i="27"/>
  <c r="N626" i="27" s="1"/>
  <c r="O626" i="27" s="1"/>
  <c r="P626" i="27" s="1"/>
  <c r="M601" i="27"/>
  <c r="N601" i="27" s="1"/>
  <c r="O601" i="27" s="1"/>
  <c r="P601" i="27" s="1"/>
  <c r="M600" i="27"/>
  <c r="N600" i="27" s="1"/>
  <c r="O600" i="27" s="1"/>
  <c r="P600" i="27" s="1"/>
  <c r="M579" i="27"/>
  <c r="N579" i="27" s="1"/>
  <c r="O579" i="27" s="1"/>
  <c r="P579" i="27" s="1"/>
  <c r="M576" i="27"/>
  <c r="N576" i="27" s="1"/>
  <c r="O576" i="27" s="1"/>
  <c r="P576" i="27" s="1"/>
  <c r="M555" i="27"/>
  <c r="N555" i="27" s="1"/>
  <c r="O555" i="27" s="1"/>
  <c r="P555" i="27" s="1"/>
  <c r="M537" i="27"/>
  <c r="N537" i="27" s="1"/>
  <c r="O537" i="27" s="1"/>
  <c r="P537" i="27" s="1"/>
  <c r="M634" i="27"/>
  <c r="N634" i="27" s="1"/>
  <c r="O634" i="27" s="1"/>
  <c r="P634" i="27" s="1"/>
  <c r="M606" i="27"/>
  <c r="N606" i="27" s="1"/>
  <c r="O606" i="27" s="1"/>
  <c r="P606" i="27" s="1"/>
  <c r="M573" i="27"/>
  <c r="N573" i="27" s="1"/>
  <c r="O573" i="27" s="1"/>
  <c r="P573" i="27" s="1"/>
  <c r="M566" i="27"/>
  <c r="N566" i="27" s="1"/>
  <c r="O566" i="27" s="1"/>
  <c r="P566" i="27" s="1"/>
  <c r="M523" i="27"/>
  <c r="N523" i="27" s="1"/>
  <c r="O523" i="27" s="1"/>
  <c r="P523" i="27" s="1"/>
  <c r="M618" i="27"/>
  <c r="N618" i="27" s="1"/>
  <c r="O618" i="27" s="1"/>
  <c r="P618" i="27" s="1"/>
  <c r="M582" i="27"/>
  <c r="N582" i="27" s="1"/>
  <c r="O582" i="27" s="1"/>
  <c r="P582" i="27" s="1"/>
  <c r="M570" i="27"/>
  <c r="N570" i="27" s="1"/>
  <c r="O570" i="27" s="1"/>
  <c r="P570" i="27" s="1"/>
  <c r="M552" i="27"/>
  <c r="N552" i="27" s="1"/>
  <c r="O552" i="27" s="1"/>
  <c r="P552" i="27" s="1"/>
  <c r="M615" i="27"/>
  <c r="N615" i="27" s="1"/>
  <c r="O615" i="27" s="1"/>
  <c r="P615" i="27" s="1"/>
  <c r="M609" i="27"/>
  <c r="N609" i="27" s="1"/>
  <c r="O609" i="27" s="1"/>
  <c r="P609" i="27" s="1"/>
  <c r="M594" i="27"/>
  <c r="N594" i="27" s="1"/>
  <c r="O594" i="27" s="1"/>
  <c r="P594" i="27" s="1"/>
  <c r="M588" i="27"/>
  <c r="N588" i="27" s="1"/>
  <c r="O588" i="27" s="1"/>
  <c r="P588" i="27" s="1"/>
  <c r="M559" i="27"/>
  <c r="N559" i="27" s="1"/>
  <c r="O559" i="27" s="1"/>
  <c r="P559" i="27" s="1"/>
  <c r="M541" i="27"/>
  <c r="N541" i="27" s="1"/>
  <c r="O541" i="27" s="1"/>
  <c r="P541" i="27" s="1"/>
  <c r="M556" i="27"/>
  <c r="N556" i="27" s="1"/>
  <c r="O556" i="27" s="1"/>
  <c r="P556" i="27" s="1"/>
  <c r="M549" i="27"/>
  <c r="N549" i="27" s="1"/>
  <c r="O549" i="27" s="1"/>
  <c r="P549" i="27" s="1"/>
  <c r="M625" i="27"/>
  <c r="N625" i="27" s="1"/>
  <c r="O625" i="27" s="1"/>
  <c r="P625" i="27" s="1"/>
  <c r="M638" i="27"/>
  <c r="N638" i="27" s="1"/>
  <c r="O638" i="27" s="1"/>
  <c r="P638" i="27" s="1"/>
  <c r="M636" i="27"/>
  <c r="N636" i="27" s="1"/>
  <c r="O636" i="27" s="1"/>
  <c r="P636" i="27" s="1"/>
  <c r="M623" i="27"/>
  <c r="N623" i="27" s="1"/>
  <c r="O623" i="27" s="1"/>
  <c r="P623" i="27" s="1"/>
  <c r="M538" i="27"/>
  <c r="N538" i="27" s="1"/>
  <c r="O538" i="27" s="1"/>
  <c r="P538" i="27" s="1"/>
  <c r="M518" i="27"/>
  <c r="N518" i="27" s="1"/>
  <c r="O518" i="27" s="1"/>
  <c r="P518" i="27" s="1"/>
  <c r="M515" i="27"/>
  <c r="N515" i="27" s="1"/>
  <c r="O515" i="27" s="1"/>
  <c r="P515" i="27" s="1"/>
  <c r="M496" i="27"/>
  <c r="N496" i="27" s="1"/>
  <c r="O496" i="27" s="1"/>
  <c r="P496" i="27" s="1"/>
  <c r="M627" i="27"/>
  <c r="N627" i="27" s="1"/>
  <c r="O627" i="27" s="1"/>
  <c r="P627" i="27" s="1"/>
  <c r="M564" i="27"/>
  <c r="N564" i="27" s="1"/>
  <c r="O564" i="27" s="1"/>
  <c r="P564" i="27" s="1"/>
  <c r="M557" i="27"/>
  <c r="N557" i="27" s="1"/>
  <c r="O557" i="27" s="1"/>
  <c r="P557" i="27" s="1"/>
  <c r="M550" i="27"/>
  <c r="N550" i="27" s="1"/>
  <c r="O550" i="27" s="1"/>
  <c r="P550" i="27" s="1"/>
  <c r="M543" i="27"/>
  <c r="N543" i="27" s="1"/>
  <c r="O543" i="27" s="1"/>
  <c r="P543" i="27" s="1"/>
  <c r="M492" i="27"/>
  <c r="N492" i="27" s="1"/>
  <c r="O492" i="27" s="1"/>
  <c r="P492" i="27" s="1"/>
  <c r="M619" i="27"/>
  <c r="N619" i="27" s="1"/>
  <c r="O619" i="27" s="1"/>
  <c r="P619" i="27" s="1"/>
  <c r="M571" i="27"/>
  <c r="N571" i="27" s="1"/>
  <c r="O571" i="27" s="1"/>
  <c r="P571" i="27" s="1"/>
  <c r="M533" i="27"/>
  <c r="N533" i="27" s="1"/>
  <c r="O533" i="27" s="1"/>
  <c r="P533" i="27" s="1"/>
  <c r="M617" i="27"/>
  <c r="N617" i="27" s="1"/>
  <c r="O617" i="27" s="1"/>
  <c r="P617" i="27" s="1"/>
  <c r="M613" i="27"/>
  <c r="N613" i="27" s="1"/>
  <c r="O613" i="27" s="1"/>
  <c r="P613" i="27" s="1"/>
  <c r="M590" i="27"/>
  <c r="N590" i="27" s="1"/>
  <c r="O590" i="27" s="1"/>
  <c r="P590" i="27" s="1"/>
  <c r="M586" i="27"/>
  <c r="N586" i="27" s="1"/>
  <c r="O586" i="27" s="1"/>
  <c r="P586" i="27" s="1"/>
  <c r="M536" i="27"/>
  <c r="N536" i="27" s="1"/>
  <c r="O536" i="27" s="1"/>
  <c r="P536" i="27" s="1"/>
  <c r="M528" i="27"/>
  <c r="N528" i="27" s="1"/>
  <c r="O528" i="27" s="1"/>
  <c r="P528" i="27" s="1"/>
  <c r="M509" i="27"/>
  <c r="N509" i="27" s="1"/>
  <c r="O509" i="27" s="1"/>
  <c r="P509" i="27" s="1"/>
  <c r="M558" i="27"/>
  <c r="N558" i="27" s="1"/>
  <c r="O558" i="27" s="1"/>
  <c r="P558" i="27" s="1"/>
  <c r="M511" i="27"/>
  <c r="N511" i="27" s="1"/>
  <c r="O511" i="27" s="1"/>
  <c r="P511" i="27" s="1"/>
  <c r="M506" i="27"/>
  <c r="N506" i="27" s="1"/>
  <c r="O506" i="27" s="1"/>
  <c r="P506" i="27" s="1"/>
  <c r="M503" i="27"/>
  <c r="N503" i="27" s="1"/>
  <c r="O503" i="27" s="1"/>
  <c r="P503" i="27" s="1"/>
  <c r="M491" i="27"/>
  <c r="N491" i="27" s="1"/>
  <c r="O491" i="27" s="1"/>
  <c r="P491" i="27" s="1"/>
  <c r="M448" i="27"/>
  <c r="N448" i="27" s="1"/>
  <c r="O448" i="27" s="1"/>
  <c r="P448" i="27" s="1"/>
  <c r="M630" i="27"/>
  <c r="N630" i="27" s="1"/>
  <c r="O630" i="27" s="1"/>
  <c r="P630" i="27" s="1"/>
  <c r="M583" i="27"/>
  <c r="N583" i="27" s="1"/>
  <c r="O583" i="27" s="1"/>
  <c r="P583" i="27" s="1"/>
  <c r="M560" i="27"/>
  <c r="N560" i="27" s="1"/>
  <c r="O560" i="27" s="1"/>
  <c r="P560" i="27" s="1"/>
  <c r="M444" i="27"/>
  <c r="N444" i="27" s="1"/>
  <c r="O444" i="27" s="1"/>
  <c r="P444" i="27" s="1"/>
  <c r="M602" i="27"/>
  <c r="N602" i="27" s="1"/>
  <c r="O602" i="27" s="1"/>
  <c r="P602" i="27" s="1"/>
  <c r="M604" i="27"/>
  <c r="N604" i="27" s="1"/>
  <c r="O604" i="27" s="1"/>
  <c r="P604" i="27" s="1"/>
  <c r="M551" i="27"/>
  <c r="N551" i="27" s="1"/>
  <c r="O551" i="27" s="1"/>
  <c r="P551" i="27" s="1"/>
  <c r="M468" i="27"/>
  <c r="N468" i="27" s="1"/>
  <c r="O468" i="27" s="1"/>
  <c r="P468" i="27" s="1"/>
  <c r="M457" i="27"/>
  <c r="N457" i="27" s="1"/>
  <c r="O457" i="27" s="1"/>
  <c r="P457" i="27" s="1"/>
  <c r="M611" i="27"/>
  <c r="N611" i="27" s="1"/>
  <c r="O611" i="27" s="1"/>
  <c r="P611" i="27" s="1"/>
  <c r="M516" i="27"/>
  <c r="N516" i="27" s="1"/>
  <c r="O516" i="27" s="1"/>
  <c r="P516" i="27" s="1"/>
  <c r="M486" i="27"/>
  <c r="N486" i="27" s="1"/>
  <c r="O486" i="27" s="1"/>
  <c r="P486" i="27" s="1"/>
  <c r="M631" i="27"/>
  <c r="N631" i="27" s="1"/>
  <c r="O631" i="27" s="1"/>
  <c r="P631" i="27" s="1"/>
  <c r="M605" i="27"/>
  <c r="N605" i="27" s="1"/>
  <c r="O605" i="27" s="1"/>
  <c r="P605" i="27" s="1"/>
  <c r="M580" i="27"/>
  <c r="N580" i="27" s="1"/>
  <c r="O580" i="27" s="1"/>
  <c r="P580" i="27" s="1"/>
  <c r="M507" i="27"/>
  <c r="N507" i="27" s="1"/>
  <c r="O507" i="27" s="1"/>
  <c r="P507" i="27" s="1"/>
  <c r="M505" i="27"/>
  <c r="N505" i="27" s="1"/>
  <c r="O505" i="27" s="1"/>
  <c r="P505" i="27" s="1"/>
  <c r="M607" i="27"/>
  <c r="N607" i="27" s="1"/>
  <c r="O607" i="27" s="1"/>
  <c r="P607" i="27" s="1"/>
  <c r="M535" i="27"/>
  <c r="N535" i="27" s="1"/>
  <c r="O535" i="27" s="1"/>
  <c r="P535" i="27" s="1"/>
  <c r="M480" i="27"/>
  <c r="N480" i="27" s="1"/>
  <c r="O480" i="27" s="1"/>
  <c r="P480" i="27" s="1"/>
  <c r="M451" i="27"/>
  <c r="N451" i="27" s="1"/>
  <c r="O451" i="27" s="1"/>
  <c r="P451" i="27" s="1"/>
  <c r="M445" i="27"/>
  <c r="N445" i="27" s="1"/>
  <c r="O445" i="27" s="1"/>
  <c r="P445" i="27" s="1"/>
  <c r="M412" i="27"/>
  <c r="N412" i="27" s="1"/>
  <c r="O412" i="27" s="1"/>
  <c r="P412" i="27" s="1"/>
  <c r="M408" i="27"/>
  <c r="N408" i="27" s="1"/>
  <c r="O408" i="27" s="1"/>
  <c r="P408" i="27" s="1"/>
  <c r="M501" i="27"/>
  <c r="N501" i="27" s="1"/>
  <c r="O501" i="27" s="1"/>
  <c r="P501" i="27" s="1"/>
  <c r="M488" i="27"/>
  <c r="N488" i="27" s="1"/>
  <c r="O488" i="27" s="1"/>
  <c r="P488" i="27" s="1"/>
  <c r="M473" i="27"/>
  <c r="N473" i="27" s="1"/>
  <c r="O473" i="27" s="1"/>
  <c r="P473" i="27" s="1"/>
  <c r="M465" i="27"/>
  <c r="N465" i="27" s="1"/>
  <c r="O465" i="27" s="1"/>
  <c r="P465" i="27" s="1"/>
  <c r="M460" i="27"/>
  <c r="N460" i="27" s="1"/>
  <c r="O460" i="27" s="1"/>
  <c r="P460" i="27" s="1"/>
  <c r="M429" i="27"/>
  <c r="N429" i="27" s="1"/>
  <c r="O429" i="27" s="1"/>
  <c r="P429" i="27" s="1"/>
  <c r="M577" i="27"/>
  <c r="N577" i="27" s="1"/>
  <c r="O577" i="27" s="1"/>
  <c r="P577" i="27" s="1"/>
  <c r="M478" i="27"/>
  <c r="N478" i="27" s="1"/>
  <c r="O478" i="27" s="1"/>
  <c r="P478" i="27" s="1"/>
  <c r="M425" i="27"/>
  <c r="N425" i="27" s="1"/>
  <c r="O425" i="27" s="1"/>
  <c r="P425" i="27" s="1"/>
  <c r="M610" i="27"/>
  <c r="N610" i="27" s="1"/>
  <c r="O610" i="27" s="1"/>
  <c r="P610" i="27" s="1"/>
  <c r="M565" i="27"/>
  <c r="N565" i="27" s="1"/>
  <c r="O565" i="27" s="1"/>
  <c r="P565" i="27" s="1"/>
  <c r="M548" i="27"/>
  <c r="N548" i="27" s="1"/>
  <c r="O548" i="27" s="1"/>
  <c r="P548" i="27" s="1"/>
  <c r="M540" i="27"/>
  <c r="N540" i="27" s="1"/>
  <c r="O540" i="27" s="1"/>
  <c r="P540" i="27" s="1"/>
  <c r="M532" i="27"/>
  <c r="N532" i="27" s="1"/>
  <c r="O532" i="27" s="1"/>
  <c r="P532" i="27" s="1"/>
  <c r="M434" i="27"/>
  <c r="N434" i="27" s="1"/>
  <c r="O434" i="27" s="1"/>
  <c r="P434" i="27" s="1"/>
  <c r="M635" i="27"/>
  <c r="N635" i="27" s="1"/>
  <c r="O635" i="27" s="1"/>
  <c r="P635" i="27" s="1"/>
  <c r="M596" i="27"/>
  <c r="N596" i="27" s="1"/>
  <c r="O596" i="27" s="1"/>
  <c r="P596" i="27" s="1"/>
  <c r="M593" i="27"/>
  <c r="N593" i="27" s="1"/>
  <c r="O593" i="27" s="1"/>
  <c r="P593" i="27" s="1"/>
  <c r="M526" i="27"/>
  <c r="N526" i="27" s="1"/>
  <c r="O526" i="27" s="1"/>
  <c r="P526" i="27" s="1"/>
  <c r="M508" i="27"/>
  <c r="N508" i="27" s="1"/>
  <c r="O508" i="27" s="1"/>
  <c r="P508" i="27" s="1"/>
  <c r="M608" i="27"/>
  <c r="N608" i="27" s="1"/>
  <c r="O608" i="27" s="1"/>
  <c r="P608" i="27" s="1"/>
  <c r="M572" i="27"/>
  <c r="N572" i="27" s="1"/>
  <c r="O572" i="27" s="1"/>
  <c r="P572" i="27" s="1"/>
  <c r="M479" i="27"/>
  <c r="N479" i="27" s="1"/>
  <c r="O479" i="27" s="1"/>
  <c r="P479" i="27" s="1"/>
  <c r="M477" i="27"/>
  <c r="N477" i="27" s="1"/>
  <c r="O477" i="27" s="1"/>
  <c r="P477" i="27" s="1"/>
  <c r="M554" i="27"/>
  <c r="N554" i="27" s="1"/>
  <c r="O554" i="27" s="1"/>
  <c r="P554" i="27" s="1"/>
  <c r="M494" i="27"/>
  <c r="N494" i="27" s="1"/>
  <c r="O494" i="27" s="1"/>
  <c r="P494" i="27" s="1"/>
  <c r="M456" i="27"/>
  <c r="N456" i="27" s="1"/>
  <c r="O456" i="27" s="1"/>
  <c r="P456" i="27" s="1"/>
  <c r="M426" i="27"/>
  <c r="N426" i="27" s="1"/>
  <c r="O426" i="27" s="1"/>
  <c r="P426" i="27" s="1"/>
  <c r="M397" i="27"/>
  <c r="N397" i="27" s="1"/>
  <c r="O397" i="27" s="1"/>
  <c r="P397" i="27" s="1"/>
  <c r="M393" i="27"/>
  <c r="N393" i="27" s="1"/>
  <c r="O393" i="27" s="1"/>
  <c r="P393" i="27" s="1"/>
  <c r="M376" i="27"/>
  <c r="N376" i="27" s="1"/>
  <c r="O376" i="27" s="1"/>
  <c r="P376" i="27" s="1"/>
  <c r="M342" i="27"/>
  <c r="N342" i="27" s="1"/>
  <c r="O342" i="27" s="1"/>
  <c r="P342" i="27" s="1"/>
  <c r="M312" i="27"/>
  <c r="N312" i="27" s="1"/>
  <c r="O312" i="27" s="1"/>
  <c r="P312" i="27" s="1"/>
  <c r="M546" i="27"/>
  <c r="N546" i="27" s="1"/>
  <c r="O546" i="27" s="1"/>
  <c r="P546" i="27" s="1"/>
  <c r="M614" i="27"/>
  <c r="N614" i="27" s="1"/>
  <c r="O614" i="27" s="1"/>
  <c r="P614" i="27" s="1"/>
  <c r="M510" i="27"/>
  <c r="N510" i="27" s="1"/>
  <c r="O510" i="27" s="1"/>
  <c r="P510" i="27" s="1"/>
  <c r="M531" i="27"/>
  <c r="N531" i="27" s="1"/>
  <c r="O531" i="27" s="1"/>
  <c r="P531" i="27" s="1"/>
  <c r="M524" i="27"/>
  <c r="N524" i="27" s="1"/>
  <c r="O524" i="27" s="1"/>
  <c r="P524" i="27" s="1"/>
  <c r="M438" i="27"/>
  <c r="N438" i="27" s="1"/>
  <c r="O438" i="27" s="1"/>
  <c r="P438" i="27" s="1"/>
  <c r="M527" i="27"/>
  <c r="N527" i="27" s="1"/>
  <c r="O527" i="27" s="1"/>
  <c r="P527" i="27" s="1"/>
  <c r="M495" i="27"/>
  <c r="N495" i="27" s="1"/>
  <c r="O495" i="27" s="1"/>
  <c r="P495" i="27" s="1"/>
  <c r="M584" i="27"/>
  <c r="N584" i="27" s="1"/>
  <c r="O584" i="27" s="1"/>
  <c r="P584" i="27" s="1"/>
  <c r="M592" i="27"/>
  <c r="N592" i="27" s="1"/>
  <c r="O592" i="27" s="1"/>
  <c r="P592" i="27" s="1"/>
  <c r="M517" i="27"/>
  <c r="N517" i="27" s="1"/>
  <c r="O517" i="27" s="1"/>
  <c r="P517" i="27" s="1"/>
  <c r="M487" i="27"/>
  <c r="N487" i="27" s="1"/>
  <c r="O487" i="27" s="1"/>
  <c r="P487" i="27" s="1"/>
  <c r="M472" i="27"/>
  <c r="N472" i="27" s="1"/>
  <c r="O472" i="27" s="1"/>
  <c r="P472" i="27" s="1"/>
  <c r="M411" i="27"/>
  <c r="N411" i="27" s="1"/>
  <c r="O411" i="27" s="1"/>
  <c r="P411" i="27" s="1"/>
  <c r="M383" i="27"/>
  <c r="N383" i="27" s="1"/>
  <c r="O383" i="27" s="1"/>
  <c r="P383" i="27" s="1"/>
  <c r="M567" i="27"/>
  <c r="N567" i="27" s="1"/>
  <c r="O567" i="27" s="1"/>
  <c r="P567" i="27" s="1"/>
  <c r="M529" i="27"/>
  <c r="N529" i="27" s="1"/>
  <c r="O529" i="27" s="1"/>
  <c r="P529" i="27" s="1"/>
  <c r="M632" i="27"/>
  <c r="N632" i="27" s="1"/>
  <c r="O632" i="27" s="1"/>
  <c r="P632" i="27" s="1"/>
  <c r="M547" i="27"/>
  <c r="N547" i="27" s="1"/>
  <c r="O547" i="27" s="1"/>
  <c r="P547" i="27" s="1"/>
  <c r="M539" i="27"/>
  <c r="N539" i="27" s="1"/>
  <c r="O539" i="27" s="1"/>
  <c r="P539" i="27" s="1"/>
  <c r="M502" i="27"/>
  <c r="N502" i="27" s="1"/>
  <c r="O502" i="27" s="1"/>
  <c r="P502" i="27" s="1"/>
  <c r="M489" i="27"/>
  <c r="N489" i="27" s="1"/>
  <c r="O489" i="27" s="1"/>
  <c r="P489" i="27" s="1"/>
  <c r="M458" i="27"/>
  <c r="N458" i="27" s="1"/>
  <c r="O458" i="27" s="1"/>
  <c r="P458" i="27" s="1"/>
  <c r="M449" i="27"/>
  <c r="N449" i="27" s="1"/>
  <c r="O449" i="27" s="1"/>
  <c r="P449" i="27" s="1"/>
  <c r="M430" i="27"/>
  <c r="N430" i="27" s="1"/>
  <c r="O430" i="27" s="1"/>
  <c r="P430" i="27" s="1"/>
  <c r="M421" i="27"/>
  <c r="N421" i="27" s="1"/>
  <c r="O421" i="27" s="1"/>
  <c r="P421" i="27" s="1"/>
  <c r="M336" i="27"/>
  <c r="N336" i="27" s="1"/>
  <c r="O336" i="27" s="1"/>
  <c r="P336" i="27" s="1"/>
  <c r="M325" i="27"/>
  <c r="N325" i="27" s="1"/>
  <c r="O325" i="27" s="1"/>
  <c r="P325" i="27" s="1"/>
  <c r="M439" i="27"/>
  <c r="N439" i="27" s="1"/>
  <c r="O439" i="27" s="1"/>
  <c r="P439" i="27" s="1"/>
  <c r="M409" i="27"/>
  <c r="N409" i="27" s="1"/>
  <c r="O409" i="27" s="1"/>
  <c r="P409" i="27" s="1"/>
  <c r="M357" i="27"/>
  <c r="N357" i="27" s="1"/>
  <c r="O357" i="27" s="1"/>
  <c r="P357" i="27" s="1"/>
  <c r="M347" i="27"/>
  <c r="N347" i="27" s="1"/>
  <c r="O347" i="27" s="1"/>
  <c r="P347" i="27" s="1"/>
  <c r="M340" i="27"/>
  <c r="N340" i="27" s="1"/>
  <c r="O340" i="27" s="1"/>
  <c r="P340" i="27" s="1"/>
  <c r="M310" i="27"/>
  <c r="N310" i="27" s="1"/>
  <c r="O310" i="27" s="1"/>
  <c r="P310" i="27" s="1"/>
  <c r="M525" i="27"/>
  <c r="N525" i="27" s="1"/>
  <c r="O525" i="27" s="1"/>
  <c r="P525" i="27" s="1"/>
  <c r="M428" i="27"/>
  <c r="N428" i="27" s="1"/>
  <c r="O428" i="27" s="1"/>
  <c r="P428" i="27" s="1"/>
  <c r="M419" i="27"/>
  <c r="N419" i="27" s="1"/>
  <c r="O419" i="27" s="1"/>
  <c r="P419" i="27" s="1"/>
  <c r="M392" i="27"/>
  <c r="N392" i="27" s="1"/>
  <c r="O392" i="27" s="1"/>
  <c r="P392" i="27" s="1"/>
  <c r="M374" i="27"/>
  <c r="N374" i="27" s="1"/>
  <c r="O374" i="27" s="1"/>
  <c r="P374" i="27" s="1"/>
  <c r="M395" i="27"/>
  <c r="N395" i="27" s="1"/>
  <c r="O395" i="27" s="1"/>
  <c r="P395" i="27" s="1"/>
  <c r="M389" i="27"/>
  <c r="N389" i="27" s="1"/>
  <c r="O389" i="27" s="1"/>
  <c r="P389" i="27" s="1"/>
  <c r="M380" i="27"/>
  <c r="N380" i="27" s="1"/>
  <c r="O380" i="27" s="1"/>
  <c r="P380" i="27" s="1"/>
  <c r="M367" i="27"/>
  <c r="N367" i="27" s="1"/>
  <c r="O367" i="27" s="1"/>
  <c r="P367" i="27" s="1"/>
  <c r="M344" i="27"/>
  <c r="N344" i="27" s="1"/>
  <c r="O344" i="27" s="1"/>
  <c r="P344" i="27" s="1"/>
  <c r="M329" i="27"/>
  <c r="N329" i="27" s="1"/>
  <c r="O329" i="27" s="1"/>
  <c r="P329" i="27" s="1"/>
  <c r="M469" i="27"/>
  <c r="N469" i="27" s="1"/>
  <c r="O469" i="27" s="1"/>
  <c r="P469" i="27" s="1"/>
  <c r="M446" i="27"/>
  <c r="N446" i="27" s="1"/>
  <c r="O446" i="27" s="1"/>
  <c r="P446" i="27" s="1"/>
  <c r="M404" i="27"/>
  <c r="N404" i="27" s="1"/>
  <c r="O404" i="27" s="1"/>
  <c r="P404" i="27" s="1"/>
  <c r="M401" i="27"/>
  <c r="N401" i="27" s="1"/>
  <c r="O401" i="27" s="1"/>
  <c r="P401" i="27" s="1"/>
  <c r="M361" i="27"/>
  <c r="N361" i="27" s="1"/>
  <c r="O361" i="27" s="1"/>
  <c r="P361" i="27" s="1"/>
  <c r="M351" i="27"/>
  <c r="N351" i="27" s="1"/>
  <c r="O351" i="27" s="1"/>
  <c r="P351" i="27" s="1"/>
  <c r="M326" i="27"/>
  <c r="N326" i="27" s="1"/>
  <c r="O326" i="27" s="1"/>
  <c r="P326" i="27" s="1"/>
  <c r="M568" i="27"/>
  <c r="N568" i="27" s="1"/>
  <c r="O568" i="27" s="1"/>
  <c r="P568" i="27" s="1"/>
  <c r="M561" i="27"/>
  <c r="N561" i="27" s="1"/>
  <c r="O561" i="27" s="1"/>
  <c r="P561" i="27" s="1"/>
  <c r="M519" i="27"/>
  <c r="N519" i="27" s="1"/>
  <c r="O519" i="27" s="1"/>
  <c r="P519" i="27" s="1"/>
  <c r="M581" i="27"/>
  <c r="N581" i="27" s="1"/>
  <c r="O581" i="27" s="1"/>
  <c r="P581" i="27" s="1"/>
  <c r="M514" i="27"/>
  <c r="N514" i="27" s="1"/>
  <c r="O514" i="27" s="1"/>
  <c r="P514" i="27" s="1"/>
  <c r="M420" i="27"/>
  <c r="N420" i="27" s="1"/>
  <c r="O420" i="27" s="1"/>
  <c r="P420" i="27" s="1"/>
  <c r="M418" i="27"/>
  <c r="N418" i="27" s="1"/>
  <c r="O418" i="27" s="1"/>
  <c r="P418" i="27" s="1"/>
  <c r="M413" i="27"/>
  <c r="N413" i="27" s="1"/>
  <c r="O413" i="27" s="1"/>
  <c r="P413" i="27" s="1"/>
  <c r="M405" i="27"/>
  <c r="N405" i="27" s="1"/>
  <c r="O405" i="27" s="1"/>
  <c r="P405" i="27" s="1"/>
  <c r="M512" i="27"/>
  <c r="N512" i="27" s="1"/>
  <c r="O512" i="27" s="1"/>
  <c r="P512" i="27" s="1"/>
  <c r="M474" i="27"/>
  <c r="N474" i="27" s="1"/>
  <c r="O474" i="27" s="1"/>
  <c r="P474" i="27" s="1"/>
  <c r="M470" i="27"/>
  <c r="N470" i="27" s="1"/>
  <c r="O470" i="27" s="1"/>
  <c r="P470" i="27" s="1"/>
  <c r="M455" i="27"/>
  <c r="N455" i="27" s="1"/>
  <c r="O455" i="27" s="1"/>
  <c r="P455" i="27" s="1"/>
  <c r="M440" i="27"/>
  <c r="N440" i="27" s="1"/>
  <c r="O440" i="27" s="1"/>
  <c r="P440" i="27" s="1"/>
  <c r="M364" i="27"/>
  <c r="N364" i="27" s="1"/>
  <c r="O364" i="27" s="1"/>
  <c r="P364" i="27" s="1"/>
  <c r="M350" i="27"/>
  <c r="N350" i="27" s="1"/>
  <c r="O350" i="27" s="1"/>
  <c r="P350" i="27" s="1"/>
  <c r="M337" i="27"/>
  <c r="N337" i="27" s="1"/>
  <c r="O337" i="27" s="1"/>
  <c r="P337" i="27" s="1"/>
  <c r="M330" i="27"/>
  <c r="N330" i="27" s="1"/>
  <c r="O330" i="27" s="1"/>
  <c r="P330" i="27" s="1"/>
  <c r="M275" i="27"/>
  <c r="N275" i="27" s="1"/>
  <c r="O275" i="27" s="1"/>
  <c r="P275" i="27" s="1"/>
  <c r="M236" i="27"/>
  <c r="N236" i="27" s="1"/>
  <c r="O236" i="27" s="1"/>
  <c r="P236" i="27" s="1"/>
  <c r="M202" i="27"/>
  <c r="N202" i="27" s="1"/>
  <c r="O202" i="27" s="1"/>
  <c r="P202" i="27" s="1"/>
  <c r="M156" i="27"/>
  <c r="N156" i="27" s="1"/>
  <c r="O156" i="27" s="1"/>
  <c r="P156" i="27" s="1"/>
  <c r="M388" i="27"/>
  <c r="N388" i="27" s="1"/>
  <c r="O388" i="27" s="1"/>
  <c r="P388" i="27" s="1"/>
  <c r="M368" i="27"/>
  <c r="N368" i="27" s="1"/>
  <c r="O368" i="27" s="1"/>
  <c r="P368" i="27" s="1"/>
  <c r="M360" i="27"/>
  <c r="N360" i="27" s="1"/>
  <c r="O360" i="27" s="1"/>
  <c r="P360" i="27" s="1"/>
  <c r="M356" i="27"/>
  <c r="N356" i="27" s="1"/>
  <c r="O356" i="27" s="1"/>
  <c r="P356" i="27" s="1"/>
  <c r="M308" i="27"/>
  <c r="N308" i="27" s="1"/>
  <c r="O308" i="27" s="1"/>
  <c r="P308" i="27" s="1"/>
  <c r="M292" i="27"/>
  <c r="N292" i="27" s="1"/>
  <c r="O292" i="27" s="1"/>
  <c r="P292" i="27" s="1"/>
  <c r="M228" i="27"/>
  <c r="N228" i="27" s="1"/>
  <c r="O228" i="27" s="1"/>
  <c r="P228" i="27" s="1"/>
  <c r="M224" i="27"/>
  <c r="N224" i="27" s="1"/>
  <c r="O224" i="27" s="1"/>
  <c r="P224" i="27" s="1"/>
  <c r="M177" i="27"/>
  <c r="N177" i="27" s="1"/>
  <c r="O177" i="27" s="1"/>
  <c r="P177" i="27" s="1"/>
  <c r="M366" i="27"/>
  <c r="N366" i="27" s="1"/>
  <c r="O366" i="27" s="1"/>
  <c r="P366" i="27" s="1"/>
  <c r="M311" i="27"/>
  <c r="N311" i="27" s="1"/>
  <c r="O311" i="27" s="1"/>
  <c r="P311" i="27" s="1"/>
  <c r="M288" i="27"/>
  <c r="N288" i="27" s="1"/>
  <c r="O288" i="27" s="1"/>
  <c r="P288" i="27" s="1"/>
  <c r="M271" i="27"/>
  <c r="N271" i="27" s="1"/>
  <c r="O271" i="27" s="1"/>
  <c r="P271" i="27" s="1"/>
  <c r="M267" i="27"/>
  <c r="N267" i="27" s="1"/>
  <c r="O267" i="27" s="1"/>
  <c r="P267" i="27" s="1"/>
  <c r="M220" i="27"/>
  <c r="N220" i="27" s="1"/>
  <c r="O220" i="27" s="1"/>
  <c r="P220" i="27" s="1"/>
  <c r="M216" i="27"/>
  <c r="N216" i="27" s="1"/>
  <c r="O216" i="27" s="1"/>
  <c r="P216" i="27" s="1"/>
  <c r="M207" i="27"/>
  <c r="N207" i="27" s="1"/>
  <c r="O207" i="27" s="1"/>
  <c r="P207" i="27" s="1"/>
  <c r="M198" i="27"/>
  <c r="N198" i="27" s="1"/>
  <c r="O198" i="27" s="1"/>
  <c r="P198" i="27" s="1"/>
  <c r="M194" i="27"/>
  <c r="N194" i="27" s="1"/>
  <c r="O194" i="27" s="1"/>
  <c r="P194" i="27" s="1"/>
  <c r="M301" i="27"/>
  <c r="N301" i="27" s="1"/>
  <c r="O301" i="27" s="1"/>
  <c r="P301" i="27" s="1"/>
  <c r="M263" i="27"/>
  <c r="N263" i="27" s="1"/>
  <c r="O263" i="27" s="1"/>
  <c r="P263" i="27" s="1"/>
  <c r="M190" i="27"/>
  <c r="N190" i="27" s="1"/>
  <c r="O190" i="27" s="1"/>
  <c r="P190" i="27" s="1"/>
  <c r="M186" i="27"/>
  <c r="N186" i="27" s="1"/>
  <c r="O186" i="27" s="1"/>
  <c r="P186" i="27" s="1"/>
  <c r="M461" i="27"/>
  <c r="N461" i="27" s="1"/>
  <c r="O461" i="27" s="1"/>
  <c r="P461" i="27" s="1"/>
  <c r="M454" i="27"/>
  <c r="N454" i="27" s="1"/>
  <c r="O454" i="27" s="1"/>
  <c r="P454" i="27" s="1"/>
  <c r="M431" i="27"/>
  <c r="N431" i="27" s="1"/>
  <c r="O431" i="27" s="1"/>
  <c r="P431" i="27" s="1"/>
  <c r="M406" i="27"/>
  <c r="N406" i="27" s="1"/>
  <c r="O406" i="27" s="1"/>
  <c r="P406" i="27" s="1"/>
  <c r="M399" i="27"/>
  <c r="N399" i="27" s="1"/>
  <c r="O399" i="27" s="1"/>
  <c r="P399" i="27" s="1"/>
  <c r="M385" i="27"/>
  <c r="N385" i="27" s="1"/>
  <c r="O385" i="27" s="1"/>
  <c r="P385" i="27" s="1"/>
  <c r="M305" i="27"/>
  <c r="N305" i="27" s="1"/>
  <c r="O305" i="27" s="1"/>
  <c r="P305" i="27" s="1"/>
  <c r="M276" i="27"/>
  <c r="N276" i="27" s="1"/>
  <c r="O276" i="27" s="1"/>
  <c r="P276" i="27" s="1"/>
  <c r="M255" i="27"/>
  <c r="N255" i="27" s="1"/>
  <c r="O255" i="27" s="1"/>
  <c r="P255" i="27" s="1"/>
  <c r="M237" i="27"/>
  <c r="N237" i="27" s="1"/>
  <c r="O237" i="27" s="1"/>
  <c r="P237" i="27" s="1"/>
  <c r="M157" i="27"/>
  <c r="N157" i="27" s="1"/>
  <c r="O157" i="27" s="1"/>
  <c r="P157" i="27" s="1"/>
  <c r="M500" i="27"/>
  <c r="N500" i="27" s="1"/>
  <c r="O500" i="27" s="1"/>
  <c r="P500" i="27" s="1"/>
  <c r="M436" i="27"/>
  <c r="N436" i="27" s="1"/>
  <c r="O436" i="27" s="1"/>
  <c r="P436" i="27" s="1"/>
  <c r="M450" i="27"/>
  <c r="N450" i="27" s="1"/>
  <c r="O450" i="27" s="1"/>
  <c r="P450" i="27" s="1"/>
  <c r="M387" i="27"/>
  <c r="N387" i="27" s="1"/>
  <c r="O387" i="27" s="1"/>
  <c r="P387" i="27" s="1"/>
  <c r="M355" i="27"/>
  <c r="N355" i="27" s="1"/>
  <c r="O355" i="27" s="1"/>
  <c r="P355" i="27" s="1"/>
  <c r="M345" i="27"/>
  <c r="N345" i="27" s="1"/>
  <c r="O345" i="27" s="1"/>
  <c r="P345" i="27" s="1"/>
  <c r="M423" i="27"/>
  <c r="N423" i="27" s="1"/>
  <c r="O423" i="27" s="1"/>
  <c r="P423" i="27" s="1"/>
  <c r="M365" i="27"/>
  <c r="N365" i="27" s="1"/>
  <c r="O365" i="27" s="1"/>
  <c r="P365" i="27" s="1"/>
  <c r="M353" i="27"/>
  <c r="N353" i="27" s="1"/>
  <c r="O353" i="27" s="1"/>
  <c r="P353" i="27" s="1"/>
  <c r="M349" i="27"/>
  <c r="N349" i="27" s="1"/>
  <c r="O349" i="27" s="1"/>
  <c r="P349" i="27" s="1"/>
  <c r="M324" i="27"/>
  <c r="N324" i="27" s="1"/>
  <c r="O324" i="27" s="1"/>
  <c r="P324" i="27" s="1"/>
  <c r="M298" i="27"/>
  <c r="N298" i="27" s="1"/>
  <c r="O298" i="27" s="1"/>
  <c r="P298" i="27" s="1"/>
  <c r="M281" i="27"/>
  <c r="N281" i="27" s="1"/>
  <c r="O281" i="27" s="1"/>
  <c r="P281" i="27" s="1"/>
  <c r="M589" i="27"/>
  <c r="N589" i="27" s="1"/>
  <c r="O589" i="27" s="1"/>
  <c r="P589" i="27" s="1"/>
  <c r="M410" i="27"/>
  <c r="N410" i="27" s="1"/>
  <c r="O410" i="27" s="1"/>
  <c r="P410" i="27" s="1"/>
  <c r="M396" i="27"/>
  <c r="N396" i="27" s="1"/>
  <c r="O396" i="27" s="1"/>
  <c r="P396" i="27" s="1"/>
  <c r="M363" i="27"/>
  <c r="N363" i="27" s="1"/>
  <c r="O363" i="27" s="1"/>
  <c r="P363" i="27" s="1"/>
  <c r="M497" i="27"/>
  <c r="N497" i="27" s="1"/>
  <c r="O497" i="27" s="1"/>
  <c r="P497" i="27" s="1"/>
  <c r="M578" i="27"/>
  <c r="N578" i="27" s="1"/>
  <c r="O578" i="27" s="1"/>
  <c r="P578" i="27" s="1"/>
  <c r="M466" i="27"/>
  <c r="N466" i="27" s="1"/>
  <c r="O466" i="27" s="1"/>
  <c r="P466" i="27" s="1"/>
  <c r="M379" i="27"/>
  <c r="N379" i="27" s="1"/>
  <c r="O379" i="27" s="1"/>
  <c r="P379" i="27" s="1"/>
  <c r="M339" i="27"/>
  <c r="N339" i="27" s="1"/>
  <c r="O339" i="27" s="1"/>
  <c r="P339" i="27" s="1"/>
  <c r="M402" i="27"/>
  <c r="N402" i="27" s="1"/>
  <c r="O402" i="27" s="1"/>
  <c r="P402" i="27" s="1"/>
  <c r="M394" i="27"/>
  <c r="N394" i="27" s="1"/>
  <c r="O394" i="27" s="1"/>
  <c r="P394" i="27" s="1"/>
  <c r="M215" i="27"/>
  <c r="N215" i="27" s="1"/>
  <c r="O215" i="27" s="1"/>
  <c r="P215" i="27" s="1"/>
  <c r="M283" i="27"/>
  <c r="N283" i="27" s="1"/>
  <c r="O283" i="27" s="1"/>
  <c r="P283" i="27" s="1"/>
  <c r="M274" i="27"/>
  <c r="N274" i="27" s="1"/>
  <c r="O274" i="27" s="1"/>
  <c r="P274" i="27" s="1"/>
  <c r="M269" i="27"/>
  <c r="N269" i="27" s="1"/>
  <c r="O269" i="27" s="1"/>
  <c r="P269" i="27" s="1"/>
  <c r="M264" i="27"/>
  <c r="N264" i="27" s="1"/>
  <c r="O264" i="27" s="1"/>
  <c r="P264" i="27" s="1"/>
  <c r="M238" i="27"/>
  <c r="N238" i="27" s="1"/>
  <c r="O238" i="27" s="1"/>
  <c r="P238" i="27" s="1"/>
  <c r="M197" i="27"/>
  <c r="N197" i="27" s="1"/>
  <c r="O197" i="27" s="1"/>
  <c r="P197" i="27" s="1"/>
  <c r="M369" i="27"/>
  <c r="N369" i="27" s="1"/>
  <c r="O369" i="27" s="1"/>
  <c r="P369" i="27" s="1"/>
  <c r="M328" i="27"/>
  <c r="N328" i="27" s="1"/>
  <c r="O328" i="27" s="1"/>
  <c r="P328" i="27" s="1"/>
  <c r="M210" i="27"/>
  <c r="N210" i="27" s="1"/>
  <c r="O210" i="27" s="1"/>
  <c r="P210" i="27" s="1"/>
  <c r="M175" i="27"/>
  <c r="N175" i="27" s="1"/>
  <c r="O175" i="27" s="1"/>
  <c r="P175" i="27" s="1"/>
  <c r="M147" i="27"/>
  <c r="N147" i="27" s="1"/>
  <c r="O147" i="27" s="1"/>
  <c r="P147" i="27" s="1"/>
  <c r="M143" i="27"/>
  <c r="N143" i="27" s="1"/>
  <c r="O143" i="27" s="1"/>
  <c r="P143" i="27" s="1"/>
  <c r="M105" i="27"/>
  <c r="N105" i="27" s="1"/>
  <c r="O105" i="27" s="1"/>
  <c r="P105" i="27" s="1"/>
  <c r="M88" i="27"/>
  <c r="N88" i="27" s="1"/>
  <c r="O88" i="27" s="1"/>
  <c r="P88" i="27" s="1"/>
  <c r="M84" i="27"/>
  <c r="N84" i="27" s="1"/>
  <c r="O84" i="27" s="1"/>
  <c r="P84" i="27" s="1"/>
  <c r="M553" i="27"/>
  <c r="N553" i="27" s="1"/>
  <c r="O553" i="27" s="1"/>
  <c r="P553" i="27" s="1"/>
  <c r="M362" i="27"/>
  <c r="N362" i="27" s="1"/>
  <c r="O362" i="27" s="1"/>
  <c r="P362" i="27" s="1"/>
  <c r="M307" i="27"/>
  <c r="N307" i="27" s="1"/>
  <c r="O307" i="27" s="1"/>
  <c r="P307" i="27" s="1"/>
  <c r="M303" i="27"/>
  <c r="N303" i="27" s="1"/>
  <c r="O303" i="27" s="1"/>
  <c r="P303" i="27" s="1"/>
  <c r="M257" i="27"/>
  <c r="N257" i="27" s="1"/>
  <c r="O257" i="27" s="1"/>
  <c r="P257" i="27" s="1"/>
  <c r="M223" i="27"/>
  <c r="N223" i="27" s="1"/>
  <c r="O223" i="27" s="1"/>
  <c r="P223" i="27" s="1"/>
  <c r="M170" i="27"/>
  <c r="N170" i="27" s="1"/>
  <c r="O170" i="27" s="1"/>
  <c r="P170" i="27" s="1"/>
  <c r="M164" i="27"/>
  <c r="N164" i="27" s="1"/>
  <c r="O164" i="27" s="1"/>
  <c r="P164" i="27" s="1"/>
  <c r="M159" i="27"/>
  <c r="N159" i="27" s="1"/>
  <c r="O159" i="27" s="1"/>
  <c r="P159" i="27" s="1"/>
  <c r="M135" i="27"/>
  <c r="N135" i="27" s="1"/>
  <c r="O135" i="27" s="1"/>
  <c r="P135" i="27" s="1"/>
  <c r="M131" i="27"/>
  <c r="N131" i="27" s="1"/>
  <c r="O131" i="27" s="1"/>
  <c r="P131" i="27" s="1"/>
  <c r="M80" i="27"/>
  <c r="N80" i="27" s="1"/>
  <c r="O80" i="27" s="1"/>
  <c r="P80" i="27" s="1"/>
  <c r="M63" i="27"/>
  <c r="N63" i="27" s="1"/>
  <c r="O63" i="27" s="1"/>
  <c r="P63" i="27" s="1"/>
  <c r="M415" i="27"/>
  <c r="N415" i="27" s="1"/>
  <c r="O415" i="27" s="1"/>
  <c r="P415" i="27" s="1"/>
  <c r="M260" i="27"/>
  <c r="N260" i="27" s="1"/>
  <c r="O260" i="27" s="1"/>
  <c r="P260" i="27" s="1"/>
  <c r="M302" i="27"/>
  <c r="N302" i="27" s="1"/>
  <c r="O302" i="27" s="1"/>
  <c r="P302" i="27" s="1"/>
  <c r="M268" i="27"/>
  <c r="N268" i="27" s="1"/>
  <c r="O268" i="27" s="1"/>
  <c r="P268" i="27" s="1"/>
  <c r="M219" i="27"/>
  <c r="N219" i="27" s="1"/>
  <c r="O219" i="27" s="1"/>
  <c r="P219" i="27" s="1"/>
  <c r="M209" i="27"/>
  <c r="N209" i="27" s="1"/>
  <c r="O209" i="27" s="1"/>
  <c r="P209" i="27" s="1"/>
  <c r="M435" i="27"/>
  <c r="N435" i="27" s="1"/>
  <c r="O435" i="27" s="1"/>
  <c r="P435" i="27" s="1"/>
  <c r="M403" i="27"/>
  <c r="N403" i="27" s="1"/>
  <c r="O403" i="27" s="1"/>
  <c r="P403" i="27" s="1"/>
  <c r="M285" i="27"/>
  <c r="N285" i="27" s="1"/>
  <c r="O285" i="27" s="1"/>
  <c r="P285" i="27" s="1"/>
  <c r="M179" i="27"/>
  <c r="N179" i="27" s="1"/>
  <c r="O179" i="27" s="1"/>
  <c r="P179" i="27" s="1"/>
  <c r="M150" i="27"/>
  <c r="N150" i="27" s="1"/>
  <c r="O150" i="27" s="1"/>
  <c r="P150" i="27" s="1"/>
  <c r="M141" i="27"/>
  <c r="N141" i="27" s="1"/>
  <c r="O141" i="27" s="1"/>
  <c r="P141" i="27" s="1"/>
  <c r="M98" i="27"/>
  <c r="N98" i="27" s="1"/>
  <c r="O98" i="27" s="1"/>
  <c r="P98" i="27" s="1"/>
  <c r="M375" i="27"/>
  <c r="N375" i="27" s="1"/>
  <c r="O375" i="27" s="1"/>
  <c r="P375" i="27" s="1"/>
  <c r="M128" i="27"/>
  <c r="N128" i="27" s="1"/>
  <c r="O128" i="27" s="1"/>
  <c r="P128" i="27" s="1"/>
  <c r="M299" i="27"/>
  <c r="N299" i="27" s="1"/>
  <c r="O299" i="27" s="1"/>
  <c r="P299" i="27" s="1"/>
  <c r="M266" i="27"/>
  <c r="N266" i="27" s="1"/>
  <c r="O266" i="27" s="1"/>
  <c r="P266" i="27" s="1"/>
  <c r="M172" i="27"/>
  <c r="N172" i="27" s="1"/>
  <c r="O172" i="27" s="1"/>
  <c r="P172" i="27" s="1"/>
  <c r="M160" i="27"/>
  <c r="N160" i="27" s="1"/>
  <c r="O160" i="27" s="1"/>
  <c r="P160" i="27" s="1"/>
  <c r="M384" i="27"/>
  <c r="N384" i="27" s="1"/>
  <c r="O384" i="27" s="1"/>
  <c r="P384" i="27" s="1"/>
  <c r="M289" i="27"/>
  <c r="N289" i="27" s="1"/>
  <c r="O289" i="27" s="1"/>
  <c r="P289" i="27" s="1"/>
  <c r="M282" i="27"/>
  <c r="N282" i="27" s="1"/>
  <c r="O282" i="27" s="1"/>
  <c r="P282" i="27" s="1"/>
  <c r="M259" i="27"/>
  <c r="N259" i="27" s="1"/>
  <c r="O259" i="27" s="1"/>
  <c r="P259" i="27" s="1"/>
  <c r="M153" i="27"/>
  <c r="N153" i="27" s="1"/>
  <c r="O153" i="27" s="1"/>
  <c r="P153" i="27" s="1"/>
  <c r="M315" i="27"/>
  <c r="N315" i="27" s="1"/>
  <c r="O315" i="27" s="1"/>
  <c r="P315" i="27" s="1"/>
  <c r="M277" i="27"/>
  <c r="N277" i="27" s="1"/>
  <c r="O277" i="27" s="1"/>
  <c r="P277" i="27" s="1"/>
  <c r="M235" i="27"/>
  <c r="N235" i="27" s="1"/>
  <c r="O235" i="27" s="1"/>
  <c r="P235" i="27" s="1"/>
  <c r="M148" i="27"/>
  <c r="N148" i="27" s="1"/>
  <c r="O148" i="27" s="1"/>
  <c r="P148" i="27" s="1"/>
  <c r="M334" i="27"/>
  <c r="N334" i="27" s="1"/>
  <c r="O334" i="27" s="1"/>
  <c r="P334" i="27" s="1"/>
  <c r="M306" i="27"/>
  <c r="N306" i="27" s="1"/>
  <c r="O306" i="27" s="1"/>
  <c r="P306" i="27" s="1"/>
  <c r="M239" i="27"/>
  <c r="N239" i="27" s="1"/>
  <c r="O239" i="27" s="1"/>
  <c r="P239" i="27" s="1"/>
  <c r="M229" i="27"/>
  <c r="N229" i="27" s="1"/>
  <c r="O229" i="27" s="1"/>
  <c r="P229" i="27" s="1"/>
  <c r="M132" i="27"/>
  <c r="N132" i="27" s="1"/>
  <c r="O132" i="27" s="1"/>
  <c r="P132" i="27" s="1"/>
  <c r="M414" i="27"/>
  <c r="N414" i="27" s="1"/>
  <c r="O414" i="27" s="1"/>
  <c r="P414" i="27" s="1"/>
  <c r="M341" i="27"/>
  <c r="N341" i="27" s="1"/>
  <c r="O341" i="27" s="1"/>
  <c r="P341" i="27" s="1"/>
  <c r="M270" i="27"/>
  <c r="N270" i="27" s="1"/>
  <c r="O270" i="27" s="1"/>
  <c r="P270" i="27" s="1"/>
  <c r="M231" i="27"/>
  <c r="N231" i="27" s="1"/>
  <c r="O231" i="27" s="1"/>
  <c r="P231" i="27" s="1"/>
  <c r="M227" i="27"/>
  <c r="N227" i="27" s="1"/>
  <c r="O227" i="27" s="1"/>
  <c r="P227" i="27" s="1"/>
  <c r="M225" i="27"/>
  <c r="N225" i="27" s="1"/>
  <c r="O225" i="27" s="1"/>
  <c r="P225" i="27" s="1"/>
  <c r="M327" i="27"/>
  <c r="N327" i="27" s="1"/>
  <c r="O327" i="27" s="1"/>
  <c r="P327" i="27" s="1"/>
  <c r="M293" i="27"/>
  <c r="N293" i="27" s="1"/>
  <c r="O293" i="27" s="1"/>
  <c r="P293" i="27" s="1"/>
  <c r="M317" i="27"/>
  <c r="N317" i="27" s="1"/>
  <c r="O317" i="27" s="1"/>
  <c r="P317" i="27" s="1"/>
  <c r="M407" i="27"/>
  <c r="N407" i="27" s="1"/>
  <c r="O407" i="27" s="1"/>
  <c r="P407" i="27" s="1"/>
  <c r="M422" i="27"/>
  <c r="N422" i="27" s="1"/>
  <c r="O422" i="27" s="1"/>
  <c r="P422" i="27" s="1"/>
  <c r="M320" i="27"/>
  <c r="N320" i="27" s="1"/>
  <c r="O320" i="27" s="1"/>
  <c r="P320" i="27" s="1"/>
  <c r="M381" i="27"/>
  <c r="N381" i="27" s="1"/>
  <c r="O381" i="27" s="1"/>
  <c r="P381" i="27" s="1"/>
  <c r="M280" i="27"/>
  <c r="N280" i="27" s="1"/>
  <c r="O280" i="27" s="1"/>
  <c r="P280" i="27" s="1"/>
  <c r="M136" i="27"/>
  <c r="N136" i="27" s="1"/>
  <c r="O136" i="27" s="1"/>
  <c r="P136" i="27" s="1"/>
  <c r="M93" i="27"/>
  <c r="N93" i="27" s="1"/>
  <c r="O93" i="27" s="1"/>
  <c r="P93" i="27" s="1"/>
  <c r="M70" i="27"/>
  <c r="N70" i="27" s="1"/>
  <c r="O70" i="27" s="1"/>
  <c r="P70" i="27" s="1"/>
  <c r="M57" i="27"/>
  <c r="N57" i="27" s="1"/>
  <c r="O57" i="27" s="1"/>
  <c r="P57" i="27" s="1"/>
  <c r="M29" i="27"/>
  <c r="N29" i="27" s="1"/>
  <c r="O29" i="27" s="1"/>
  <c r="P29" i="27" s="1"/>
  <c r="M296" i="27"/>
  <c r="N296" i="27" s="1"/>
  <c r="O296" i="27" s="1"/>
  <c r="P296" i="27" s="1"/>
  <c r="M176" i="27"/>
  <c r="N176" i="27" s="1"/>
  <c r="O176" i="27" s="1"/>
  <c r="P176" i="27" s="1"/>
  <c r="M87" i="27"/>
  <c r="N87" i="27" s="1"/>
  <c r="O87" i="27" s="1"/>
  <c r="P87" i="27" s="1"/>
  <c r="M77" i="27"/>
  <c r="N77" i="27" s="1"/>
  <c r="O77" i="27" s="1"/>
  <c r="P77" i="27" s="1"/>
  <c r="M67" i="27"/>
  <c r="N67" i="27" s="1"/>
  <c r="O67" i="27" s="1"/>
  <c r="P67" i="27" s="1"/>
  <c r="M46" i="27"/>
  <c r="N46" i="27" s="1"/>
  <c r="O46" i="27" s="1"/>
  <c r="P46" i="27" s="1"/>
  <c r="M335" i="27"/>
  <c r="N335" i="27" s="1"/>
  <c r="O335" i="27" s="1"/>
  <c r="P335" i="27" s="1"/>
  <c r="M178" i="27"/>
  <c r="N178" i="27" s="1"/>
  <c r="O178" i="27" s="1"/>
  <c r="P178" i="27" s="1"/>
  <c r="M171" i="27"/>
  <c r="N171" i="27" s="1"/>
  <c r="O171" i="27" s="1"/>
  <c r="P171" i="27" s="1"/>
  <c r="M169" i="27"/>
  <c r="N169" i="27" s="1"/>
  <c r="O169" i="27" s="1"/>
  <c r="P169" i="27" s="1"/>
  <c r="M162" i="27"/>
  <c r="N162" i="27" s="1"/>
  <c r="O162" i="27" s="1"/>
  <c r="P162" i="27" s="1"/>
  <c r="M126" i="27"/>
  <c r="N126" i="27" s="1"/>
  <c r="O126" i="27" s="1"/>
  <c r="P126" i="27" s="1"/>
  <c r="M113" i="27"/>
  <c r="N113" i="27" s="1"/>
  <c r="O113" i="27" s="1"/>
  <c r="P113" i="27" s="1"/>
  <c r="M102" i="27"/>
  <c r="N102" i="27" s="1"/>
  <c r="O102" i="27" s="1"/>
  <c r="P102" i="27" s="1"/>
  <c r="M99" i="27"/>
  <c r="N99" i="27" s="1"/>
  <c r="O99" i="27" s="1"/>
  <c r="P99" i="27" s="1"/>
  <c r="M96" i="27"/>
  <c r="N96" i="27" s="1"/>
  <c r="O96" i="27" s="1"/>
  <c r="P96" i="27" s="1"/>
  <c r="M218" i="27"/>
  <c r="N218" i="27" s="1"/>
  <c r="O218" i="27" s="1"/>
  <c r="P218" i="27" s="1"/>
  <c r="M189" i="27"/>
  <c r="N189" i="27" s="1"/>
  <c r="O189" i="27" s="1"/>
  <c r="P189" i="27" s="1"/>
  <c r="M121" i="27"/>
  <c r="N121" i="27" s="1"/>
  <c r="O121" i="27" s="1"/>
  <c r="P121" i="27" s="1"/>
  <c r="M64" i="27"/>
  <c r="N64" i="27" s="1"/>
  <c r="O64" i="27" s="1"/>
  <c r="P64" i="27" s="1"/>
  <c r="M61" i="27"/>
  <c r="N61" i="27" s="1"/>
  <c r="O61" i="27" s="1"/>
  <c r="P61" i="27" s="1"/>
  <c r="M291" i="27"/>
  <c r="N291" i="27" s="1"/>
  <c r="O291" i="27" s="1"/>
  <c r="P291" i="27" s="1"/>
  <c r="M116" i="27"/>
  <c r="N116" i="27" s="1"/>
  <c r="O116" i="27" s="1"/>
  <c r="P116" i="27" s="1"/>
  <c r="M377" i="27"/>
  <c r="N377" i="27" s="1"/>
  <c r="O377" i="27" s="1"/>
  <c r="P377" i="27" s="1"/>
  <c r="M120" i="27"/>
  <c r="N120" i="27" s="1"/>
  <c r="O120" i="27" s="1"/>
  <c r="P120" i="27" s="1"/>
  <c r="M95" i="27"/>
  <c r="N95" i="27" s="1"/>
  <c r="O95" i="27" s="1"/>
  <c r="P95" i="27" s="1"/>
  <c r="M86" i="27"/>
  <c r="N86" i="27" s="1"/>
  <c r="O86" i="27" s="1"/>
  <c r="P86" i="27" s="1"/>
  <c r="M76" i="27"/>
  <c r="N76" i="27" s="1"/>
  <c r="O76" i="27" s="1"/>
  <c r="P76" i="27" s="1"/>
  <c r="M297" i="27"/>
  <c r="N297" i="27" s="1"/>
  <c r="O297" i="27" s="1"/>
  <c r="P297" i="27" s="1"/>
  <c r="M234" i="27"/>
  <c r="N234" i="27" s="1"/>
  <c r="M188" i="27"/>
  <c r="N188" i="27" s="1"/>
  <c r="O188" i="27" s="1"/>
  <c r="P188" i="27" s="1"/>
  <c r="M154" i="27"/>
  <c r="N154" i="27" s="1"/>
  <c r="O154" i="27" s="1"/>
  <c r="P154" i="27" s="1"/>
  <c r="M140" i="27"/>
  <c r="N140" i="27" s="1"/>
  <c r="O140" i="27" s="1"/>
  <c r="P140" i="27" s="1"/>
  <c r="M59" i="27"/>
  <c r="N59" i="27" s="1"/>
  <c r="O59" i="27" s="1"/>
  <c r="P59" i="27" s="1"/>
  <c r="M55" i="27"/>
  <c r="N55" i="27" s="1"/>
  <c r="O55" i="27" s="1"/>
  <c r="P55" i="27" s="1"/>
  <c r="M47" i="27"/>
  <c r="N47" i="27" s="1"/>
  <c r="O47" i="27" s="1"/>
  <c r="P47" i="27" s="1"/>
  <c r="M44" i="27"/>
  <c r="N44" i="27" s="1"/>
  <c r="O44" i="27" s="1"/>
  <c r="P44" i="27" s="1"/>
  <c r="M41" i="27"/>
  <c r="N41" i="27" s="1"/>
  <c r="O41" i="27" s="1"/>
  <c r="P41" i="27" s="1"/>
  <c r="M71" i="27"/>
  <c r="N71" i="27" s="1"/>
  <c r="O71" i="27" s="1"/>
  <c r="P71" i="27" s="1"/>
  <c r="M222" i="27"/>
  <c r="N222" i="27" s="1"/>
  <c r="O222" i="27" s="1"/>
  <c r="P222" i="27" s="1"/>
  <c r="M35" i="27"/>
  <c r="N35" i="27" s="1"/>
  <c r="O35" i="27" s="1"/>
  <c r="P35" i="27" s="1"/>
  <c r="M278" i="27"/>
  <c r="N278" i="27" s="1"/>
  <c r="O278" i="27" s="1"/>
  <c r="P278" i="27" s="1"/>
  <c r="M174" i="27"/>
  <c r="N174" i="27" s="1"/>
  <c r="O174" i="27" s="1"/>
  <c r="P174" i="27" s="1"/>
  <c r="M230" i="27"/>
  <c r="N230" i="27" s="1"/>
  <c r="O230" i="27" s="1"/>
  <c r="P230" i="27" s="1"/>
  <c r="M217" i="27"/>
  <c r="N217" i="27" s="1"/>
  <c r="O217" i="27" s="1"/>
  <c r="P217" i="27" s="1"/>
  <c r="M137" i="27"/>
  <c r="N137" i="27" s="1"/>
  <c r="O137" i="27" s="1"/>
  <c r="P137" i="27" s="1"/>
  <c r="M108" i="27"/>
  <c r="N108" i="27" s="1"/>
  <c r="O108" i="27" s="1"/>
  <c r="P108" i="27" s="1"/>
  <c r="M11" i="27"/>
  <c r="N11" i="27" s="1"/>
  <c r="O11" i="27" s="1"/>
  <c r="P11" i="27" s="1"/>
  <c r="M7" i="27"/>
  <c r="N7" i="27" s="1"/>
  <c r="O7" i="27" s="1"/>
  <c r="P7" i="27" s="1"/>
  <c r="M101" i="27"/>
  <c r="N101" i="27" s="1"/>
  <c r="O101" i="27" s="1"/>
  <c r="P101" i="27" s="1"/>
  <c r="M94" i="27"/>
  <c r="N94" i="27" s="1"/>
  <c r="O94" i="27" s="1"/>
  <c r="P94" i="27" s="1"/>
  <c r="M65" i="27"/>
  <c r="N65" i="27" s="1"/>
  <c r="O65" i="27" s="1"/>
  <c r="P65" i="27" s="1"/>
  <c r="M32" i="27"/>
  <c r="N32" i="27" s="1"/>
  <c r="O32" i="27" s="1"/>
  <c r="P32" i="27" s="1"/>
  <c r="M226" i="27"/>
  <c r="N226" i="27" s="1"/>
  <c r="O226" i="27" s="1"/>
  <c r="P226" i="27" s="1"/>
  <c r="M206" i="27"/>
  <c r="N206" i="27" s="1"/>
  <c r="O206" i="27" s="1"/>
  <c r="P206" i="27" s="1"/>
  <c r="M195" i="27"/>
  <c r="N195" i="27" s="1"/>
  <c r="O195" i="27" s="1"/>
  <c r="P195" i="27" s="1"/>
  <c r="M184" i="27"/>
  <c r="N184" i="27" s="1"/>
  <c r="O184" i="27" s="1"/>
  <c r="P184" i="27" s="1"/>
  <c r="M115" i="27"/>
  <c r="N115" i="27" s="1"/>
  <c r="O115" i="27" s="1"/>
  <c r="P115" i="27" s="1"/>
  <c r="M69" i="27"/>
  <c r="N69" i="27" s="1"/>
  <c r="O69" i="27" s="1"/>
  <c r="P69" i="27" s="1"/>
  <c r="M346" i="27"/>
  <c r="N346" i="27" s="1"/>
  <c r="O346" i="27" s="1"/>
  <c r="P346" i="27" s="1"/>
  <c r="M318" i="27"/>
  <c r="N318" i="27" s="1"/>
  <c r="O318" i="27" s="1"/>
  <c r="P318" i="27" s="1"/>
  <c r="M262" i="27"/>
  <c r="N262" i="27" s="1"/>
  <c r="O262" i="27" s="1"/>
  <c r="P262" i="27" s="1"/>
  <c r="M173" i="27"/>
  <c r="N173" i="27" s="1"/>
  <c r="O173" i="27" s="1"/>
  <c r="P173" i="27" s="1"/>
  <c r="M127" i="27"/>
  <c r="N127" i="27" s="1"/>
  <c r="O127" i="27" s="1"/>
  <c r="P127" i="27" s="1"/>
  <c r="M85" i="27"/>
  <c r="N85" i="27" s="1"/>
  <c r="O85" i="27" s="1"/>
  <c r="P85" i="27" s="1"/>
  <c r="M75" i="27"/>
  <c r="N75" i="27" s="1"/>
  <c r="O75" i="27" s="1"/>
  <c r="P75" i="27" s="1"/>
  <c r="M48" i="27"/>
  <c r="N48" i="27" s="1"/>
  <c r="O48" i="27" s="1"/>
  <c r="P48" i="27" s="1"/>
  <c r="M42" i="27"/>
  <c r="N42" i="27" s="1"/>
  <c r="O42" i="27" s="1"/>
  <c r="P42" i="27" s="1"/>
  <c r="M187" i="27"/>
  <c r="N187" i="27" s="1"/>
  <c r="O187" i="27" s="1"/>
  <c r="P187" i="27" s="1"/>
  <c r="M56" i="27"/>
  <c r="N56" i="27" s="1"/>
  <c r="O56" i="27" s="1"/>
  <c r="P56" i="27" s="1"/>
  <c r="M168" i="27"/>
  <c r="N168" i="27" s="1"/>
  <c r="O168" i="27" s="1"/>
  <c r="P168" i="27" s="1"/>
  <c r="M62" i="27"/>
  <c r="N62" i="27" s="1"/>
  <c r="O62" i="27" s="1"/>
  <c r="P62" i="27" s="1"/>
  <c r="M52" i="27"/>
  <c r="N52" i="27" s="1"/>
  <c r="O52" i="27" s="1"/>
  <c r="P52" i="27" s="1"/>
  <c r="M43" i="27"/>
  <c r="N43" i="27" s="1"/>
  <c r="O43" i="27" s="1"/>
  <c r="P43" i="27" s="1"/>
  <c r="M9" i="27"/>
  <c r="N9" i="27" s="1"/>
  <c r="O9" i="27" s="1"/>
  <c r="P9" i="27" s="1"/>
  <c r="M286" i="27"/>
  <c r="N286" i="27" s="1"/>
  <c r="O286" i="27" s="1"/>
  <c r="P286" i="27" s="1"/>
  <c r="M182" i="27"/>
  <c r="N182" i="27" s="1"/>
  <c r="O182" i="27" s="1"/>
  <c r="P182" i="27" s="1"/>
  <c r="M138" i="27"/>
  <c r="N138" i="27" s="1"/>
  <c r="O138" i="27" s="1"/>
  <c r="P138" i="27" s="1"/>
  <c r="M37" i="27"/>
  <c r="N37" i="27" s="1"/>
  <c r="O37" i="27" s="1"/>
  <c r="P37" i="27" s="1"/>
  <c r="M196" i="27"/>
  <c r="N196" i="27" s="1"/>
  <c r="O196" i="27" s="1"/>
  <c r="P196" i="27" s="1"/>
  <c r="M111" i="27"/>
  <c r="N111" i="27" s="1"/>
  <c r="O111" i="27" s="1"/>
  <c r="P111" i="27" s="1"/>
  <c r="M109" i="27"/>
  <c r="N109" i="27" s="1"/>
  <c r="O109" i="27" s="1"/>
  <c r="P109" i="27" s="1"/>
  <c r="M82" i="27"/>
  <c r="N82" i="27" s="1"/>
  <c r="O82" i="27" s="1"/>
  <c r="P82" i="27" s="1"/>
  <c r="M31" i="27"/>
  <c r="N31" i="27" s="1"/>
  <c r="O31" i="27" s="1"/>
  <c r="P31" i="27" s="1"/>
  <c r="M14" i="27"/>
  <c r="N14" i="27" s="1"/>
  <c r="O14" i="27" s="1"/>
  <c r="P14" i="27" s="1"/>
  <c r="M201" i="27"/>
  <c r="N201" i="27" s="1"/>
  <c r="O201" i="27" s="1"/>
  <c r="P201" i="27" s="1"/>
  <c r="M79" i="27"/>
  <c r="N79" i="27" s="1"/>
  <c r="O79" i="27" s="1"/>
  <c r="P79" i="27" s="1"/>
  <c r="M68" i="27"/>
  <c r="N68" i="27" s="1"/>
  <c r="O68" i="27" s="1"/>
  <c r="P68" i="27" s="1"/>
  <c r="M144" i="27"/>
  <c r="N144" i="27" s="1"/>
  <c r="O144" i="27" s="1"/>
  <c r="P144" i="27" s="1"/>
  <c r="M183" i="27"/>
  <c r="N183" i="27" s="1"/>
  <c r="O183" i="27" s="1"/>
  <c r="P183" i="27" s="1"/>
  <c r="M8" i="27"/>
  <c r="N8" i="27" s="1"/>
  <c r="O8" i="27" s="1"/>
  <c r="P8" i="27" s="1"/>
  <c r="M123" i="27"/>
  <c r="N123" i="27" s="1"/>
  <c r="O123" i="27" s="1"/>
  <c r="P123" i="27" s="1"/>
  <c r="M49" i="27"/>
  <c r="N49" i="27" s="1"/>
  <c r="O49" i="27" s="1"/>
  <c r="P49" i="27" s="1"/>
  <c r="M28" i="27"/>
  <c r="N28" i="27" s="1"/>
  <c r="O28" i="27" s="1"/>
  <c r="P28" i="27" s="1"/>
  <c r="M400" i="27"/>
  <c r="N400" i="27" s="1"/>
  <c r="O400" i="27" s="1"/>
  <c r="P400" i="27" s="1"/>
  <c r="M114" i="27"/>
  <c r="N114" i="27" s="1"/>
  <c r="O114" i="27" s="1"/>
  <c r="P114" i="27" s="1"/>
  <c r="M39" i="27"/>
  <c r="N39" i="27" s="1"/>
  <c r="O39" i="27" s="1"/>
  <c r="P39" i="27" s="1"/>
  <c r="M10" i="27"/>
  <c r="N10" i="27" s="1"/>
  <c r="O10" i="27" s="1"/>
  <c r="P10" i="27" s="1"/>
  <c r="M331" i="27"/>
  <c r="N331" i="27" s="1"/>
  <c r="O331" i="27" s="1"/>
  <c r="P331" i="27" s="1"/>
  <c r="M13" i="27"/>
  <c r="N13" i="27" s="1"/>
  <c r="O13" i="27" s="1"/>
  <c r="P13" i="27" s="1"/>
  <c r="M40" i="27"/>
  <c r="N40" i="27" s="1"/>
  <c r="O40" i="27" s="1"/>
  <c r="P40" i="27" s="1"/>
  <c r="M58" i="27"/>
  <c r="N58" i="27" s="1"/>
  <c r="O58" i="27" s="1"/>
  <c r="P58" i="27" s="1"/>
  <c r="M161" i="27"/>
  <c r="N161" i="27" s="1"/>
  <c r="O161" i="27" s="1"/>
  <c r="P161" i="27" s="1"/>
  <c r="M110" i="27"/>
  <c r="N110" i="27" s="1"/>
  <c r="O110" i="27" s="1"/>
  <c r="P110" i="27" s="1"/>
  <c r="M51" i="27"/>
  <c r="N51" i="27" s="1"/>
  <c r="O51" i="27" s="1"/>
  <c r="P51" i="27" s="1"/>
  <c r="M30" i="27"/>
  <c r="N30" i="27" s="1"/>
  <c r="O30" i="27" s="1"/>
  <c r="P30" i="27" s="1"/>
  <c r="M193" i="27"/>
  <c r="N193" i="27" s="1"/>
  <c r="O193" i="27" s="1"/>
  <c r="P193" i="27" s="1"/>
  <c r="M27" i="27"/>
  <c r="N27" i="27" s="1"/>
  <c r="O27" i="27" s="1"/>
  <c r="P27" i="27" s="1"/>
  <c r="M129" i="27"/>
  <c r="N129" i="27" s="1"/>
  <c r="O129" i="27" s="1"/>
  <c r="P129" i="27" s="1"/>
  <c r="M191" i="27"/>
  <c r="N191" i="27" s="1"/>
  <c r="O191" i="27" s="1"/>
  <c r="P191" i="27" s="1"/>
  <c r="M133" i="27"/>
  <c r="N133" i="27" s="1"/>
  <c r="O133" i="27" s="1"/>
  <c r="P133" i="27" s="1"/>
  <c r="M124" i="27"/>
  <c r="N124" i="27" s="1"/>
  <c r="O124" i="27" s="1"/>
  <c r="P124" i="27" s="1"/>
  <c r="M112" i="27"/>
  <c r="N112" i="27" s="1"/>
  <c r="O112" i="27" s="1"/>
  <c r="P112" i="27" s="1"/>
  <c r="M91" i="27"/>
  <c r="N91" i="27" s="1"/>
  <c r="M149" i="27"/>
  <c r="N149" i="27" s="1"/>
  <c r="O149" i="27" s="1"/>
  <c r="P149" i="27" s="1"/>
  <c r="M256" i="27"/>
  <c r="N256" i="27" s="1"/>
  <c r="O256" i="27" s="1"/>
  <c r="P256" i="27" s="1"/>
  <c r="M26" i="27"/>
  <c r="N26" i="27" s="1"/>
  <c r="O26" i="27" s="1"/>
  <c r="P26" i="27" s="1"/>
  <c r="M103" i="27"/>
  <c r="N103" i="27" s="1"/>
  <c r="O103" i="27" s="1"/>
  <c r="P103" i="27" s="1"/>
  <c r="M163" i="27"/>
  <c r="N163" i="27" s="1"/>
  <c r="O163" i="27" s="1"/>
  <c r="P163" i="27" s="1"/>
  <c r="M36" i="27"/>
  <c r="N36" i="27" s="1"/>
  <c r="O36" i="27" s="1"/>
  <c r="P36" i="27" s="1"/>
  <c r="M152" i="27"/>
  <c r="N152" i="27" s="1"/>
  <c r="O152" i="27" s="1"/>
  <c r="P152" i="27" s="1"/>
  <c r="M134" i="27"/>
  <c r="N134" i="27" s="1"/>
  <c r="O134" i="27" s="1"/>
  <c r="P134" i="27" s="1"/>
  <c r="M622" i="27"/>
  <c r="M433" i="27"/>
  <c r="M200" i="27"/>
  <c r="M314" i="27"/>
  <c r="M443" i="27"/>
  <c r="M90" i="27"/>
  <c r="M106" i="27" s="1"/>
  <c r="M241" i="27"/>
  <c r="M119" i="27"/>
  <c r="M254" i="27"/>
  <c r="M476" i="27"/>
  <c r="M624" i="27"/>
  <c r="N624" i="27" s="1"/>
  <c r="O624" i="27" s="1"/>
  <c r="P624" i="27" s="1"/>
  <c r="M146" i="27"/>
  <c r="M122" i="27"/>
  <c r="N122" i="27" s="1"/>
  <c r="O122" i="27" s="1"/>
  <c r="P122" i="27" s="1"/>
  <c r="M391" i="27"/>
  <c r="M599" i="27"/>
  <c r="M499" i="27"/>
  <c r="M34" i="27"/>
  <c r="M563" i="27"/>
  <c r="M205" i="27"/>
  <c r="M295" i="27"/>
  <c r="M74" i="27"/>
  <c r="M181" i="27"/>
  <c r="M373" i="27"/>
  <c r="M203" i="27"/>
  <c r="N203" i="27" s="1"/>
  <c r="O203" i="27" s="1"/>
  <c r="P203" i="27" s="1"/>
  <c r="M481" i="27"/>
  <c r="N481" i="27" s="1"/>
  <c r="O481" i="27" s="1"/>
  <c r="P481" i="27" s="1"/>
  <c r="M333" i="27"/>
  <c r="M6" i="27"/>
  <c r="M233" i="27"/>
  <c r="M258" i="27"/>
  <c r="N258" i="27" s="1"/>
  <c r="O258" i="27" s="1"/>
  <c r="P258" i="27" s="1"/>
  <c r="M437" i="27"/>
  <c r="N437" i="27" s="1"/>
  <c r="O437" i="27" s="1"/>
  <c r="P437" i="27" s="1"/>
  <c r="M54" i="27"/>
  <c r="M522" i="27"/>
  <c r="M319" i="27"/>
  <c r="N319" i="27" s="1"/>
  <c r="O319" i="27" s="1"/>
  <c r="P319" i="27" s="1"/>
  <c r="M273" i="27"/>
  <c r="M316" i="27"/>
  <c r="N316" i="27" s="1"/>
  <c r="O316" i="27" s="1"/>
  <c r="P316" i="27" s="1"/>
  <c r="M453" i="27"/>
  <c r="M447" i="27"/>
  <c r="N447" i="27" s="1"/>
  <c r="O447" i="27" s="1"/>
  <c r="P447" i="27" s="1"/>
  <c r="M214" i="27"/>
  <c r="M417" i="27"/>
  <c r="M483" i="27"/>
  <c r="N483" i="27" s="1"/>
  <c r="O483" i="27" s="1"/>
  <c r="P483" i="27" s="1"/>
  <c r="M424" i="27"/>
  <c r="N424" i="27" s="1"/>
  <c r="O424" i="27" s="1"/>
  <c r="P424" i="27" s="1"/>
  <c r="M25" i="27"/>
  <c r="M78" i="27"/>
  <c r="N78" i="27" s="1"/>
  <c r="O78" i="27" s="1"/>
  <c r="P78" i="27" s="1"/>
  <c r="M107" i="27"/>
  <c r="M12" i="27"/>
  <c r="N12" i="27" s="1"/>
  <c r="O12" i="27" s="1"/>
  <c r="P12" i="27" s="1"/>
  <c r="M208" i="27"/>
  <c r="N208" i="27" s="1"/>
  <c r="O208" i="27" s="1"/>
  <c r="P208" i="27" s="1"/>
  <c r="M151" i="27"/>
  <c r="N151" i="27" s="1"/>
  <c r="O151" i="27" s="1"/>
  <c r="P151" i="27" s="1"/>
  <c r="M628" i="27"/>
  <c r="N628" i="27" s="1"/>
  <c r="O628" i="27" s="1"/>
  <c r="P628" i="27" s="1"/>
  <c r="M125" i="27"/>
  <c r="N125" i="27" s="1"/>
  <c r="O125" i="27" s="1"/>
  <c r="P125" i="27" s="1"/>
  <c r="M92" i="27"/>
  <c r="N92" i="27" s="1"/>
  <c r="O92" i="27" s="1"/>
  <c r="P92" i="27" s="1"/>
  <c r="M459" i="27"/>
  <c r="N459" i="27" s="1"/>
  <c r="O459" i="27" s="1"/>
  <c r="P459" i="27" s="1"/>
  <c r="M338" i="27"/>
  <c r="N338" i="27" s="1"/>
  <c r="O338" i="27" s="1"/>
  <c r="P338" i="27" s="1"/>
  <c r="M81" i="27"/>
  <c r="N81" i="27" s="1"/>
  <c r="O81" i="27" s="1"/>
  <c r="P81" i="27" s="1"/>
  <c r="M97" i="27"/>
  <c r="N97" i="27" s="1"/>
  <c r="O97" i="27" s="1"/>
  <c r="P97" i="27" s="1"/>
  <c r="M300" i="27"/>
  <c r="N300" i="27" s="1"/>
  <c r="O300" i="27" s="1"/>
  <c r="P300" i="27" s="1"/>
  <c r="M279" i="27"/>
  <c r="N279" i="27" s="1"/>
  <c r="O279" i="27" s="1"/>
  <c r="P279" i="27" s="1"/>
  <c r="M575" i="27"/>
  <c r="M261" i="27"/>
  <c r="N261" i="27" s="1"/>
  <c r="O261" i="27" s="1"/>
  <c r="P261" i="27" s="1"/>
  <c r="M378" i="27"/>
  <c r="N378" i="27" s="1"/>
  <c r="O378" i="27" s="1"/>
  <c r="P378" i="27" s="1"/>
  <c r="M323" i="27"/>
  <c r="M530" i="27"/>
  <c r="N530" i="27" s="1"/>
  <c r="O530" i="27" s="1"/>
  <c r="P530" i="27" s="1"/>
  <c r="M38" i="27"/>
  <c r="N38" i="27" s="1"/>
  <c r="O38" i="27" s="1"/>
  <c r="P38" i="27" s="1"/>
  <c r="M185" i="27"/>
  <c r="N185" i="27" s="1"/>
  <c r="O185" i="27" s="1"/>
  <c r="P185" i="27" s="1"/>
  <c r="M244" i="27"/>
  <c r="N244" i="27" s="1"/>
  <c r="O244" i="27" s="1"/>
  <c r="P244" i="27" s="1"/>
  <c r="M155" i="27"/>
  <c r="N155" i="27" s="1"/>
  <c r="O155" i="27" s="1"/>
  <c r="P155" i="27" s="1"/>
  <c r="M462" i="27"/>
  <c r="N462" i="27" s="1"/>
  <c r="O462" i="27" s="1"/>
  <c r="P462" i="27" s="1"/>
  <c r="M60" i="27"/>
  <c r="N60" i="27" s="1"/>
  <c r="O60" i="27" s="1"/>
  <c r="P60" i="27" s="1"/>
  <c r="M569" i="27"/>
  <c r="N569" i="27" s="1"/>
  <c r="O569" i="27" s="1"/>
  <c r="P569" i="27" s="1"/>
  <c r="M15" i="27"/>
  <c r="N15" i="27" s="1"/>
  <c r="O15" i="27" s="1"/>
  <c r="P15" i="27" s="1"/>
  <c r="M359" i="27"/>
  <c r="M485" i="27"/>
  <c r="N485" i="27" s="1"/>
  <c r="O485" i="27" s="1"/>
  <c r="P485" i="27" s="1"/>
  <c r="M167" i="27"/>
  <c r="M504" i="27"/>
  <c r="N504" i="27" s="1"/>
  <c r="O504" i="27" s="1"/>
  <c r="P504" i="27" s="1"/>
  <c r="M603" i="27"/>
  <c r="N603" i="27" s="1"/>
  <c r="O603" i="27" s="1"/>
  <c r="P603" i="27" s="1"/>
  <c r="M284" i="27"/>
  <c r="N284" i="27" s="1"/>
  <c r="O284" i="27" s="1"/>
  <c r="P284" i="27" s="1"/>
  <c r="M382" i="27"/>
  <c r="N382" i="27" s="1"/>
  <c r="O382" i="27" s="1"/>
  <c r="P382" i="27" s="1"/>
  <c r="M427" i="27"/>
  <c r="N427" i="27" s="1"/>
  <c r="O427" i="27" s="1"/>
  <c r="P427" i="27" s="1"/>
  <c r="M343" i="27"/>
  <c r="N343" i="27" s="1"/>
  <c r="O343" i="27" s="1"/>
  <c r="P343" i="27" s="1"/>
  <c r="M304" i="27"/>
  <c r="N304" i="27" s="1"/>
  <c r="O304" i="27" s="1"/>
  <c r="P304" i="27" s="1"/>
  <c r="M633" i="27"/>
  <c r="N633" i="27" s="1"/>
  <c r="O633" i="27" s="1"/>
  <c r="P633" i="27" s="1"/>
  <c r="M100" i="27"/>
  <c r="N100" i="27" s="1"/>
  <c r="O100" i="27" s="1"/>
  <c r="P100" i="27" s="1"/>
  <c r="M467" i="27"/>
  <c r="N467" i="27" s="1"/>
  <c r="O467" i="27" s="1"/>
  <c r="P467" i="27" s="1"/>
  <c r="M490" i="27"/>
  <c r="N490" i="27" s="1"/>
  <c r="O490" i="27" s="1"/>
  <c r="P490" i="27" s="1"/>
  <c r="M45" i="27"/>
  <c r="N45" i="27" s="1"/>
  <c r="O45" i="27" s="1"/>
  <c r="P45" i="27" s="1"/>
  <c r="M104" i="27"/>
  <c r="N104" i="27" s="1"/>
  <c r="O104" i="27" s="1"/>
  <c r="P104" i="27" s="1"/>
  <c r="M83" i="27"/>
  <c r="N83" i="27" s="1"/>
  <c r="O83" i="27" s="1"/>
  <c r="P83" i="27" s="1"/>
  <c r="M287" i="27"/>
  <c r="N287" i="27" s="1"/>
  <c r="O287" i="27" s="1"/>
  <c r="P287" i="27" s="1"/>
  <c r="M348" i="27"/>
  <c r="N348" i="27" s="1"/>
  <c r="O348" i="27" s="1"/>
  <c r="P348" i="27" s="1"/>
  <c r="M130" i="27"/>
  <c r="N130" i="27" s="1"/>
  <c r="O130" i="27" s="1"/>
  <c r="P130" i="27" s="1"/>
  <c r="M265" i="27"/>
  <c r="N265" i="27" s="1"/>
  <c r="O265" i="27" s="1"/>
  <c r="P265" i="27" s="1"/>
  <c r="M20" i="27"/>
  <c r="N20" i="27" s="1"/>
  <c r="O20" i="27" s="1"/>
  <c r="P20" i="27" s="1"/>
  <c r="M386" i="27"/>
  <c r="N386" i="27" s="1"/>
  <c r="O386" i="27" s="1"/>
  <c r="P386" i="27" s="1"/>
  <c r="M158" i="27"/>
  <c r="N158" i="27" s="1"/>
  <c r="O158" i="27" s="1"/>
  <c r="P158" i="27" s="1"/>
  <c r="M545" i="27"/>
  <c r="M66" i="27"/>
  <c r="N66" i="27" s="1"/>
  <c r="O66" i="27" s="1"/>
  <c r="P66" i="27" s="1"/>
  <c r="M534" i="27"/>
  <c r="N534" i="27" s="1"/>
  <c r="O534" i="27" s="1"/>
  <c r="P534" i="27" s="1"/>
  <c r="M221" i="27"/>
  <c r="N221" i="27" s="1"/>
  <c r="O221" i="27" s="1"/>
  <c r="P221" i="27" s="1"/>
  <c r="M192" i="27"/>
  <c r="N192" i="27" s="1"/>
  <c r="O192" i="27" s="1"/>
  <c r="P192" i="27" s="1"/>
  <c r="M352" i="27"/>
  <c r="N352" i="27" s="1"/>
  <c r="O352" i="27" s="1"/>
  <c r="P352" i="27" s="1"/>
  <c r="M139" i="27"/>
  <c r="N139" i="27" s="1"/>
  <c r="O139" i="27" s="1"/>
  <c r="P139" i="27" s="1"/>
  <c r="M50" i="27"/>
  <c r="N50" i="27" s="1"/>
  <c r="O50" i="27" s="1"/>
  <c r="P50" i="27" s="1"/>
  <c r="M513" i="27"/>
  <c r="N513" i="27" s="1"/>
  <c r="O513" i="27" s="1"/>
  <c r="P513" i="27" s="1"/>
  <c r="M309" i="27"/>
  <c r="M471" i="27"/>
  <c r="N471" i="27" s="1"/>
  <c r="O471" i="27" s="1"/>
  <c r="P471" i="27" s="1"/>
  <c r="M542" i="27"/>
  <c r="N542" i="27" s="1"/>
  <c r="O542" i="27" s="1"/>
  <c r="P542" i="27" s="1"/>
  <c r="M493" i="27"/>
  <c r="N493" i="27" s="1"/>
  <c r="O493" i="27" s="1"/>
  <c r="P493" i="27" s="1"/>
  <c r="M290" i="27"/>
  <c r="N290" i="27" s="1"/>
  <c r="O290" i="27" s="1"/>
  <c r="P290" i="27" s="1"/>
  <c r="M612" i="27"/>
  <c r="N612" i="27" s="1"/>
  <c r="O612" i="27" s="1"/>
  <c r="P612" i="27" s="1"/>
  <c r="M585" i="27"/>
  <c r="N585" i="27" s="1"/>
  <c r="O585" i="27" s="1"/>
  <c r="P585" i="27" s="1"/>
  <c r="M398" i="27"/>
  <c r="N398" i="27" s="1"/>
  <c r="O398" i="27" s="1"/>
  <c r="P398" i="27" s="1"/>
  <c r="M142" i="27"/>
  <c r="N142" i="27" s="1"/>
  <c r="O142" i="27" s="1"/>
  <c r="P142" i="27" s="1"/>
  <c r="M354" i="27"/>
  <c r="N354" i="27" s="1"/>
  <c r="O354" i="27" s="1"/>
  <c r="P354" i="27" s="1"/>
  <c r="K414" i="26"/>
  <c r="X416" i="26"/>
  <c r="W416" i="26"/>
  <c r="V416" i="26"/>
  <c r="X415" i="26"/>
  <c r="J415" i="26" s="1"/>
  <c r="J416" i="26" s="1"/>
  <c r="J442" i="26" s="1"/>
  <c r="W415" i="26"/>
  <c r="I415" i="26" s="1"/>
  <c r="I416" i="26" s="1"/>
  <c r="I442" i="26" s="1"/>
  <c r="V415" i="26"/>
  <c r="H415" i="26" s="1"/>
  <c r="V142" i="26"/>
  <c r="H142" i="26" s="1"/>
  <c r="X142" i="26"/>
  <c r="J142" i="26" s="1"/>
  <c r="W142" i="26"/>
  <c r="I142" i="26" s="1"/>
  <c r="W356" i="26"/>
  <c r="I356" i="26" s="1"/>
  <c r="V356" i="26"/>
  <c r="H356" i="26" s="1"/>
  <c r="X356" i="26"/>
  <c r="J356" i="26" s="1"/>
  <c r="K355" i="26"/>
  <c r="K141" i="26"/>
  <c r="L139" i="26" s="1"/>
  <c r="H598" i="26"/>
  <c r="K597" i="26"/>
  <c r="K598" i="26" s="1"/>
  <c r="L585" i="26"/>
  <c r="R144" i="26"/>
  <c r="U143" i="26"/>
  <c r="R358" i="26"/>
  <c r="U358" i="26" s="1"/>
  <c r="U357" i="26"/>
  <c r="K498" i="26"/>
  <c r="K521" i="26" s="1"/>
  <c r="L493" i="26"/>
  <c r="L294" i="26"/>
  <c r="L322" i="26" s="1"/>
  <c r="L542" i="26"/>
  <c r="K621" i="26"/>
  <c r="K640" i="26" s="1"/>
  <c r="L612" i="26"/>
  <c r="M390" i="27" l="1"/>
  <c r="N373" i="27"/>
  <c r="N200" i="27"/>
  <c r="M204" i="27"/>
  <c r="N25" i="27"/>
  <c r="M33" i="27"/>
  <c r="N181" i="27"/>
  <c r="M199" i="27"/>
  <c r="M441" i="27"/>
  <c r="N433" i="27"/>
  <c r="N74" i="27"/>
  <c r="M89" i="27"/>
  <c r="N622" i="27"/>
  <c r="M639" i="27"/>
  <c r="M640" i="27" s="1"/>
  <c r="M452" i="27"/>
  <c r="N443" i="27"/>
  <c r="M24" i="27"/>
  <c r="N6" i="27"/>
  <c r="M520" i="27"/>
  <c r="M521" i="27" s="1"/>
  <c r="N499" i="27"/>
  <c r="M117" i="27"/>
  <c r="N107" i="27"/>
  <c r="N295" i="27"/>
  <c r="M313" i="27"/>
  <c r="M475" i="27"/>
  <c r="N453" i="27"/>
  <c r="N545" i="27"/>
  <c r="M562" i="27"/>
  <c r="M294" i="27"/>
  <c r="N273" i="27"/>
  <c r="M416" i="27"/>
  <c r="N391" i="27"/>
  <c r="M321" i="27"/>
  <c r="N314" i="27"/>
  <c r="M332" i="27"/>
  <c r="N323" i="27"/>
  <c r="M211" i="27"/>
  <c r="M212" i="27" s="1"/>
  <c r="N205" i="27"/>
  <c r="M53" i="27"/>
  <c r="N34" i="27"/>
  <c r="N417" i="27"/>
  <c r="M432" i="27"/>
  <c r="N575" i="27"/>
  <c r="M597" i="27"/>
  <c r="M621" i="27"/>
  <c r="N599" i="27"/>
  <c r="M180" i="27"/>
  <c r="N167" i="27"/>
  <c r="N522" i="27"/>
  <c r="M544" i="27"/>
  <c r="M165" i="27"/>
  <c r="N146" i="27"/>
  <c r="N106" i="27"/>
  <c r="O91" i="27"/>
  <c r="N241" i="27"/>
  <c r="M252" i="27"/>
  <c r="M118" i="27"/>
  <c r="M232" i="27"/>
  <c r="N214" i="27"/>
  <c r="N563" i="27"/>
  <c r="M574" i="27"/>
  <c r="N54" i="27"/>
  <c r="M72" i="27"/>
  <c r="M370" i="27"/>
  <c r="N359" i="27"/>
  <c r="N476" i="27"/>
  <c r="M498" i="27"/>
  <c r="N254" i="27"/>
  <c r="M272" i="27"/>
  <c r="N333" i="27"/>
  <c r="M358" i="27"/>
  <c r="M240" i="27"/>
  <c r="M145" i="27"/>
  <c r="N119" i="27"/>
  <c r="O234" i="27"/>
  <c r="N240" i="27"/>
  <c r="K415" i="26"/>
  <c r="H416" i="26"/>
  <c r="H442" i="26" s="1"/>
  <c r="I641" i="26"/>
  <c r="X357" i="26"/>
  <c r="J357" i="26" s="1"/>
  <c r="J358" i="26" s="1"/>
  <c r="V357" i="26"/>
  <c r="H357" i="26" s="1"/>
  <c r="W357" i="26"/>
  <c r="I357" i="26" s="1"/>
  <c r="I358" i="26" s="1"/>
  <c r="W358" i="26"/>
  <c r="V358" i="26"/>
  <c r="X358" i="26"/>
  <c r="W143" i="26"/>
  <c r="I143" i="26" s="1"/>
  <c r="X143" i="26"/>
  <c r="J143" i="26" s="1"/>
  <c r="V143" i="26"/>
  <c r="H143" i="26" s="1"/>
  <c r="K356" i="26"/>
  <c r="K142" i="26"/>
  <c r="R145" i="26"/>
  <c r="U145" i="26" s="1"/>
  <c r="U144" i="26"/>
  <c r="L597" i="26"/>
  <c r="L621" i="26"/>
  <c r="L640" i="26" s="1"/>
  <c r="L498" i="26"/>
  <c r="L521" i="26" s="1"/>
  <c r="L544" i="26"/>
  <c r="J641" i="26"/>
  <c r="O522" i="27" l="1"/>
  <c r="N544" i="27"/>
  <c r="O167" i="27"/>
  <c r="N180" i="27"/>
  <c r="M253" i="27"/>
  <c r="O241" i="27"/>
  <c r="N252" i="27"/>
  <c r="O314" i="27"/>
  <c r="N321" i="27"/>
  <c r="O545" i="27"/>
  <c r="N562" i="27"/>
  <c r="N199" i="27"/>
  <c r="O181" i="27"/>
  <c r="O214" i="27"/>
  <c r="N232" i="27"/>
  <c r="O391" i="27"/>
  <c r="N416" i="27"/>
  <c r="O333" i="27"/>
  <c r="N358" i="27"/>
  <c r="N621" i="27"/>
  <c r="O599" i="27"/>
  <c r="O453" i="27"/>
  <c r="N475" i="27"/>
  <c r="O240" i="27"/>
  <c r="P234" i="27"/>
  <c r="P240" i="27" s="1"/>
  <c r="N639" i="27"/>
  <c r="O622" i="27"/>
  <c r="N33" i="27"/>
  <c r="O25" i="27"/>
  <c r="O563" i="27"/>
  <c r="N574" i="27"/>
  <c r="N452" i="27"/>
  <c r="O443" i="27"/>
  <c r="N145" i="27"/>
  <c r="O119" i="27"/>
  <c r="O74" i="27"/>
  <c r="N89" i="27"/>
  <c r="N118" i="27" s="1"/>
  <c r="N272" i="27"/>
  <c r="O254" i="27"/>
  <c r="M598" i="27"/>
  <c r="M322" i="27"/>
  <c r="N520" i="27"/>
  <c r="O499" i="27"/>
  <c r="N332" i="27"/>
  <c r="O323" i="27"/>
  <c r="P91" i="27"/>
  <c r="P106" i="27" s="1"/>
  <c r="O106" i="27"/>
  <c r="M166" i="27"/>
  <c r="M213" i="27" s="1"/>
  <c r="M442" i="27"/>
  <c r="M73" i="27"/>
  <c r="O575" i="27"/>
  <c r="N597" i="27"/>
  <c r="N598" i="27" s="1"/>
  <c r="N313" i="27"/>
  <c r="O295" i="27"/>
  <c r="N204" i="27"/>
  <c r="O200" i="27"/>
  <c r="O6" i="27"/>
  <c r="N24" i="27"/>
  <c r="M641" i="27"/>
  <c r="N294" i="27"/>
  <c r="O273" i="27"/>
  <c r="N498" i="27"/>
  <c r="O476" i="27"/>
  <c r="O54" i="27"/>
  <c r="N72" i="27"/>
  <c r="O107" i="27"/>
  <c r="N117" i="27"/>
  <c r="N390" i="27"/>
  <c r="O373" i="27"/>
  <c r="O34" i="27"/>
  <c r="N53" i="27"/>
  <c r="O205" i="27"/>
  <c r="N211" i="27"/>
  <c r="N165" i="27"/>
  <c r="N166" i="27" s="1"/>
  <c r="O146" i="27"/>
  <c r="N441" i="27"/>
  <c r="N442" i="27" s="1"/>
  <c r="O433" i="27"/>
  <c r="N370" i="27"/>
  <c r="N371" i="27" s="1"/>
  <c r="O359" i="27"/>
  <c r="M371" i="27"/>
  <c r="M372" i="27" s="1"/>
  <c r="O417" i="27"/>
  <c r="N432" i="27"/>
  <c r="K416" i="26"/>
  <c r="K442" i="26" s="1"/>
  <c r="L398" i="26"/>
  <c r="J371" i="26"/>
  <c r="J372" i="26" s="1"/>
  <c r="I371" i="26"/>
  <c r="I372" i="26" s="1"/>
  <c r="K143" i="26"/>
  <c r="V144" i="26"/>
  <c r="H144" i="26" s="1"/>
  <c r="W144" i="26"/>
  <c r="I144" i="26" s="1"/>
  <c r="I145" i="26" s="1"/>
  <c r="I166" i="26" s="1"/>
  <c r="I213" i="26" s="1"/>
  <c r="I642" i="26" s="1"/>
  <c r="X144" i="26"/>
  <c r="J144" i="26" s="1"/>
  <c r="J145" i="26" s="1"/>
  <c r="J166" i="26" s="1"/>
  <c r="J213" i="26" s="1"/>
  <c r="J642" i="26" s="1"/>
  <c r="W145" i="26"/>
  <c r="V145" i="26"/>
  <c r="X145" i="26"/>
  <c r="K357" i="26"/>
  <c r="K358" i="26" s="1"/>
  <c r="L598" i="26"/>
  <c r="H641" i="26"/>
  <c r="H358" i="26"/>
  <c r="N322" i="27" l="1"/>
  <c r="O89" i="27"/>
  <c r="P74" i="27"/>
  <c r="P89" i="27" s="1"/>
  <c r="P181" i="27"/>
  <c r="P199" i="27" s="1"/>
  <c r="O199" i="27"/>
  <c r="N640" i="27"/>
  <c r="N253" i="27"/>
  <c r="N372" i="27" s="1"/>
  <c r="P200" i="27"/>
  <c r="P204" i="27" s="1"/>
  <c r="O204" i="27"/>
  <c r="O211" i="27"/>
  <c r="P205" i="27"/>
  <c r="P211" i="27" s="1"/>
  <c r="P34" i="27"/>
  <c r="P53" i="27" s="1"/>
  <c r="O53" i="27"/>
  <c r="O390" i="27"/>
  <c r="P373" i="27"/>
  <c r="P390" i="27" s="1"/>
  <c r="P241" i="27"/>
  <c r="P252" i="27" s="1"/>
  <c r="P253" i="27" s="1"/>
  <c r="O252" i="27"/>
  <c r="O253" i="27" s="1"/>
  <c r="M642" i="27"/>
  <c r="O24" i="27"/>
  <c r="P6" i="27"/>
  <c r="P24" i="27" s="1"/>
  <c r="P295" i="27"/>
  <c r="P313" i="27" s="1"/>
  <c r="O313" i="27"/>
  <c r="O597" i="27"/>
  <c r="P575" i="27"/>
  <c r="P597" i="27" s="1"/>
  <c r="O33" i="27"/>
  <c r="P25" i="27"/>
  <c r="P33" i="27" s="1"/>
  <c r="O272" i="27"/>
  <c r="P254" i="27"/>
  <c r="P272" i="27" s="1"/>
  <c r="O165" i="27"/>
  <c r="P146" i="27"/>
  <c r="P165" i="27" s="1"/>
  <c r="P119" i="27"/>
  <c r="P145" i="27" s="1"/>
  <c r="O145" i="27"/>
  <c r="N212" i="27"/>
  <c r="N213" i="27" s="1"/>
  <c r="O639" i="27"/>
  <c r="P622" i="27"/>
  <c r="P639" i="27" s="1"/>
  <c r="P107" i="27"/>
  <c r="P117" i="27" s="1"/>
  <c r="P118" i="27" s="1"/>
  <c r="O117" i="27"/>
  <c r="O118" i="27" s="1"/>
  <c r="O498" i="27"/>
  <c r="P476" i="27"/>
  <c r="P498" i="27" s="1"/>
  <c r="O520" i="27"/>
  <c r="P499" i="27"/>
  <c r="P520" i="27" s="1"/>
  <c r="O441" i="27"/>
  <c r="P433" i="27"/>
  <c r="P441" i="27" s="1"/>
  <c r="P214" i="27"/>
  <c r="P232" i="27" s="1"/>
  <c r="O232" i="27"/>
  <c r="O562" i="27"/>
  <c r="P545" i="27"/>
  <c r="P562" i="27" s="1"/>
  <c r="P417" i="27"/>
  <c r="P432" i="27" s="1"/>
  <c r="O432" i="27"/>
  <c r="N521" i="27"/>
  <c r="P167" i="27"/>
  <c r="P180" i="27" s="1"/>
  <c r="O180" i="27"/>
  <c r="P333" i="27"/>
  <c r="P358" i="27" s="1"/>
  <c r="O358" i="27"/>
  <c r="O416" i="27"/>
  <c r="P391" i="27"/>
  <c r="P416" i="27" s="1"/>
  <c r="P314" i="27"/>
  <c r="P321" i="27" s="1"/>
  <c r="O321" i="27"/>
  <c r="P323" i="27"/>
  <c r="P332" i="27" s="1"/>
  <c r="O332" i="27"/>
  <c r="O294" i="27"/>
  <c r="P273" i="27"/>
  <c r="P294" i="27" s="1"/>
  <c r="P453" i="27"/>
  <c r="P475" i="27" s="1"/>
  <c r="O475" i="27"/>
  <c r="O452" i="27"/>
  <c r="P443" i="27"/>
  <c r="P452" i="27" s="1"/>
  <c r="P563" i="27"/>
  <c r="P574" i="27" s="1"/>
  <c r="O574" i="27"/>
  <c r="N73" i="27"/>
  <c r="P54" i="27"/>
  <c r="P72" i="27" s="1"/>
  <c r="P73" i="27" s="1"/>
  <c r="O72" i="27"/>
  <c r="P359" i="27"/>
  <c r="P370" i="27" s="1"/>
  <c r="O370" i="27"/>
  <c r="O621" i="27"/>
  <c r="P599" i="27"/>
  <c r="P621" i="27" s="1"/>
  <c r="P522" i="27"/>
  <c r="P544" i="27" s="1"/>
  <c r="O544" i="27"/>
  <c r="L416" i="26"/>
  <c r="L442" i="26" s="1"/>
  <c r="K371" i="26"/>
  <c r="K372" i="26" s="1"/>
  <c r="H371" i="26"/>
  <c r="H372" i="26" s="1"/>
  <c r="K144" i="26"/>
  <c r="L354" i="26"/>
  <c r="L358" i="26" s="1"/>
  <c r="K145" i="26"/>
  <c r="K166" i="26" s="1"/>
  <c r="K213" i="26" s="1"/>
  <c r="H145" i="26"/>
  <c r="H166" i="26" s="1"/>
  <c r="H213" i="26" s="1"/>
  <c r="K641" i="26"/>
  <c r="O212" i="27" l="1"/>
  <c r="N641" i="27"/>
  <c r="N642" i="27" s="1"/>
  <c r="O73" i="27"/>
  <c r="P212" i="27"/>
  <c r="O371" i="27"/>
  <c r="O598" i="27"/>
  <c r="P640" i="27"/>
  <c r="P521" i="27"/>
  <c r="O322" i="27"/>
  <c r="O640" i="27"/>
  <c r="O166" i="27"/>
  <c r="P598" i="27"/>
  <c r="O521" i="27"/>
  <c r="P322" i="27"/>
  <c r="P371" i="27"/>
  <c r="P372" i="27" s="1"/>
  <c r="P166" i="27"/>
  <c r="P442" i="27"/>
  <c r="O442" i="27"/>
  <c r="L371" i="26"/>
  <c r="L372" i="26" s="1"/>
  <c r="H642" i="26"/>
  <c r="K642" i="26"/>
  <c r="L142" i="26"/>
  <c r="L641" i="26"/>
  <c r="O372" i="27" l="1"/>
  <c r="O641" i="27"/>
  <c r="P641" i="27"/>
  <c r="P642" i="27" s="1"/>
  <c r="P213" i="27"/>
  <c r="O213" i="27"/>
  <c r="L145" i="26"/>
  <c r="L166" i="26" s="1"/>
  <c r="L213" i="26" s="1"/>
  <c r="L642" i="26" s="1"/>
  <c r="O642" i="27" l="1"/>
  <c r="M509" i="26"/>
  <c r="N509" i="26" s="1"/>
  <c r="O509" i="26" s="1"/>
  <c r="P509" i="26" s="1"/>
  <c r="M506" i="26"/>
  <c r="N506" i="26" s="1"/>
  <c r="O506" i="26" s="1"/>
  <c r="P506" i="26" s="1"/>
  <c r="M510" i="26"/>
  <c r="N510" i="26" s="1"/>
  <c r="O510" i="26" s="1"/>
  <c r="P510" i="26" s="1"/>
  <c r="M511" i="26"/>
  <c r="N511" i="26" s="1"/>
  <c r="O511" i="26" s="1"/>
  <c r="P511" i="26" s="1"/>
  <c r="M517" i="26"/>
  <c r="N517" i="26" s="1"/>
  <c r="O517" i="26" s="1"/>
  <c r="P517" i="26" s="1"/>
  <c r="M519" i="26"/>
  <c r="N519" i="26" s="1"/>
  <c r="O519" i="26" s="1"/>
  <c r="P519" i="26" s="1"/>
  <c r="M503" i="26"/>
  <c r="N503" i="26" s="1"/>
  <c r="O503" i="26" s="1"/>
  <c r="P503" i="26" s="1"/>
  <c r="M505" i="26"/>
  <c r="N505" i="26" s="1"/>
  <c r="O505" i="26" s="1"/>
  <c r="P505" i="26" s="1"/>
  <c r="M512" i="26"/>
  <c r="N512" i="26" s="1"/>
  <c r="O512" i="26" s="1"/>
  <c r="P512" i="26" s="1"/>
  <c r="M500" i="26"/>
  <c r="N500" i="26" s="1"/>
  <c r="O500" i="26" s="1"/>
  <c r="P500" i="26" s="1"/>
  <c r="M514" i="26"/>
  <c r="N514" i="26" s="1"/>
  <c r="O514" i="26" s="1"/>
  <c r="P514" i="26" s="1"/>
  <c r="M515" i="26"/>
  <c r="N515" i="26" s="1"/>
  <c r="O515" i="26" s="1"/>
  <c r="P515" i="26" s="1"/>
  <c r="M508" i="26"/>
  <c r="N508" i="26" s="1"/>
  <c r="O508" i="26" s="1"/>
  <c r="P508" i="26" s="1"/>
  <c r="M516" i="26"/>
  <c r="N516" i="26" s="1"/>
  <c r="O516" i="26" s="1"/>
  <c r="P516" i="26" s="1"/>
  <c r="M501" i="26"/>
  <c r="N501" i="26" s="1"/>
  <c r="O501" i="26" s="1"/>
  <c r="P501" i="26" s="1"/>
  <c r="M518" i="26"/>
  <c r="N518" i="26" s="1"/>
  <c r="O518" i="26" s="1"/>
  <c r="P518" i="26" s="1"/>
  <c r="M502" i="26"/>
  <c r="N502" i="26" s="1"/>
  <c r="O502" i="26" s="1"/>
  <c r="P502" i="26" s="1"/>
  <c r="M507" i="26"/>
  <c r="N507" i="26" s="1"/>
  <c r="O507" i="26" s="1"/>
  <c r="P507" i="26" s="1"/>
  <c r="M499" i="26"/>
  <c r="M504" i="26"/>
  <c r="N504" i="26" s="1"/>
  <c r="O504" i="26" s="1"/>
  <c r="P504" i="26" s="1"/>
  <c r="M513" i="26"/>
  <c r="N513" i="26" s="1"/>
  <c r="O513" i="26" s="1"/>
  <c r="P513" i="26" s="1"/>
  <c r="M405" i="26"/>
  <c r="N405" i="26" s="1"/>
  <c r="O405" i="26" s="1"/>
  <c r="P405" i="26" s="1"/>
  <c r="M406" i="26"/>
  <c r="N406" i="26" s="1"/>
  <c r="O406" i="26" s="1"/>
  <c r="P406" i="26" s="1"/>
  <c r="M407" i="26"/>
  <c r="N407" i="26" s="1"/>
  <c r="O407" i="26" s="1"/>
  <c r="P407" i="26" s="1"/>
  <c r="M408" i="26"/>
  <c r="N408" i="26" s="1"/>
  <c r="O408" i="26" s="1"/>
  <c r="P408" i="26" s="1"/>
  <c r="M409" i="26"/>
  <c r="N409" i="26" s="1"/>
  <c r="O409" i="26" s="1"/>
  <c r="P409" i="26" s="1"/>
  <c r="M392" i="26"/>
  <c r="N392" i="26" s="1"/>
  <c r="O392" i="26" s="1"/>
  <c r="P392" i="26" s="1"/>
  <c r="M410" i="26"/>
  <c r="N410" i="26" s="1"/>
  <c r="O410" i="26" s="1"/>
  <c r="P410" i="26" s="1"/>
  <c r="M393" i="26"/>
  <c r="N393" i="26" s="1"/>
  <c r="O393" i="26" s="1"/>
  <c r="P393" i="26" s="1"/>
  <c r="M411" i="26"/>
  <c r="N411" i="26" s="1"/>
  <c r="O411" i="26" s="1"/>
  <c r="P411" i="26" s="1"/>
  <c r="M394" i="26"/>
  <c r="N394" i="26" s="1"/>
  <c r="O394" i="26" s="1"/>
  <c r="P394" i="26" s="1"/>
  <c r="M412" i="26"/>
  <c r="N412" i="26" s="1"/>
  <c r="O412" i="26" s="1"/>
  <c r="P412" i="26" s="1"/>
  <c r="M395" i="26"/>
  <c r="N395" i="26" s="1"/>
  <c r="O395" i="26" s="1"/>
  <c r="P395" i="26" s="1"/>
  <c r="M404" i="26"/>
  <c r="N404" i="26" s="1"/>
  <c r="O404" i="26" s="1"/>
  <c r="P404" i="26" s="1"/>
  <c r="M413" i="26"/>
  <c r="N413" i="26" s="1"/>
  <c r="O413" i="26" s="1"/>
  <c r="P413" i="26" s="1"/>
  <c r="M396" i="26"/>
  <c r="N396" i="26" s="1"/>
  <c r="O396" i="26" s="1"/>
  <c r="P396" i="26" s="1"/>
  <c r="M414" i="26"/>
  <c r="N414" i="26" s="1"/>
  <c r="O414" i="26" s="1"/>
  <c r="P414" i="26" s="1"/>
  <c r="M397" i="26"/>
  <c r="N397" i="26" s="1"/>
  <c r="O397" i="26" s="1"/>
  <c r="P397" i="26" s="1"/>
  <c r="M415" i="26"/>
  <c r="N415" i="26" s="1"/>
  <c r="O415" i="26" s="1"/>
  <c r="P415" i="26" s="1"/>
  <c r="M399" i="26"/>
  <c r="N399" i="26" s="1"/>
  <c r="O399" i="26" s="1"/>
  <c r="P399" i="26" s="1"/>
  <c r="M400" i="26"/>
  <c r="N400" i="26" s="1"/>
  <c r="O400" i="26" s="1"/>
  <c r="P400" i="26" s="1"/>
  <c r="M401" i="26"/>
  <c r="N401" i="26" s="1"/>
  <c r="O401" i="26" s="1"/>
  <c r="P401" i="26" s="1"/>
  <c r="M402" i="26"/>
  <c r="N402" i="26" s="1"/>
  <c r="O402" i="26" s="1"/>
  <c r="P402" i="26" s="1"/>
  <c r="M403" i="26"/>
  <c r="N403" i="26" s="1"/>
  <c r="O403" i="26" s="1"/>
  <c r="P403" i="26" s="1"/>
  <c r="M391" i="26"/>
  <c r="M398" i="26"/>
  <c r="N398" i="26" s="1"/>
  <c r="O398" i="26" s="1"/>
  <c r="P398" i="26" s="1"/>
  <c r="M315" i="26"/>
  <c r="N315" i="26" s="1"/>
  <c r="O315" i="26" s="1"/>
  <c r="P315" i="26" s="1"/>
  <c r="M317" i="26"/>
  <c r="N317" i="26" s="1"/>
  <c r="O317" i="26" s="1"/>
  <c r="P317" i="26" s="1"/>
  <c r="M318" i="26"/>
  <c r="N318" i="26" s="1"/>
  <c r="O318" i="26" s="1"/>
  <c r="P318" i="26" s="1"/>
  <c r="M320" i="26"/>
  <c r="N320" i="26" s="1"/>
  <c r="O320" i="26" s="1"/>
  <c r="P320" i="26" s="1"/>
  <c r="M314" i="26"/>
  <c r="M316" i="26"/>
  <c r="N316" i="26" s="1"/>
  <c r="O316" i="26" s="1"/>
  <c r="P316" i="26" s="1"/>
  <c r="M319" i="26"/>
  <c r="N319" i="26" s="1"/>
  <c r="O319" i="26" s="1"/>
  <c r="P319" i="26" s="1"/>
  <c r="M108" i="26"/>
  <c r="N108" i="26" s="1"/>
  <c r="O108" i="26" s="1"/>
  <c r="P108" i="26" s="1"/>
  <c r="M109" i="26"/>
  <c r="N109" i="26" s="1"/>
  <c r="O109" i="26" s="1"/>
  <c r="P109" i="26" s="1"/>
  <c r="M110" i="26"/>
  <c r="N110" i="26" s="1"/>
  <c r="O110" i="26" s="1"/>
  <c r="P110" i="26" s="1"/>
  <c r="M112" i="26"/>
  <c r="N112" i="26" s="1"/>
  <c r="O112" i="26" s="1"/>
  <c r="P112" i="26" s="1"/>
  <c r="M113" i="26"/>
  <c r="N113" i="26" s="1"/>
  <c r="O113" i="26" s="1"/>
  <c r="P113" i="26" s="1"/>
  <c r="M114" i="26"/>
  <c r="N114" i="26" s="1"/>
  <c r="O114" i="26" s="1"/>
  <c r="P114" i="26" s="1"/>
  <c r="M115" i="26"/>
  <c r="N115" i="26" s="1"/>
  <c r="O115" i="26" s="1"/>
  <c r="P115" i="26" s="1"/>
  <c r="M116" i="26"/>
  <c r="N116" i="26" s="1"/>
  <c r="O116" i="26" s="1"/>
  <c r="P116" i="26" s="1"/>
  <c r="M111" i="26"/>
  <c r="N111" i="26" s="1"/>
  <c r="O111" i="26" s="1"/>
  <c r="P111" i="26" s="1"/>
  <c r="M107" i="26"/>
  <c r="M335" i="26"/>
  <c r="N335" i="26" s="1"/>
  <c r="O335" i="26" s="1"/>
  <c r="P335" i="26" s="1"/>
  <c r="M157" i="26"/>
  <c r="N157" i="26" s="1"/>
  <c r="O157" i="26" s="1"/>
  <c r="P157" i="26" s="1"/>
  <c r="M10" i="26"/>
  <c r="N10" i="26" s="1"/>
  <c r="O10" i="26" s="1"/>
  <c r="P10" i="26" s="1"/>
  <c r="M576" i="26"/>
  <c r="N576" i="26" s="1"/>
  <c r="O576" i="26" s="1"/>
  <c r="P576" i="26" s="1"/>
  <c r="M310" i="26"/>
  <c r="N310" i="26" s="1"/>
  <c r="M228" i="26"/>
  <c r="N228" i="26" s="1"/>
  <c r="O228" i="26" s="1"/>
  <c r="P228" i="26" s="1"/>
  <c r="M617" i="26"/>
  <c r="N617" i="26" s="1"/>
  <c r="O617" i="26" s="1"/>
  <c r="P617" i="26" s="1"/>
  <c r="M361" i="26"/>
  <c r="N361" i="26" s="1"/>
  <c r="O361" i="26" s="1"/>
  <c r="P361" i="26" s="1"/>
  <c r="M90" i="26"/>
  <c r="M198" i="26"/>
  <c r="N198" i="26" s="1"/>
  <c r="O198" i="26" s="1"/>
  <c r="P198" i="26" s="1"/>
  <c r="M257" i="26"/>
  <c r="N257" i="26" s="1"/>
  <c r="O257" i="26" s="1"/>
  <c r="P257" i="26" s="1"/>
  <c r="M171" i="26"/>
  <c r="N171" i="26" s="1"/>
  <c r="O171" i="26" s="1"/>
  <c r="P171" i="26" s="1"/>
  <c r="M573" i="26"/>
  <c r="N573" i="26" s="1"/>
  <c r="O573" i="26" s="1"/>
  <c r="P573" i="26" s="1"/>
  <c r="M582" i="26"/>
  <c r="N582" i="26" s="1"/>
  <c r="O582" i="26" s="1"/>
  <c r="P582" i="26" s="1"/>
  <c r="M468" i="26"/>
  <c r="N468" i="26" s="1"/>
  <c r="O468" i="26" s="1"/>
  <c r="P468" i="26" s="1"/>
  <c r="M283" i="26"/>
  <c r="N283" i="26" s="1"/>
  <c r="O283" i="26" s="1"/>
  <c r="P283" i="26" s="1"/>
  <c r="M548" i="26"/>
  <c r="N548" i="26" s="1"/>
  <c r="O548" i="26" s="1"/>
  <c r="P548" i="26" s="1"/>
  <c r="M278" i="26"/>
  <c r="N278" i="26" s="1"/>
  <c r="O278" i="26" s="1"/>
  <c r="P278" i="26" s="1"/>
  <c r="M367" i="26"/>
  <c r="N367" i="26" s="1"/>
  <c r="O367" i="26" s="1"/>
  <c r="P367" i="26" s="1"/>
  <c r="M551" i="26"/>
  <c r="N551" i="26" s="1"/>
  <c r="O551" i="26" s="1"/>
  <c r="P551" i="26" s="1"/>
  <c r="M260" i="26"/>
  <c r="N260" i="26" s="1"/>
  <c r="O260" i="26" s="1"/>
  <c r="P260" i="26" s="1"/>
  <c r="M129" i="26"/>
  <c r="N129" i="26" s="1"/>
  <c r="O129" i="26" s="1"/>
  <c r="P129" i="26" s="1"/>
  <c r="M210" i="26"/>
  <c r="N210" i="26" s="1"/>
  <c r="O210" i="26" s="1"/>
  <c r="P210" i="26" s="1"/>
  <c r="M606" i="26"/>
  <c r="N606" i="26" s="1"/>
  <c r="O606" i="26" s="1"/>
  <c r="P606" i="26" s="1"/>
  <c r="M349" i="26"/>
  <c r="N349" i="26" s="1"/>
  <c r="O349" i="26" s="1"/>
  <c r="P349" i="26" s="1"/>
  <c r="M546" i="26"/>
  <c r="N546" i="26" s="1"/>
  <c r="O546" i="26" s="1"/>
  <c r="P546" i="26" s="1"/>
  <c r="M494" i="26"/>
  <c r="N494" i="26" s="1"/>
  <c r="O494" i="26" s="1"/>
  <c r="P494" i="26" s="1"/>
  <c r="M156" i="26"/>
  <c r="N156" i="26" s="1"/>
  <c r="O156" i="26" s="1"/>
  <c r="P156" i="26" s="1"/>
  <c r="M135" i="26"/>
  <c r="N135" i="26" s="1"/>
  <c r="O135" i="26" s="1"/>
  <c r="P135" i="26" s="1"/>
  <c r="M429" i="26"/>
  <c r="N429" i="26" s="1"/>
  <c r="O429" i="26" s="1"/>
  <c r="P429" i="26" s="1"/>
  <c r="M491" i="26"/>
  <c r="N491" i="26" s="1"/>
  <c r="O491" i="26" s="1"/>
  <c r="P491" i="26" s="1"/>
  <c r="M329" i="26"/>
  <c r="N329" i="26" s="1"/>
  <c r="O329" i="26" s="1"/>
  <c r="P329" i="26" s="1"/>
  <c r="M435" i="26"/>
  <c r="N435" i="26" s="1"/>
  <c r="O435" i="26" s="1"/>
  <c r="P435" i="26" s="1"/>
  <c r="M549" i="26"/>
  <c r="N549" i="26" s="1"/>
  <c r="O549" i="26" s="1"/>
  <c r="P549" i="26" s="1"/>
  <c r="M627" i="26"/>
  <c r="N627" i="26" s="1"/>
  <c r="O627" i="26" s="1"/>
  <c r="P627" i="26" s="1"/>
  <c r="M634" i="26"/>
  <c r="N634" i="26" s="1"/>
  <c r="O634" i="26" s="1"/>
  <c r="P634" i="26" s="1"/>
  <c r="M28" i="26"/>
  <c r="N28" i="26" s="1"/>
  <c r="O28" i="26" s="1"/>
  <c r="P28" i="26" s="1"/>
  <c r="M194" i="26"/>
  <c r="N194" i="26" s="1"/>
  <c r="O194" i="26" s="1"/>
  <c r="P194" i="26" s="1"/>
  <c r="M303" i="26"/>
  <c r="N303" i="26" s="1"/>
  <c r="O303" i="26" s="1"/>
  <c r="P303" i="26" s="1"/>
  <c r="M235" i="26"/>
  <c r="M91" i="26"/>
  <c r="M293" i="26"/>
  <c r="N293" i="26" s="1"/>
  <c r="O293" i="26" s="1"/>
  <c r="P293" i="26" s="1"/>
  <c r="M191" i="26"/>
  <c r="N191" i="26" s="1"/>
  <c r="O191" i="26" s="1"/>
  <c r="P191" i="26" s="1"/>
  <c r="M531" i="26"/>
  <c r="N531" i="26" s="1"/>
  <c r="O531" i="26" s="1"/>
  <c r="P531" i="26" s="1"/>
  <c r="M479" i="26"/>
  <c r="N479" i="26" s="1"/>
  <c r="O479" i="26" s="1"/>
  <c r="P479" i="26" s="1"/>
  <c r="M430" i="26"/>
  <c r="N430" i="26" s="1"/>
  <c r="O430" i="26" s="1"/>
  <c r="P430" i="26" s="1"/>
  <c r="M255" i="26"/>
  <c r="N255" i="26" s="1"/>
  <c r="O255" i="26" s="1"/>
  <c r="P255" i="26" s="1"/>
  <c r="M557" i="26"/>
  <c r="N557" i="26" s="1"/>
  <c r="O557" i="26" s="1"/>
  <c r="P557" i="26" s="1"/>
  <c r="M164" i="26"/>
  <c r="N164" i="26" s="1"/>
  <c r="O164" i="26" s="1"/>
  <c r="P164" i="26" s="1"/>
  <c r="M599" i="26"/>
  <c r="M136" i="26"/>
  <c r="N136" i="26" s="1"/>
  <c r="O136" i="26" s="1"/>
  <c r="P136" i="26" s="1"/>
  <c r="M570" i="26"/>
  <c r="N570" i="26" s="1"/>
  <c r="O570" i="26" s="1"/>
  <c r="P570" i="26" s="1"/>
  <c r="M630" i="26"/>
  <c r="N630" i="26" s="1"/>
  <c r="O630" i="26" s="1"/>
  <c r="P630" i="26" s="1"/>
  <c r="M58" i="26"/>
  <c r="N58" i="26" s="1"/>
  <c r="O58" i="26" s="1"/>
  <c r="P58" i="26" s="1"/>
  <c r="M102" i="26"/>
  <c r="N102" i="26" s="1"/>
  <c r="O102" i="26" s="1"/>
  <c r="P102" i="26" s="1"/>
  <c r="M438" i="26"/>
  <c r="N438" i="26" s="1"/>
  <c r="O438" i="26" s="1"/>
  <c r="P438" i="26" s="1"/>
  <c r="M565" i="26"/>
  <c r="N565" i="26" s="1"/>
  <c r="O565" i="26" s="1"/>
  <c r="P565" i="26" s="1"/>
  <c r="M625" i="26"/>
  <c r="N625" i="26" s="1"/>
  <c r="O625" i="26" s="1"/>
  <c r="P625" i="26" s="1"/>
  <c r="M172" i="26"/>
  <c r="N172" i="26" s="1"/>
  <c r="O172" i="26" s="1"/>
  <c r="P172" i="26" s="1"/>
  <c r="M218" i="26"/>
  <c r="N218" i="26" s="1"/>
  <c r="O218" i="26" s="1"/>
  <c r="P218" i="26" s="1"/>
  <c r="M74" i="26"/>
  <c r="M126" i="26"/>
  <c r="N126" i="26" s="1"/>
  <c r="O126" i="26" s="1"/>
  <c r="P126" i="26" s="1"/>
  <c r="M80" i="26"/>
  <c r="M55" i="26"/>
  <c r="N55" i="26" s="1"/>
  <c r="O55" i="26" s="1"/>
  <c r="P55" i="26" s="1"/>
  <c r="M200" i="26"/>
  <c r="M384" i="26"/>
  <c r="N384" i="26" s="1"/>
  <c r="O384" i="26" s="1"/>
  <c r="P384" i="26" s="1"/>
  <c r="M577" i="26"/>
  <c r="N577" i="26" s="1"/>
  <c r="O577" i="26" s="1"/>
  <c r="P577" i="26" s="1"/>
  <c r="M285" i="26"/>
  <c r="N285" i="26" s="1"/>
  <c r="O285" i="26" s="1"/>
  <c r="P285" i="26" s="1"/>
  <c r="M154" i="26"/>
  <c r="N154" i="26" s="1"/>
  <c r="O154" i="26" s="1"/>
  <c r="P154" i="26" s="1"/>
  <c r="M454" i="26"/>
  <c r="N454" i="26" s="1"/>
  <c r="O454" i="26" s="1"/>
  <c r="P454" i="26" s="1"/>
  <c r="M638" i="26"/>
  <c r="N638" i="26" s="1"/>
  <c r="O638" i="26" s="1"/>
  <c r="P638" i="26" s="1"/>
  <c r="M618" i="26"/>
  <c r="N618" i="26" s="1"/>
  <c r="O618" i="26" s="1"/>
  <c r="P618" i="26" s="1"/>
  <c r="M362" i="26"/>
  <c r="N362" i="26" s="1"/>
  <c r="O362" i="26" s="1"/>
  <c r="P362" i="26" s="1"/>
  <c r="M558" i="26"/>
  <c r="N558" i="26" s="1"/>
  <c r="O558" i="26" s="1"/>
  <c r="P558" i="26" s="1"/>
  <c r="M230" i="26"/>
  <c r="N230" i="26" s="1"/>
  <c r="O230" i="26" s="1"/>
  <c r="P230" i="26" s="1"/>
  <c r="M43" i="26"/>
  <c r="N43" i="26" s="1"/>
  <c r="O43" i="26" s="1"/>
  <c r="P43" i="26" s="1"/>
  <c r="M75" i="26"/>
  <c r="N75" i="26" s="1"/>
  <c r="O75" i="26" s="1"/>
  <c r="P75" i="26" s="1"/>
  <c r="M613" i="26"/>
  <c r="N613" i="26" s="1"/>
  <c r="O613" i="26" s="1"/>
  <c r="P613" i="26" s="1"/>
  <c r="M134" i="26"/>
  <c r="N134" i="26" s="1"/>
  <c r="O134" i="26" s="1"/>
  <c r="P134" i="26" s="1"/>
  <c r="M590" i="26"/>
  <c r="N590" i="26" s="1"/>
  <c r="O590" i="26" s="1"/>
  <c r="P590" i="26" s="1"/>
  <c r="M299" i="26"/>
  <c r="N299" i="26" s="1"/>
  <c r="O299" i="26" s="1"/>
  <c r="P299" i="26" s="1"/>
  <c r="M236" i="26"/>
  <c r="M79" i="26"/>
  <c r="M26" i="26"/>
  <c r="N26" i="26" s="1"/>
  <c r="O26" i="26" s="1"/>
  <c r="P26" i="26" s="1"/>
  <c r="M495" i="26"/>
  <c r="N495" i="26" s="1"/>
  <c r="O495" i="26" s="1"/>
  <c r="P495" i="26" s="1"/>
  <c r="M76" i="26"/>
  <c r="N76" i="26" s="1"/>
  <c r="O76" i="26" s="1"/>
  <c r="P76" i="26" s="1"/>
  <c r="M591" i="26"/>
  <c r="N591" i="26" s="1"/>
  <c r="O591" i="26" s="1"/>
  <c r="P591" i="26" s="1"/>
  <c r="M132" i="26"/>
  <c r="N132" i="26" s="1"/>
  <c r="O132" i="26" s="1"/>
  <c r="P132" i="26" s="1"/>
  <c r="M461" i="26"/>
  <c r="N461" i="26" s="1"/>
  <c r="O461" i="26" s="1"/>
  <c r="P461" i="26" s="1"/>
  <c r="M594" i="26"/>
  <c r="N594" i="26" s="1"/>
  <c r="O594" i="26" s="1"/>
  <c r="P594" i="26" s="1"/>
  <c r="M301" i="26"/>
  <c r="N301" i="26" s="1"/>
  <c r="O301" i="26" s="1"/>
  <c r="P301" i="26" s="1"/>
  <c r="M149" i="26"/>
  <c r="N149" i="26" s="1"/>
  <c r="O149" i="26" s="1"/>
  <c r="P149" i="26" s="1"/>
  <c r="M567" i="26"/>
  <c r="N567" i="26" s="1"/>
  <c r="O567" i="26" s="1"/>
  <c r="P567" i="26" s="1"/>
  <c r="M387" i="26"/>
  <c r="N387" i="26" s="1"/>
  <c r="O387" i="26" s="1"/>
  <c r="P387" i="26" s="1"/>
  <c r="M360" i="26"/>
  <c r="N360" i="26" s="1"/>
  <c r="O360" i="26" s="1"/>
  <c r="P360" i="26" s="1"/>
  <c r="M480" i="26"/>
  <c r="N480" i="26" s="1"/>
  <c r="O480" i="26" s="1"/>
  <c r="P480" i="26" s="1"/>
  <c r="M234" i="26"/>
  <c r="M49" i="26"/>
  <c r="N49" i="26" s="1"/>
  <c r="O49" i="26" s="1"/>
  <c r="P49" i="26" s="1"/>
  <c r="M226" i="26"/>
  <c r="N226" i="26" s="1"/>
  <c r="O226" i="26" s="1"/>
  <c r="P226" i="26" s="1"/>
  <c r="M537" i="26"/>
  <c r="N537" i="26" s="1"/>
  <c r="O537" i="26" s="1"/>
  <c r="P537" i="26" s="1"/>
  <c r="M124" i="26"/>
  <c r="N124" i="26" s="1"/>
  <c r="O124" i="26" s="1"/>
  <c r="P124" i="26" s="1"/>
  <c r="M632" i="26"/>
  <c r="N632" i="26" s="1"/>
  <c r="O632" i="26" s="1"/>
  <c r="P632" i="26" s="1"/>
  <c r="M56" i="26"/>
  <c r="N56" i="26" s="1"/>
  <c r="O56" i="26" s="1"/>
  <c r="P56" i="26" s="1"/>
  <c r="M368" i="26"/>
  <c r="N368" i="26" s="1"/>
  <c r="O368" i="26" s="1"/>
  <c r="P368" i="26" s="1"/>
  <c r="M268" i="26"/>
  <c r="N268" i="26" s="1"/>
  <c r="O268" i="26" s="1"/>
  <c r="P268" i="26" s="1"/>
  <c r="M578" i="26"/>
  <c r="N578" i="26" s="1"/>
  <c r="O578" i="26" s="1"/>
  <c r="P578" i="26" s="1"/>
  <c r="M266" i="26"/>
  <c r="N266" i="26" s="1"/>
  <c r="O266" i="26" s="1"/>
  <c r="P266" i="26" s="1"/>
  <c r="M440" i="26"/>
  <c r="N440" i="26" s="1"/>
  <c r="O440" i="26" s="1"/>
  <c r="P440" i="26" s="1"/>
  <c r="M119" i="26"/>
  <c r="M488" i="26"/>
  <c r="N488" i="26" s="1"/>
  <c r="O488" i="26" s="1"/>
  <c r="P488" i="26" s="1"/>
  <c r="M637" i="26"/>
  <c r="N637" i="26" s="1"/>
  <c r="O637" i="26" s="1"/>
  <c r="P637" i="26" s="1"/>
  <c r="M296" i="26"/>
  <c r="N296" i="26" s="1"/>
  <c r="O296" i="26" s="1"/>
  <c r="P296" i="26" s="1"/>
  <c r="M347" i="26"/>
  <c r="N347" i="26" s="1"/>
  <c r="O347" i="26" s="1"/>
  <c r="P347" i="26" s="1"/>
  <c r="M292" i="26"/>
  <c r="N292" i="26" s="1"/>
  <c r="O292" i="26" s="1"/>
  <c r="P292" i="26" s="1"/>
  <c r="M175" i="26"/>
  <c r="N175" i="26" s="1"/>
  <c r="O175" i="26" s="1"/>
  <c r="P175" i="26" s="1"/>
  <c r="M62" i="26"/>
  <c r="N62" i="26" s="1"/>
  <c r="O62" i="26" s="1"/>
  <c r="P62" i="26" s="1"/>
  <c r="M331" i="26"/>
  <c r="N331" i="26" s="1"/>
  <c r="O331" i="26" s="1"/>
  <c r="P331" i="26" s="1"/>
  <c r="M583" i="26"/>
  <c r="N583" i="26" s="1"/>
  <c r="O583" i="26" s="1"/>
  <c r="P583" i="26" s="1"/>
  <c r="M605" i="26"/>
  <c r="N605" i="26" s="1"/>
  <c r="O605" i="26" s="1"/>
  <c r="P605" i="26" s="1"/>
  <c r="M32" i="26"/>
  <c r="N32" i="26" s="1"/>
  <c r="O32" i="26" s="1"/>
  <c r="P32" i="26" s="1"/>
  <c r="M202" i="26"/>
  <c r="N202" i="26" s="1"/>
  <c r="O202" i="26" s="1"/>
  <c r="P202" i="26" s="1"/>
  <c r="M486" i="26"/>
  <c r="N486" i="26" s="1"/>
  <c r="O486" i="26" s="1"/>
  <c r="P486" i="26" s="1"/>
  <c r="M623" i="26"/>
  <c r="N623" i="26" s="1"/>
  <c r="O623" i="26" s="1"/>
  <c r="P623" i="26" s="1"/>
  <c r="M182" i="26"/>
  <c r="N182" i="26" s="1"/>
  <c r="O182" i="26" s="1"/>
  <c r="P182" i="26" s="1"/>
  <c r="M217" i="26"/>
  <c r="N217" i="26" s="1"/>
  <c r="O217" i="26" s="1"/>
  <c r="P217" i="26" s="1"/>
  <c r="M379" i="26"/>
  <c r="N379" i="26" s="1"/>
  <c r="O379" i="26" s="1"/>
  <c r="P379" i="26" s="1"/>
  <c r="M584" i="26"/>
  <c r="N584" i="26" s="1"/>
  <c r="O584" i="26" s="1"/>
  <c r="P584" i="26" s="1"/>
  <c r="M466" i="26"/>
  <c r="N466" i="26" s="1"/>
  <c r="O466" i="26" s="1"/>
  <c r="P466" i="26" s="1"/>
  <c r="M374" i="26"/>
  <c r="N374" i="26" s="1"/>
  <c r="O374" i="26" s="1"/>
  <c r="P374" i="26" s="1"/>
  <c r="M631" i="26"/>
  <c r="N631" i="26" s="1"/>
  <c r="O631" i="26" s="1"/>
  <c r="P631" i="26" s="1"/>
  <c r="M496" i="26"/>
  <c r="N496" i="26" s="1"/>
  <c r="O496" i="26" s="1"/>
  <c r="P496" i="26" s="1"/>
  <c r="M477" i="26"/>
  <c r="N477" i="26" s="1"/>
  <c r="O477" i="26" s="1"/>
  <c r="P477" i="26" s="1"/>
  <c r="M626" i="26"/>
  <c r="N626" i="26" s="1"/>
  <c r="O626" i="26" s="1"/>
  <c r="P626" i="26" s="1"/>
  <c r="M369" i="26"/>
  <c r="N369" i="26" s="1"/>
  <c r="O369" i="26" s="1"/>
  <c r="P369" i="26" s="1"/>
  <c r="M64" i="26"/>
  <c r="N64" i="26" s="1"/>
  <c r="O64" i="26" s="1"/>
  <c r="P64" i="26" s="1"/>
  <c r="M170" i="26"/>
  <c r="N170" i="26" s="1"/>
  <c r="O170" i="26" s="1"/>
  <c r="P170" i="26" s="1"/>
  <c r="M148" i="26"/>
  <c r="N148" i="26" s="1"/>
  <c r="O148" i="26" s="1"/>
  <c r="P148" i="26" s="1"/>
  <c r="M152" i="26"/>
  <c r="N152" i="26" s="1"/>
  <c r="O152" i="26" s="1"/>
  <c r="P152" i="26" s="1"/>
  <c r="M281" i="26"/>
  <c r="N281" i="26" s="1"/>
  <c r="O281" i="26" s="1"/>
  <c r="P281" i="26" s="1"/>
  <c r="M457" i="26"/>
  <c r="N457" i="26" s="1"/>
  <c r="O457" i="26" s="1"/>
  <c r="P457" i="26" s="1"/>
  <c r="M355" i="26"/>
  <c r="N355" i="26" s="1"/>
  <c r="O355" i="26" s="1"/>
  <c r="P355" i="26" s="1"/>
  <c r="M419" i="26"/>
  <c r="N419" i="26" s="1"/>
  <c r="O419" i="26" s="1"/>
  <c r="P419" i="26" s="1"/>
  <c r="M105" i="26"/>
  <c r="N105" i="26" s="1"/>
  <c r="O105" i="26" s="1"/>
  <c r="P105" i="26" s="1"/>
  <c r="M256" i="26"/>
  <c r="N256" i="26" s="1"/>
  <c r="O256" i="26" s="1"/>
  <c r="P256" i="26" s="1"/>
  <c r="M120" i="26"/>
  <c r="N120" i="26" s="1"/>
  <c r="O120" i="26" s="1"/>
  <c r="P120" i="26" s="1"/>
  <c r="M593" i="26"/>
  <c r="N593" i="26" s="1"/>
  <c r="O593" i="26" s="1"/>
  <c r="P593" i="26" s="1"/>
  <c r="M489" i="26"/>
  <c r="N489" i="26" s="1"/>
  <c r="O489" i="26" s="1"/>
  <c r="P489" i="26" s="1"/>
  <c r="M147" i="26"/>
  <c r="N147" i="26" s="1"/>
  <c r="O147" i="26" s="1"/>
  <c r="P147" i="26" s="1"/>
  <c r="M34" i="26"/>
  <c r="M225" i="26"/>
  <c r="N225" i="26" s="1"/>
  <c r="O225" i="26" s="1"/>
  <c r="P225" i="26" s="1"/>
  <c r="M541" i="26"/>
  <c r="N541" i="26" s="1"/>
  <c r="O541" i="26" s="1"/>
  <c r="P541" i="26" s="1"/>
  <c r="M41" i="26"/>
  <c r="N41" i="26" s="1"/>
  <c r="O41" i="26" s="1"/>
  <c r="P41" i="26" s="1"/>
  <c r="M241" i="26"/>
  <c r="M444" i="26"/>
  <c r="N444" i="26" s="1"/>
  <c r="O444" i="26" s="1"/>
  <c r="P444" i="26" s="1"/>
  <c r="M275" i="26"/>
  <c r="N275" i="26" s="1"/>
  <c r="O275" i="26" s="1"/>
  <c r="P275" i="26" s="1"/>
  <c r="M473" i="26"/>
  <c r="M439" i="26"/>
  <c r="N439" i="26" s="1"/>
  <c r="O439" i="26" s="1"/>
  <c r="P439" i="26" s="1"/>
  <c r="M487" i="26"/>
  <c r="N487" i="26" s="1"/>
  <c r="O487" i="26" s="1"/>
  <c r="P487" i="26" s="1"/>
  <c r="M552" i="26"/>
  <c r="N552" i="26" s="1"/>
  <c r="O552" i="26" s="1"/>
  <c r="P552" i="26" s="1"/>
  <c r="M305" i="26"/>
  <c r="N305" i="26" s="1"/>
  <c r="O305" i="26" s="1"/>
  <c r="P305" i="26" s="1"/>
  <c r="M162" i="26"/>
  <c r="N162" i="26" s="1"/>
  <c r="O162" i="26" s="1"/>
  <c r="P162" i="26" s="1"/>
  <c r="M276" i="26"/>
  <c r="N276" i="26" s="1"/>
  <c r="O276" i="26" s="1"/>
  <c r="P276" i="26" s="1"/>
  <c r="M559" i="26"/>
  <c r="N559" i="26" s="1"/>
  <c r="O559" i="26" s="1"/>
  <c r="P559" i="26" s="1"/>
  <c r="M186" i="26"/>
  <c r="N186" i="26" s="1"/>
  <c r="O186" i="26" s="1"/>
  <c r="P186" i="26" s="1"/>
  <c r="M11" i="26"/>
  <c r="N11" i="26" s="1"/>
  <c r="O11" i="26" s="1"/>
  <c r="P11" i="26" s="1"/>
  <c r="M222" i="26"/>
  <c r="N222" i="26" s="1"/>
  <c r="O222" i="26" s="1"/>
  <c r="P222" i="26" s="1"/>
  <c r="M326" i="26"/>
  <c r="N326" i="26" s="1"/>
  <c r="O326" i="26" s="1"/>
  <c r="P326" i="26" s="1"/>
  <c r="M619" i="26"/>
  <c r="N619" i="26" s="1"/>
  <c r="O619" i="26" s="1"/>
  <c r="P619" i="26" s="1"/>
  <c r="M363" i="26"/>
  <c r="N363" i="26" s="1"/>
  <c r="O363" i="26" s="1"/>
  <c r="P363" i="26" s="1"/>
  <c r="M547" i="26"/>
  <c r="N547" i="26" s="1"/>
  <c r="O547" i="26" s="1"/>
  <c r="P547" i="26" s="1"/>
  <c r="M455" i="26"/>
  <c r="N455" i="26" s="1"/>
  <c r="O455" i="26" s="1"/>
  <c r="P455" i="26" s="1"/>
  <c r="M312" i="26"/>
  <c r="N312" i="26" s="1"/>
  <c r="M144" i="26"/>
  <c r="N144" i="26" s="1"/>
  <c r="O144" i="26" s="1"/>
  <c r="P144" i="26" s="1"/>
  <c r="M176" i="26"/>
  <c r="N176" i="26" s="1"/>
  <c r="O176" i="26" s="1"/>
  <c r="P176" i="26" s="1"/>
  <c r="M67" i="26"/>
  <c r="N67" i="26" s="1"/>
  <c r="O67" i="26" s="1"/>
  <c r="P67" i="26" s="1"/>
  <c r="M188" i="26"/>
  <c r="N188" i="26" s="1"/>
  <c r="O188" i="26" s="1"/>
  <c r="P188" i="26" s="1"/>
  <c r="M420" i="26"/>
  <c r="N420" i="26" s="1"/>
  <c r="O420" i="26" s="1"/>
  <c r="P420" i="26" s="1"/>
  <c r="M86" i="26"/>
  <c r="N86" i="26" s="1"/>
  <c r="O86" i="26" s="1"/>
  <c r="P86" i="26" s="1"/>
  <c r="M14" i="26"/>
  <c r="N14" i="26" s="1"/>
  <c r="O14" i="26" s="1"/>
  <c r="P14" i="26" s="1"/>
  <c r="M604" i="26"/>
  <c r="N604" i="26" s="1"/>
  <c r="O604" i="26" s="1"/>
  <c r="P604" i="26" s="1"/>
  <c r="M280" i="26"/>
  <c r="N280" i="26" s="1"/>
  <c r="O280" i="26" s="1"/>
  <c r="P280" i="26" s="1"/>
  <c r="M423" i="26"/>
  <c r="N423" i="26" s="1"/>
  <c r="O423" i="26" s="1"/>
  <c r="P423" i="26" s="1"/>
  <c r="M589" i="26"/>
  <c r="N589" i="26" s="1"/>
  <c r="O589" i="26" s="1"/>
  <c r="P589" i="26" s="1"/>
  <c r="M298" i="26"/>
  <c r="N298" i="26" s="1"/>
  <c r="O298" i="26" s="1"/>
  <c r="P298" i="26" s="1"/>
  <c r="M168" i="26"/>
  <c r="N168" i="26" s="1"/>
  <c r="O168" i="26" s="1"/>
  <c r="P168" i="26" s="1"/>
  <c r="M328" i="26"/>
  <c r="N328" i="26" s="1"/>
  <c r="O328" i="26" s="1"/>
  <c r="P328" i="26" s="1"/>
  <c r="M525" i="26"/>
  <c r="N525" i="26" s="1"/>
  <c r="O525" i="26" s="1"/>
  <c r="P525" i="26" s="1"/>
  <c r="M173" i="26"/>
  <c r="N173" i="26" s="1"/>
  <c r="O173" i="26" s="1"/>
  <c r="P173" i="26" s="1"/>
  <c r="M29" i="26"/>
  <c r="N29" i="26" s="1"/>
  <c r="O29" i="26" s="1"/>
  <c r="P29" i="26" s="1"/>
  <c r="M306" i="26"/>
  <c r="N306" i="26" s="1"/>
  <c r="O306" i="26" s="1"/>
  <c r="P306" i="26" s="1"/>
  <c r="M580" i="26"/>
  <c r="N580" i="26" s="1"/>
  <c r="O580" i="26" s="1"/>
  <c r="P580" i="26" s="1"/>
  <c r="M288" i="26"/>
  <c r="N288" i="26" s="1"/>
  <c r="O288" i="26" s="1"/>
  <c r="P288" i="26" s="1"/>
  <c r="M529" i="26"/>
  <c r="N529" i="26" s="1"/>
  <c r="O529" i="26" s="1"/>
  <c r="P529" i="26" s="1"/>
  <c r="M342" i="26"/>
  <c r="N342" i="26" s="1"/>
  <c r="O342" i="26" s="1"/>
  <c r="P342" i="26" s="1"/>
  <c r="M526" i="26"/>
  <c r="N526" i="26" s="1"/>
  <c r="O526" i="26" s="1"/>
  <c r="P526" i="26" s="1"/>
  <c r="M220" i="26"/>
  <c r="N220" i="26" s="1"/>
  <c r="O220" i="26" s="1"/>
  <c r="P220" i="26" s="1"/>
  <c r="M616" i="26"/>
  <c r="N616" i="26" s="1"/>
  <c r="O616" i="26" s="1"/>
  <c r="P616" i="26" s="1"/>
  <c r="M307" i="26"/>
  <c r="N307" i="26" s="1"/>
  <c r="O307" i="26" s="1"/>
  <c r="P307" i="26" s="1"/>
  <c r="M289" i="26"/>
  <c r="N289" i="26" s="1"/>
  <c r="O289" i="26" s="1"/>
  <c r="P289" i="26" s="1"/>
  <c r="M353" i="26"/>
  <c r="N353" i="26" s="1"/>
  <c r="O353" i="26" s="1"/>
  <c r="P353" i="26" s="1"/>
  <c r="M150" i="26"/>
  <c r="N150" i="26" s="1"/>
  <c r="O150" i="26" s="1"/>
  <c r="P150" i="26" s="1"/>
  <c r="M219" i="26"/>
  <c r="N219" i="26" s="1"/>
  <c r="O219" i="26" s="1"/>
  <c r="P219" i="26" s="1"/>
  <c r="M87" i="26"/>
  <c r="N87" i="26" s="1"/>
  <c r="O87" i="26" s="1"/>
  <c r="P87" i="26" s="1"/>
  <c r="M478" i="26"/>
  <c r="N478" i="26" s="1"/>
  <c r="O478" i="26" s="1"/>
  <c r="P478" i="26" s="1"/>
  <c r="M614" i="26"/>
  <c r="N614" i="26" s="1"/>
  <c r="O614" i="26" s="1"/>
  <c r="P614" i="26" s="1"/>
  <c r="M357" i="26"/>
  <c r="N357" i="26" s="1"/>
  <c r="O357" i="26" s="1"/>
  <c r="P357" i="26" s="1"/>
  <c r="M52" i="26"/>
  <c r="N52" i="26" s="1"/>
  <c r="O52" i="26" s="1"/>
  <c r="P52" i="26" s="1"/>
  <c r="M44" i="26"/>
  <c r="N44" i="26" s="1"/>
  <c r="O44" i="26" s="1"/>
  <c r="P44" i="26" s="1"/>
  <c r="M433" i="26"/>
  <c r="M35" i="26"/>
  <c r="N35" i="26" s="1"/>
  <c r="O35" i="26" s="1"/>
  <c r="P35" i="26" s="1"/>
  <c r="M181" i="26"/>
  <c r="M231" i="26"/>
  <c r="N231" i="26" s="1"/>
  <c r="O231" i="26" s="1"/>
  <c r="P231" i="26" s="1"/>
  <c r="M239" i="26"/>
  <c r="M388" i="26"/>
  <c r="N388" i="26" s="1"/>
  <c r="O388" i="26" s="1"/>
  <c r="P388" i="26" s="1"/>
  <c r="M297" i="26"/>
  <c r="N297" i="26" s="1"/>
  <c r="O297" i="26" s="1"/>
  <c r="P297" i="26" s="1"/>
  <c r="M579" i="26"/>
  <c r="N579" i="26" s="1"/>
  <c r="O579" i="26" s="1"/>
  <c r="P579" i="26" s="1"/>
  <c r="M195" i="26"/>
  <c r="N195" i="26" s="1"/>
  <c r="O195" i="26" s="1"/>
  <c r="P195" i="26" s="1"/>
  <c r="M229" i="26"/>
  <c r="N229" i="26" s="1"/>
  <c r="O229" i="26" s="1"/>
  <c r="P229" i="26" s="1"/>
  <c r="M418" i="26"/>
  <c r="N418" i="26" s="1"/>
  <c r="O418" i="26" s="1"/>
  <c r="P418" i="26" s="1"/>
  <c r="M596" i="26"/>
  <c r="N596" i="26" s="1"/>
  <c r="O596" i="26" s="1"/>
  <c r="P596" i="26" s="1"/>
  <c r="M608" i="26"/>
  <c r="N608" i="26" s="1"/>
  <c r="O608" i="26" s="1"/>
  <c r="P608" i="26" s="1"/>
  <c r="M571" i="26"/>
  <c r="N571" i="26" s="1"/>
  <c r="O571" i="26" s="1"/>
  <c r="P571" i="26" s="1"/>
  <c r="M201" i="26"/>
  <c r="N201" i="26" s="1"/>
  <c r="O201" i="26" s="1"/>
  <c r="P201" i="26" s="1"/>
  <c r="M205" i="26"/>
  <c r="M592" i="26"/>
  <c r="N592" i="26" s="1"/>
  <c r="O592" i="26" s="1"/>
  <c r="P592" i="26" s="1"/>
  <c r="M428" i="26"/>
  <c r="N428" i="26" s="1"/>
  <c r="O428" i="26" s="1"/>
  <c r="P428" i="26" s="1"/>
  <c r="M587" i="26"/>
  <c r="N587" i="26" s="1"/>
  <c r="O587" i="26" s="1"/>
  <c r="P587" i="26" s="1"/>
  <c r="M96" i="26"/>
  <c r="N96" i="26" s="1"/>
  <c r="O96" i="26" s="1"/>
  <c r="P96" i="26" s="1"/>
  <c r="M163" i="26"/>
  <c r="N163" i="26" s="1"/>
  <c r="O163" i="26" s="1"/>
  <c r="P163" i="26" s="1"/>
  <c r="M620" i="26"/>
  <c r="N620" i="26" s="1"/>
  <c r="O620" i="26" s="1"/>
  <c r="P620" i="26" s="1"/>
  <c r="M469" i="26"/>
  <c r="N469" i="26" s="1"/>
  <c r="O469" i="26" s="1"/>
  <c r="P469" i="26" s="1"/>
  <c r="M215" i="26"/>
  <c r="N215" i="26" s="1"/>
  <c r="O215" i="26" s="1"/>
  <c r="P215" i="26" s="1"/>
  <c r="M377" i="26"/>
  <c r="N377" i="26" s="1"/>
  <c r="O377" i="26" s="1"/>
  <c r="P377" i="26" s="1"/>
  <c r="M337" i="26"/>
  <c r="N337" i="26" s="1"/>
  <c r="O337" i="26" s="1"/>
  <c r="P337" i="26" s="1"/>
  <c r="M533" i="26"/>
  <c r="N533" i="26" s="1"/>
  <c r="O533" i="26" s="1"/>
  <c r="P533" i="26" s="1"/>
  <c r="M206" i="26"/>
  <c r="N206" i="26" s="1"/>
  <c r="O206" i="26" s="1"/>
  <c r="P206" i="26" s="1"/>
  <c r="M474" i="26"/>
  <c r="M286" i="26"/>
  <c r="N286" i="26" s="1"/>
  <c r="O286" i="26" s="1"/>
  <c r="P286" i="26" s="1"/>
  <c r="M340" i="26"/>
  <c r="N340" i="26" s="1"/>
  <c r="O340" i="26" s="1"/>
  <c r="P340" i="26" s="1"/>
  <c r="M611" i="26"/>
  <c r="N611" i="26" s="1"/>
  <c r="O611" i="26" s="1"/>
  <c r="P611" i="26" s="1"/>
  <c r="M601" i="26"/>
  <c r="N601" i="26" s="1"/>
  <c r="O601" i="26" s="1"/>
  <c r="P601" i="26" s="1"/>
  <c r="M39" i="26"/>
  <c r="N39" i="26" s="1"/>
  <c r="O39" i="26" s="1"/>
  <c r="P39" i="26" s="1"/>
  <c r="M572" i="26"/>
  <c r="N572" i="26" s="1"/>
  <c r="O572" i="26" s="1"/>
  <c r="P572" i="26" s="1"/>
  <c r="M341" i="26"/>
  <c r="N341" i="26" s="1"/>
  <c r="O341" i="26" s="1"/>
  <c r="P341" i="26" s="1"/>
  <c r="M376" i="26"/>
  <c r="N376" i="26" s="1"/>
  <c r="O376" i="26" s="1"/>
  <c r="P376" i="26" s="1"/>
  <c r="M95" i="26"/>
  <c r="N95" i="26" s="1"/>
  <c r="O95" i="26" s="1"/>
  <c r="P95" i="26" s="1"/>
  <c r="M169" i="26"/>
  <c r="N169" i="26" s="1"/>
  <c r="O169" i="26" s="1"/>
  <c r="P169" i="26" s="1"/>
  <c r="M9" i="26"/>
  <c r="N9" i="26" s="1"/>
  <c r="O9" i="26" s="1"/>
  <c r="P9" i="26" s="1"/>
  <c r="M636" i="26"/>
  <c r="N636" i="26" s="1"/>
  <c r="O636" i="26" s="1"/>
  <c r="P636" i="26" s="1"/>
  <c r="M295" i="26"/>
  <c r="M472" i="26"/>
  <c r="M622" i="26"/>
  <c r="M13" i="26"/>
  <c r="N13" i="26" s="1"/>
  <c r="O13" i="26" s="1"/>
  <c r="P13" i="26" s="1"/>
  <c r="M254" i="26"/>
  <c r="M94" i="26"/>
  <c r="N94" i="26" s="1"/>
  <c r="O94" i="26" s="1"/>
  <c r="P94" i="26" s="1"/>
  <c r="M98" i="26"/>
  <c r="N98" i="26" s="1"/>
  <c r="O98" i="26" s="1"/>
  <c r="P98" i="26" s="1"/>
  <c r="M128" i="26"/>
  <c r="N128" i="26" s="1"/>
  <c r="O128" i="26" s="1"/>
  <c r="P128" i="26" s="1"/>
  <c r="M36" i="26"/>
  <c r="N36" i="26" s="1"/>
  <c r="O36" i="26" s="1"/>
  <c r="P36" i="26" s="1"/>
  <c r="M527" i="26"/>
  <c r="N527" i="26" s="1"/>
  <c r="O527" i="26" s="1"/>
  <c r="P527" i="26" s="1"/>
  <c r="M208" i="26"/>
  <c r="N208" i="26" s="1"/>
  <c r="O208" i="26" s="1"/>
  <c r="P208" i="26" s="1"/>
  <c r="M436" i="26"/>
  <c r="N436" i="26" s="1"/>
  <c r="O436" i="26" s="1"/>
  <c r="P436" i="26" s="1"/>
  <c r="M77" i="26"/>
  <c r="N77" i="26" s="1"/>
  <c r="O77" i="26" s="1"/>
  <c r="P77" i="26" s="1"/>
  <c r="M536" i="26"/>
  <c r="N536" i="26" s="1"/>
  <c r="O536" i="26" s="1"/>
  <c r="P536" i="26" s="1"/>
  <c r="M381" i="26"/>
  <c r="N381" i="26" s="1"/>
  <c r="O381" i="26" s="1"/>
  <c r="P381" i="26" s="1"/>
  <c r="M308" i="26"/>
  <c r="N308" i="26" s="1"/>
  <c r="O308" i="26" s="1"/>
  <c r="P308" i="26" s="1"/>
  <c r="M224" i="26"/>
  <c r="N224" i="26" s="1"/>
  <c r="O224" i="26" s="1"/>
  <c r="P224" i="26" s="1"/>
  <c r="M425" i="26"/>
  <c r="N425" i="26" s="1"/>
  <c r="O425" i="26" s="1"/>
  <c r="P425" i="26" s="1"/>
  <c r="M103" i="26"/>
  <c r="N103" i="26" s="1"/>
  <c r="O103" i="26" s="1"/>
  <c r="P103" i="26" s="1"/>
  <c r="M68" i="26"/>
  <c r="N68" i="26" s="1"/>
  <c r="O68" i="26" s="1"/>
  <c r="P68" i="26" s="1"/>
  <c r="M434" i="26"/>
  <c r="N434" i="26" s="1"/>
  <c r="O434" i="26" s="1"/>
  <c r="P434" i="26" s="1"/>
  <c r="M133" i="26"/>
  <c r="N133" i="26" s="1"/>
  <c r="O133" i="26" s="1"/>
  <c r="P133" i="26" s="1"/>
  <c r="M190" i="26"/>
  <c r="N190" i="26" s="1"/>
  <c r="O190" i="26" s="1"/>
  <c r="P190" i="26" s="1"/>
  <c r="M59" i="26"/>
  <c r="N59" i="26" s="1"/>
  <c r="O59" i="26" s="1"/>
  <c r="P59" i="26" s="1"/>
  <c r="M421" i="26"/>
  <c r="N421" i="26" s="1"/>
  <c r="O421" i="26" s="1"/>
  <c r="P421" i="26" s="1"/>
  <c r="M346" i="26"/>
  <c r="N346" i="26" s="1"/>
  <c r="O346" i="26" s="1"/>
  <c r="P346" i="26" s="1"/>
  <c r="M227" i="26"/>
  <c r="N227" i="26" s="1"/>
  <c r="O227" i="26" s="1"/>
  <c r="P227" i="26" s="1"/>
  <c r="M389" i="26"/>
  <c r="N389" i="26" s="1"/>
  <c r="O389" i="26" s="1"/>
  <c r="P389" i="26" s="1"/>
  <c r="M375" i="26"/>
  <c r="N375" i="26" s="1"/>
  <c r="O375" i="26" s="1"/>
  <c r="P375" i="26" s="1"/>
  <c r="M449" i="26"/>
  <c r="N449" i="26" s="1"/>
  <c r="O449" i="26" s="1"/>
  <c r="P449" i="26" s="1"/>
  <c r="M344" i="26"/>
  <c r="N344" i="26" s="1"/>
  <c r="O344" i="26" s="1"/>
  <c r="P344" i="26" s="1"/>
  <c r="M291" i="26"/>
  <c r="N291" i="26" s="1"/>
  <c r="O291" i="26" s="1"/>
  <c r="P291" i="26" s="1"/>
  <c r="M539" i="26"/>
  <c r="N539" i="26" s="1"/>
  <c r="O539" i="26" s="1"/>
  <c r="P539" i="26" s="1"/>
  <c r="M595" i="26"/>
  <c r="N595" i="26" s="1"/>
  <c r="O595" i="26" s="1"/>
  <c r="P595" i="26" s="1"/>
  <c r="M443" i="26"/>
  <c r="M528" i="26"/>
  <c r="N528" i="26" s="1"/>
  <c r="O528" i="26" s="1"/>
  <c r="P528" i="26" s="1"/>
  <c r="M523" i="26"/>
  <c r="N523" i="26" s="1"/>
  <c r="O523" i="26" s="1"/>
  <c r="P523" i="26" s="1"/>
  <c r="M451" i="26"/>
  <c r="N451" i="26" s="1"/>
  <c r="O451" i="26" s="1"/>
  <c r="P451" i="26" s="1"/>
  <c r="M610" i="26"/>
  <c r="N610" i="26" s="1"/>
  <c r="O610" i="26" s="1"/>
  <c r="P610" i="26" s="1"/>
  <c r="M30" i="26"/>
  <c r="N30" i="26" s="1"/>
  <c r="O30" i="26" s="1"/>
  <c r="P30" i="26" s="1"/>
  <c r="M581" i="26"/>
  <c r="N581" i="26" s="1"/>
  <c r="O581" i="26" s="1"/>
  <c r="P581" i="26" s="1"/>
  <c r="M47" i="26"/>
  <c r="N47" i="26" s="1"/>
  <c r="O47" i="26" s="1"/>
  <c r="P47" i="26" s="1"/>
  <c r="M568" i="26"/>
  <c r="N568" i="26" s="1"/>
  <c r="O568" i="26" s="1"/>
  <c r="P568" i="26" s="1"/>
  <c r="M383" i="26"/>
  <c r="N383" i="26" s="1"/>
  <c r="O383" i="26" s="1"/>
  <c r="P383" i="26" s="1"/>
  <c r="M588" i="26"/>
  <c r="N588" i="26" s="1"/>
  <c r="O588" i="26" s="1"/>
  <c r="P588" i="26" s="1"/>
  <c r="M270" i="26"/>
  <c r="N270" i="26" s="1"/>
  <c r="O270" i="26" s="1"/>
  <c r="P270" i="26" s="1"/>
  <c r="M127" i="26"/>
  <c r="N127" i="26" s="1"/>
  <c r="O127" i="26" s="1"/>
  <c r="P127" i="26" s="1"/>
  <c r="M607" i="26"/>
  <c r="N607" i="26" s="1"/>
  <c r="O607" i="26" s="1"/>
  <c r="P607" i="26" s="1"/>
  <c r="M350" i="26"/>
  <c r="N350" i="26" s="1"/>
  <c r="O350" i="26" s="1"/>
  <c r="P350" i="26" s="1"/>
  <c r="M85" i="26"/>
  <c r="N85" i="26" s="1"/>
  <c r="O85" i="26" s="1"/>
  <c r="P85" i="26" s="1"/>
  <c r="M450" i="26"/>
  <c r="N450" i="26" s="1"/>
  <c r="O450" i="26" s="1"/>
  <c r="P450" i="26" s="1"/>
  <c r="M333" i="26"/>
  <c r="M193" i="26"/>
  <c r="N193" i="26" s="1"/>
  <c r="O193" i="26" s="1"/>
  <c r="P193" i="26" s="1"/>
  <c r="M187" i="26"/>
  <c r="N187" i="26" s="1"/>
  <c r="O187" i="26" s="1"/>
  <c r="P187" i="26" s="1"/>
  <c r="M71" i="26"/>
  <c r="N71" i="26" s="1"/>
  <c r="O71" i="26" s="1"/>
  <c r="P71" i="26" s="1"/>
  <c r="M336" i="26"/>
  <c r="N336" i="26" s="1"/>
  <c r="O336" i="26" s="1"/>
  <c r="P336" i="26" s="1"/>
  <c r="M7" i="26"/>
  <c r="N7" i="26" s="1"/>
  <c r="O7" i="26" s="1"/>
  <c r="P7" i="26" s="1"/>
  <c r="M63" i="26"/>
  <c r="N63" i="26" s="1"/>
  <c r="O63" i="26" s="1"/>
  <c r="P63" i="26" s="1"/>
  <c r="M177" i="26"/>
  <c r="N177" i="26" s="1"/>
  <c r="O177" i="26" s="1"/>
  <c r="P177" i="26" s="1"/>
  <c r="M553" i="26"/>
  <c r="N553" i="26" s="1"/>
  <c r="O553" i="26" s="1"/>
  <c r="P553" i="26" s="1"/>
  <c r="M262" i="26"/>
  <c r="M82" i="26"/>
  <c r="N82" i="26" s="1"/>
  <c r="O82" i="26" s="1"/>
  <c r="P82" i="26" s="1"/>
  <c r="M460" i="26"/>
  <c r="N460" i="26" s="1"/>
  <c r="O460" i="26" s="1"/>
  <c r="P460" i="26" s="1"/>
  <c r="M540" i="26"/>
  <c r="N540" i="26" s="1"/>
  <c r="O540" i="26" s="1"/>
  <c r="P540" i="26" s="1"/>
  <c r="M99" i="26"/>
  <c r="N99" i="26" s="1"/>
  <c r="O99" i="26" s="1"/>
  <c r="P99" i="26" s="1"/>
  <c r="M339" i="26"/>
  <c r="N339" i="26" s="1"/>
  <c r="O339" i="26" s="1"/>
  <c r="P339" i="26" s="1"/>
  <c r="M535" i="26"/>
  <c r="N535" i="26" s="1"/>
  <c r="O535" i="26" s="1"/>
  <c r="P535" i="26" s="1"/>
  <c r="M183" i="26"/>
  <c r="N183" i="26" s="1"/>
  <c r="O183" i="26" s="1"/>
  <c r="P183" i="26" s="1"/>
  <c r="M160" i="26"/>
  <c r="N160" i="26" s="1"/>
  <c r="O160" i="26" s="1"/>
  <c r="P160" i="26" s="1"/>
  <c r="M51" i="26"/>
  <c r="N51" i="26" s="1"/>
  <c r="O51" i="26" s="1"/>
  <c r="P51" i="26" s="1"/>
  <c r="M330" i="26"/>
  <c r="N330" i="26" s="1"/>
  <c r="O330" i="26" s="1"/>
  <c r="P330" i="26" s="1"/>
  <c r="M311" i="26"/>
  <c r="N311" i="26" s="1"/>
  <c r="M554" i="26"/>
  <c r="N554" i="26" s="1"/>
  <c r="O554" i="26" s="1"/>
  <c r="P554" i="26" s="1"/>
  <c r="M263" i="26"/>
  <c r="M259" i="26"/>
  <c r="N259" i="26" s="1"/>
  <c r="O259" i="26" s="1"/>
  <c r="P259" i="26" s="1"/>
  <c r="M161" i="26"/>
  <c r="N161" i="26" s="1"/>
  <c r="O161" i="26" s="1"/>
  <c r="P161" i="26" s="1"/>
  <c r="M380" i="26"/>
  <c r="N380" i="26" s="1"/>
  <c r="O380" i="26" s="1"/>
  <c r="P380" i="26" s="1"/>
  <c r="M70" i="26"/>
  <c r="N70" i="26" s="1"/>
  <c r="O70" i="26" s="1"/>
  <c r="P70" i="26" s="1"/>
  <c r="M465" i="26"/>
  <c r="N465" i="26" s="1"/>
  <c r="O465" i="26" s="1"/>
  <c r="P465" i="26" s="1"/>
  <c r="M345" i="26"/>
  <c r="N345" i="26" s="1"/>
  <c r="O345" i="26" s="1"/>
  <c r="P345" i="26" s="1"/>
  <c r="M207" i="26"/>
  <c r="N207" i="26" s="1"/>
  <c r="O207" i="26" s="1"/>
  <c r="P207" i="26" s="1"/>
  <c r="M121" i="26"/>
  <c r="N121" i="26" s="1"/>
  <c r="O121" i="26" s="1"/>
  <c r="P121" i="26" s="1"/>
  <c r="M445" i="26"/>
  <c r="N445" i="26" s="1"/>
  <c r="O445" i="26" s="1"/>
  <c r="P445" i="26" s="1"/>
  <c r="M27" i="26"/>
  <c r="N27" i="26" s="1"/>
  <c r="O27" i="26" s="1"/>
  <c r="P27" i="26" s="1"/>
  <c r="M159" i="26"/>
  <c r="N159" i="26" s="1"/>
  <c r="O159" i="26" s="1"/>
  <c r="P159" i="26" s="1"/>
  <c r="M65" i="26"/>
  <c r="N65" i="26" s="1"/>
  <c r="O65" i="26" s="1"/>
  <c r="P65" i="26" s="1"/>
  <c r="M48" i="26"/>
  <c r="N48" i="26" s="1"/>
  <c r="O48" i="26" s="1"/>
  <c r="P48" i="26" s="1"/>
  <c r="M600" i="26"/>
  <c r="N600" i="26" s="1"/>
  <c r="O600" i="26" s="1"/>
  <c r="P600" i="26" s="1"/>
  <c r="M203" i="26"/>
  <c r="N203" i="26" s="1"/>
  <c r="O203" i="26" s="1"/>
  <c r="P203" i="26" s="1"/>
  <c r="M364" i="26"/>
  <c r="N364" i="26" s="1"/>
  <c r="O364" i="26" s="1"/>
  <c r="P364" i="26" s="1"/>
  <c r="M209" i="26"/>
  <c r="N209" i="26" s="1"/>
  <c r="O209" i="26" s="1"/>
  <c r="P209" i="26" s="1"/>
  <c r="M223" i="26"/>
  <c r="N223" i="26" s="1"/>
  <c r="O223" i="26" s="1"/>
  <c r="P223" i="26" s="1"/>
  <c r="M141" i="26"/>
  <c r="N141" i="26" s="1"/>
  <c r="O141" i="26" s="1"/>
  <c r="P141" i="26" s="1"/>
  <c r="M334" i="26"/>
  <c r="N334" i="26" s="1"/>
  <c r="O334" i="26" s="1"/>
  <c r="P334" i="26" s="1"/>
  <c r="M46" i="26"/>
  <c r="N46" i="26" s="1"/>
  <c r="O46" i="26" s="1"/>
  <c r="P46" i="26" s="1"/>
  <c r="M184" i="26"/>
  <c r="N184" i="26" s="1"/>
  <c r="O184" i="26" s="1"/>
  <c r="P184" i="26" s="1"/>
  <c r="M431" i="26"/>
  <c r="N431" i="26" s="1"/>
  <c r="O431" i="26" s="1"/>
  <c r="P431" i="26" s="1"/>
  <c r="M561" i="26"/>
  <c r="N561" i="26" s="1"/>
  <c r="O561" i="26" s="1"/>
  <c r="P561" i="26" s="1"/>
  <c r="M138" i="26"/>
  <c r="N138" i="26" s="1"/>
  <c r="O138" i="26" s="1"/>
  <c r="P138" i="26" s="1"/>
  <c r="M327" i="26"/>
  <c r="N327" i="26" s="1"/>
  <c r="O327" i="26" s="1"/>
  <c r="P327" i="26" s="1"/>
  <c r="M31" i="26"/>
  <c r="N31" i="26" s="1"/>
  <c r="O31" i="26" s="1"/>
  <c r="P31" i="26" s="1"/>
  <c r="M189" i="26"/>
  <c r="N189" i="26" s="1"/>
  <c r="O189" i="26" s="1"/>
  <c r="P189" i="26" s="1"/>
  <c r="M277" i="26"/>
  <c r="N277" i="26" s="1"/>
  <c r="O277" i="26" s="1"/>
  <c r="P277" i="26" s="1"/>
  <c r="M153" i="26"/>
  <c r="N153" i="26" s="1"/>
  <c r="O153" i="26" s="1"/>
  <c r="P153" i="26" s="1"/>
  <c r="M366" i="26"/>
  <c r="N366" i="26" s="1"/>
  <c r="O366" i="26" s="1"/>
  <c r="P366" i="26" s="1"/>
  <c r="M274" i="26"/>
  <c r="N274" i="26" s="1"/>
  <c r="O274" i="26" s="1"/>
  <c r="P274" i="26" s="1"/>
  <c r="M179" i="26"/>
  <c r="N179" i="26" s="1"/>
  <c r="O179" i="26" s="1"/>
  <c r="P179" i="26" s="1"/>
  <c r="M61" i="26"/>
  <c r="N61" i="26" s="1"/>
  <c r="O61" i="26" s="1"/>
  <c r="P61" i="26" s="1"/>
  <c r="M216" i="26"/>
  <c r="N216" i="26" s="1"/>
  <c r="O216" i="26" s="1"/>
  <c r="P216" i="26" s="1"/>
  <c r="M602" i="26"/>
  <c r="N602" i="26" s="1"/>
  <c r="O602" i="26" s="1"/>
  <c r="P602" i="26" s="1"/>
  <c r="M550" i="26"/>
  <c r="N550" i="26" s="1"/>
  <c r="O550" i="26" s="1"/>
  <c r="P550" i="26" s="1"/>
  <c r="M269" i="26"/>
  <c r="N269" i="26" s="1"/>
  <c r="O269" i="26" s="1"/>
  <c r="P269" i="26" s="1"/>
  <c r="M586" i="26"/>
  <c r="N586" i="26" s="1"/>
  <c r="O586" i="26" s="1"/>
  <c r="P586" i="26" s="1"/>
  <c r="M325" i="26"/>
  <c r="N325" i="26" s="1"/>
  <c r="O325" i="26" s="1"/>
  <c r="P325" i="26" s="1"/>
  <c r="M448" i="26"/>
  <c r="N448" i="26" s="1"/>
  <c r="O448" i="26" s="1"/>
  <c r="P448" i="26" s="1"/>
  <c r="M146" i="26"/>
  <c r="M560" i="26"/>
  <c r="N560" i="26" s="1"/>
  <c r="O560" i="26" s="1"/>
  <c r="P560" i="26" s="1"/>
  <c r="M174" i="26"/>
  <c r="N174" i="26" s="1"/>
  <c r="O174" i="26" s="1"/>
  <c r="P174" i="26" s="1"/>
  <c r="M351" i="26"/>
  <c r="N351" i="26" s="1"/>
  <c r="O351" i="26" s="1"/>
  <c r="P351" i="26" s="1"/>
  <c r="M385" i="26"/>
  <c r="N385" i="26" s="1"/>
  <c r="O385" i="26" s="1"/>
  <c r="P385" i="26" s="1"/>
  <c r="M178" i="26"/>
  <c r="N178" i="26" s="1"/>
  <c r="O178" i="26" s="1"/>
  <c r="P178" i="26" s="1"/>
  <c r="M101" i="26"/>
  <c r="N101" i="26" s="1"/>
  <c r="O101" i="26" s="1"/>
  <c r="P101" i="26" s="1"/>
  <c r="M365" i="26"/>
  <c r="N365" i="26" s="1"/>
  <c r="O365" i="26" s="1"/>
  <c r="P365" i="26" s="1"/>
  <c r="M69" i="26"/>
  <c r="N69" i="26" s="1"/>
  <c r="O69" i="26" s="1"/>
  <c r="P69" i="26" s="1"/>
  <c r="M497" i="26"/>
  <c r="N497" i="26" s="1"/>
  <c r="O497" i="26" s="1"/>
  <c r="P497" i="26" s="1"/>
  <c r="M131" i="26"/>
  <c r="N131" i="26" s="1"/>
  <c r="O131" i="26" s="1"/>
  <c r="P131" i="26" s="1"/>
  <c r="M566" i="26"/>
  <c r="N566" i="26" s="1"/>
  <c r="O566" i="26" s="1"/>
  <c r="P566" i="26" s="1"/>
  <c r="M564" i="26"/>
  <c r="N564" i="26" s="1"/>
  <c r="O564" i="26" s="1"/>
  <c r="P564" i="26" s="1"/>
  <c r="M93" i="26"/>
  <c r="N93" i="26" s="1"/>
  <c r="O93" i="26" s="1"/>
  <c r="P93" i="26" s="1"/>
  <c r="M197" i="26"/>
  <c r="N197" i="26" s="1"/>
  <c r="O197" i="26" s="1"/>
  <c r="P197" i="26" s="1"/>
  <c r="M88" i="26"/>
  <c r="N88" i="26" s="1"/>
  <c r="O88" i="26" s="1"/>
  <c r="P88" i="26" s="1"/>
  <c r="M282" i="26"/>
  <c r="N282" i="26" s="1"/>
  <c r="O282" i="26" s="1"/>
  <c r="P282" i="26" s="1"/>
  <c r="M458" i="26"/>
  <c r="N458" i="26" s="1"/>
  <c r="O458" i="26" s="1"/>
  <c r="P458" i="26" s="1"/>
  <c r="M609" i="26"/>
  <c r="N609" i="26" s="1"/>
  <c r="O609" i="26" s="1"/>
  <c r="P609" i="26" s="1"/>
  <c r="M40" i="26"/>
  <c r="N40" i="26" s="1"/>
  <c r="O40" i="26" s="1"/>
  <c r="P40" i="26" s="1"/>
  <c r="M470" i="26"/>
  <c r="N470" i="26" s="1"/>
  <c r="O470" i="26" s="1"/>
  <c r="P470" i="26" s="1"/>
  <c r="M555" i="26"/>
  <c r="N555" i="26" s="1"/>
  <c r="O555" i="26" s="1"/>
  <c r="P555" i="26" s="1"/>
  <c r="M264" i="26"/>
  <c r="M140" i="26"/>
  <c r="N140" i="26" s="1"/>
  <c r="O140" i="26" s="1"/>
  <c r="P140" i="26" s="1"/>
  <c r="M635" i="26"/>
  <c r="N635" i="26" s="1"/>
  <c r="O635" i="26" s="1"/>
  <c r="P635" i="26" s="1"/>
  <c r="M123" i="26"/>
  <c r="N123" i="26" s="1"/>
  <c r="O123" i="26" s="1"/>
  <c r="P123" i="26" s="1"/>
  <c r="M237" i="26"/>
  <c r="M302" i="26"/>
  <c r="N302" i="26" s="1"/>
  <c r="O302" i="26" s="1"/>
  <c r="P302" i="26" s="1"/>
  <c r="M267" i="26"/>
  <c r="N267" i="26" s="1"/>
  <c r="O267" i="26" s="1"/>
  <c r="P267" i="26" s="1"/>
  <c r="M456" i="26"/>
  <c r="N456" i="26" s="1"/>
  <c r="O456" i="26" s="1"/>
  <c r="P456" i="26" s="1"/>
  <c r="M532" i="26"/>
  <c r="N532" i="26" s="1"/>
  <c r="O532" i="26" s="1"/>
  <c r="P532" i="26" s="1"/>
  <c r="M37" i="26"/>
  <c r="N37" i="26" s="1"/>
  <c r="O37" i="26" s="1"/>
  <c r="P37" i="26" s="1"/>
  <c r="M84" i="26"/>
  <c r="N84" i="26" s="1"/>
  <c r="O84" i="26" s="1"/>
  <c r="P84" i="26" s="1"/>
  <c r="M615" i="26"/>
  <c r="N615" i="26" s="1"/>
  <c r="O615" i="26" s="1"/>
  <c r="P615" i="26" s="1"/>
  <c r="M42" i="26"/>
  <c r="N42" i="26" s="1"/>
  <c r="O42" i="26" s="1"/>
  <c r="P42" i="26" s="1"/>
  <c r="M271" i="26"/>
  <c r="N271" i="26" s="1"/>
  <c r="O271" i="26" s="1"/>
  <c r="P271" i="26" s="1"/>
  <c r="M492" i="26"/>
  <c r="N492" i="26" s="1"/>
  <c r="O492" i="26" s="1"/>
  <c r="P492" i="26" s="1"/>
  <c r="M422" i="26"/>
  <c r="N422" i="26" s="1"/>
  <c r="O422" i="26" s="1"/>
  <c r="P422" i="26" s="1"/>
  <c r="M446" i="26"/>
  <c r="N446" i="26" s="1"/>
  <c r="O446" i="26" s="1"/>
  <c r="P446" i="26" s="1"/>
  <c r="M356" i="26"/>
  <c r="N356" i="26" s="1"/>
  <c r="O356" i="26" s="1"/>
  <c r="P356" i="26" s="1"/>
  <c r="M143" i="26"/>
  <c r="N143" i="26" s="1"/>
  <c r="O143" i="26" s="1"/>
  <c r="P143" i="26" s="1"/>
  <c r="M543" i="26"/>
  <c r="N543" i="26" s="1"/>
  <c r="O543" i="26" s="1"/>
  <c r="P543" i="26" s="1"/>
  <c r="M238" i="26"/>
  <c r="M426" i="26"/>
  <c r="N426" i="26" s="1"/>
  <c r="O426" i="26" s="1"/>
  <c r="P426" i="26" s="1"/>
  <c r="M629" i="26"/>
  <c r="N629" i="26" s="1"/>
  <c r="O629" i="26" s="1"/>
  <c r="P629" i="26" s="1"/>
  <c r="M196" i="26"/>
  <c r="N196" i="26" s="1"/>
  <c r="O196" i="26" s="1"/>
  <c r="P196" i="26" s="1"/>
  <c r="M324" i="26"/>
  <c r="N324" i="26" s="1"/>
  <c r="O324" i="26" s="1"/>
  <c r="P324" i="26" s="1"/>
  <c r="M57" i="26"/>
  <c r="N57" i="26" s="1"/>
  <c r="O57" i="26" s="1"/>
  <c r="P57" i="26" s="1"/>
  <c r="M524" i="26"/>
  <c r="N524" i="26" s="1"/>
  <c r="O524" i="26" s="1"/>
  <c r="P524" i="26" s="1"/>
  <c r="M8" i="26"/>
  <c r="N8" i="26" s="1"/>
  <c r="O8" i="26" s="1"/>
  <c r="P8" i="26" s="1"/>
  <c r="M137" i="26"/>
  <c r="N137" i="26" s="1"/>
  <c r="O137" i="26" s="1"/>
  <c r="P137" i="26" s="1"/>
  <c r="M556" i="26"/>
  <c r="N556" i="26" s="1"/>
  <c r="O556" i="26" s="1"/>
  <c r="P556" i="26" s="1"/>
  <c r="M538" i="26"/>
  <c r="N538" i="26" s="1"/>
  <c r="O538" i="26" s="1"/>
  <c r="P538" i="26" s="1"/>
  <c r="M373" i="26"/>
  <c r="M563" i="26"/>
  <c r="M300" i="26"/>
  <c r="N300" i="26" s="1"/>
  <c r="O300" i="26" s="1"/>
  <c r="P300" i="26" s="1"/>
  <c r="M54" i="26"/>
  <c r="M78" i="26"/>
  <c r="M417" i="26"/>
  <c r="M453" i="26"/>
  <c r="M476" i="26"/>
  <c r="M214" i="26"/>
  <c r="M624" i="26"/>
  <c r="N624" i="26" s="1"/>
  <c r="O624" i="26" s="1"/>
  <c r="P624" i="26" s="1"/>
  <c r="M92" i="26"/>
  <c r="N92" i="26" s="1"/>
  <c r="O92" i="26" s="1"/>
  <c r="P92" i="26" s="1"/>
  <c r="M273" i="26"/>
  <c r="M122" i="26"/>
  <c r="N122" i="26" s="1"/>
  <c r="O122" i="26" s="1"/>
  <c r="P122" i="26" s="1"/>
  <c r="M258" i="26"/>
  <c r="N258" i="26" s="1"/>
  <c r="O258" i="26" s="1"/>
  <c r="P258" i="26" s="1"/>
  <c r="M522" i="26"/>
  <c r="M437" i="26"/>
  <c r="N437" i="26" s="1"/>
  <c r="O437" i="26" s="1"/>
  <c r="P437" i="26" s="1"/>
  <c r="M6" i="26"/>
  <c r="M481" i="26"/>
  <c r="N481" i="26" s="1"/>
  <c r="O481" i="26" s="1"/>
  <c r="P481" i="26" s="1"/>
  <c r="M378" i="26"/>
  <c r="N378" i="26" s="1"/>
  <c r="O378" i="26" s="1"/>
  <c r="P378" i="26" s="1"/>
  <c r="M81" i="26"/>
  <c r="N81" i="26" s="1"/>
  <c r="O81" i="26" s="1"/>
  <c r="P81" i="26" s="1"/>
  <c r="M233" i="26"/>
  <c r="M304" i="26"/>
  <c r="N304" i="26" s="1"/>
  <c r="O304" i="26" s="1"/>
  <c r="P304" i="26" s="1"/>
  <c r="M483" i="26"/>
  <c r="N483" i="26" s="1"/>
  <c r="O483" i="26" s="1"/>
  <c r="P483" i="26" s="1"/>
  <c r="M151" i="26"/>
  <c r="N151" i="26" s="1"/>
  <c r="O151" i="26" s="1"/>
  <c r="P151" i="26" s="1"/>
  <c r="M25" i="26"/>
  <c r="M12" i="26"/>
  <c r="N12" i="26" s="1"/>
  <c r="O12" i="26" s="1"/>
  <c r="P12" i="26" s="1"/>
  <c r="M185" i="26"/>
  <c r="N185" i="26" s="1"/>
  <c r="O185" i="26" s="1"/>
  <c r="P185" i="26" s="1"/>
  <c r="M323" i="26"/>
  <c r="M338" i="26"/>
  <c r="N338" i="26" s="1"/>
  <c r="O338" i="26" s="1"/>
  <c r="P338" i="26" s="1"/>
  <c r="M459" i="26"/>
  <c r="N459" i="26" s="1"/>
  <c r="O459" i="26" s="1"/>
  <c r="P459" i="26" s="1"/>
  <c r="M424" i="26"/>
  <c r="N424" i="26" s="1"/>
  <c r="O424" i="26" s="1"/>
  <c r="P424" i="26" s="1"/>
  <c r="M447" i="26"/>
  <c r="N447" i="26" s="1"/>
  <c r="O447" i="26" s="1"/>
  <c r="P447" i="26" s="1"/>
  <c r="M97" i="26"/>
  <c r="N97" i="26" s="1"/>
  <c r="O97" i="26" s="1"/>
  <c r="P97" i="26" s="1"/>
  <c r="M575" i="26"/>
  <c r="M628" i="26"/>
  <c r="N628" i="26" s="1"/>
  <c r="O628" i="26" s="1"/>
  <c r="P628" i="26" s="1"/>
  <c r="M261" i="26"/>
  <c r="M38" i="26"/>
  <c r="N38" i="26" s="1"/>
  <c r="O38" i="26" s="1"/>
  <c r="P38" i="26" s="1"/>
  <c r="M279" i="26"/>
  <c r="N279" i="26" s="1"/>
  <c r="O279" i="26" s="1"/>
  <c r="P279" i="26" s="1"/>
  <c r="M125" i="26"/>
  <c r="N125" i="26" s="1"/>
  <c r="O125" i="26" s="1"/>
  <c r="P125" i="26" s="1"/>
  <c r="M359" i="26"/>
  <c r="M569" i="26"/>
  <c r="N569" i="26" s="1"/>
  <c r="O569" i="26" s="1"/>
  <c r="P569" i="26" s="1"/>
  <c r="M530" i="26"/>
  <c r="N530" i="26" s="1"/>
  <c r="O530" i="26" s="1"/>
  <c r="P530" i="26" s="1"/>
  <c r="M244" i="26"/>
  <c r="N244" i="26" s="1"/>
  <c r="O244" i="26" s="1"/>
  <c r="P244" i="26" s="1"/>
  <c r="M155" i="26"/>
  <c r="N155" i="26" s="1"/>
  <c r="O155" i="26" s="1"/>
  <c r="P155" i="26" s="1"/>
  <c r="M60" i="26"/>
  <c r="N60" i="26" s="1"/>
  <c r="O60" i="26" s="1"/>
  <c r="P60" i="26" s="1"/>
  <c r="M462" i="26"/>
  <c r="N462" i="26" s="1"/>
  <c r="O462" i="26" s="1"/>
  <c r="P462" i="26" s="1"/>
  <c r="M382" i="26"/>
  <c r="N382" i="26" s="1"/>
  <c r="O382" i="26" s="1"/>
  <c r="P382" i="26" s="1"/>
  <c r="M603" i="26"/>
  <c r="N603" i="26" s="1"/>
  <c r="O603" i="26" s="1"/>
  <c r="P603" i="26" s="1"/>
  <c r="M45" i="26"/>
  <c r="N45" i="26" s="1"/>
  <c r="O45" i="26" s="1"/>
  <c r="P45" i="26" s="1"/>
  <c r="M485" i="26"/>
  <c r="N485" i="26" s="1"/>
  <c r="O485" i="26" s="1"/>
  <c r="P485" i="26" s="1"/>
  <c r="M100" i="26"/>
  <c r="N100" i="26" s="1"/>
  <c r="O100" i="26" s="1"/>
  <c r="P100" i="26" s="1"/>
  <c r="M167" i="26"/>
  <c r="M15" i="26"/>
  <c r="N15" i="26" s="1"/>
  <c r="O15" i="26" s="1"/>
  <c r="P15" i="26" s="1"/>
  <c r="M284" i="26"/>
  <c r="N284" i="26" s="1"/>
  <c r="O284" i="26" s="1"/>
  <c r="P284" i="26" s="1"/>
  <c r="M467" i="26"/>
  <c r="N467" i="26" s="1"/>
  <c r="O467" i="26" s="1"/>
  <c r="P467" i="26" s="1"/>
  <c r="M343" i="26"/>
  <c r="N343" i="26" s="1"/>
  <c r="O343" i="26" s="1"/>
  <c r="P343" i="26" s="1"/>
  <c r="M83" i="26"/>
  <c r="N83" i="26" s="1"/>
  <c r="O83" i="26" s="1"/>
  <c r="P83" i="26" s="1"/>
  <c r="M309" i="26"/>
  <c r="M427" i="26"/>
  <c r="N427" i="26" s="1"/>
  <c r="O427" i="26" s="1"/>
  <c r="P427" i="26" s="1"/>
  <c r="M633" i="26"/>
  <c r="N633" i="26" s="1"/>
  <c r="O633" i="26" s="1"/>
  <c r="P633" i="26" s="1"/>
  <c r="M287" i="26"/>
  <c r="N287" i="26" s="1"/>
  <c r="O287" i="26" s="1"/>
  <c r="P287" i="26" s="1"/>
  <c r="M545" i="26"/>
  <c r="M490" i="26"/>
  <c r="N490" i="26" s="1"/>
  <c r="O490" i="26" s="1"/>
  <c r="P490" i="26" s="1"/>
  <c r="M104" i="26"/>
  <c r="N104" i="26" s="1"/>
  <c r="O104" i="26" s="1"/>
  <c r="P104" i="26" s="1"/>
  <c r="M192" i="26"/>
  <c r="N192" i="26" s="1"/>
  <c r="O192" i="26" s="1"/>
  <c r="P192" i="26" s="1"/>
  <c r="M221" i="26"/>
  <c r="N221" i="26" s="1"/>
  <c r="O221" i="26" s="1"/>
  <c r="P221" i="26" s="1"/>
  <c r="M386" i="26"/>
  <c r="N386" i="26" s="1"/>
  <c r="O386" i="26" s="1"/>
  <c r="P386" i="26" s="1"/>
  <c r="M348" i="26"/>
  <c r="N348" i="26" s="1"/>
  <c r="O348" i="26" s="1"/>
  <c r="P348" i="26" s="1"/>
  <c r="M66" i="26"/>
  <c r="M20" i="26"/>
  <c r="N20" i="26" s="1"/>
  <c r="O20" i="26" s="1"/>
  <c r="P20" i="26" s="1"/>
  <c r="M265" i="26"/>
  <c r="N265" i="26" s="1"/>
  <c r="O265" i="26" s="1"/>
  <c r="P265" i="26" s="1"/>
  <c r="M50" i="26"/>
  <c r="N50" i="26" s="1"/>
  <c r="O50" i="26" s="1"/>
  <c r="P50" i="26" s="1"/>
  <c r="M534" i="26"/>
  <c r="N534" i="26" s="1"/>
  <c r="O534" i="26" s="1"/>
  <c r="P534" i="26" s="1"/>
  <c r="M130" i="26"/>
  <c r="N130" i="26" s="1"/>
  <c r="O130" i="26" s="1"/>
  <c r="P130" i="26" s="1"/>
  <c r="M158" i="26"/>
  <c r="N158" i="26" s="1"/>
  <c r="O158" i="26" s="1"/>
  <c r="P158" i="26" s="1"/>
  <c r="M352" i="26"/>
  <c r="N352" i="26" s="1"/>
  <c r="O352" i="26" s="1"/>
  <c r="P352" i="26" s="1"/>
  <c r="M471" i="26"/>
  <c r="M290" i="26"/>
  <c r="N290" i="26" s="1"/>
  <c r="O290" i="26" s="1"/>
  <c r="P290" i="26" s="1"/>
  <c r="M139" i="26"/>
  <c r="N139" i="26" s="1"/>
  <c r="O139" i="26" s="1"/>
  <c r="P139" i="26" s="1"/>
  <c r="M493" i="26"/>
  <c r="N493" i="26" s="1"/>
  <c r="O493" i="26" s="1"/>
  <c r="P493" i="26" s="1"/>
  <c r="M542" i="26"/>
  <c r="N542" i="26" s="1"/>
  <c r="O542" i="26" s="1"/>
  <c r="P542" i="26" s="1"/>
  <c r="M585" i="26"/>
  <c r="N585" i="26" s="1"/>
  <c r="O585" i="26" s="1"/>
  <c r="P585" i="26" s="1"/>
  <c r="M612" i="26"/>
  <c r="N612" i="26" s="1"/>
  <c r="O612" i="26" s="1"/>
  <c r="P612" i="26" s="1"/>
  <c r="M354" i="26"/>
  <c r="N354" i="26" s="1"/>
  <c r="O354" i="26" s="1"/>
  <c r="P354" i="26" s="1"/>
  <c r="M142" i="26"/>
  <c r="N142" i="26" s="1"/>
  <c r="O142" i="26" s="1"/>
  <c r="P142" i="26" s="1"/>
  <c r="N499" i="26" l="1"/>
  <c r="M520" i="26"/>
  <c r="N391" i="26"/>
  <c r="M416" i="26"/>
  <c r="N314" i="26"/>
  <c r="M321" i="26"/>
  <c r="N239" i="26"/>
  <c r="O239" i="26" s="1"/>
  <c r="P239" i="26" s="1"/>
  <c r="N66" i="26"/>
  <c r="O66" i="26" s="1"/>
  <c r="P66" i="26" s="1"/>
  <c r="N78" i="26"/>
  <c r="O78" i="26" s="1"/>
  <c r="P78" i="26" s="1"/>
  <c r="N91" i="26"/>
  <c r="O91" i="26" s="1"/>
  <c r="P91" i="26" s="1"/>
  <c r="N107" i="26"/>
  <c r="M117" i="26"/>
  <c r="N235" i="26"/>
  <c r="O235" i="26" s="1"/>
  <c r="P235" i="26" s="1"/>
  <c r="N238" i="26"/>
  <c r="O238" i="26" s="1"/>
  <c r="P238" i="26" s="1"/>
  <c r="N234" i="26"/>
  <c r="O234" i="26" s="1"/>
  <c r="P234" i="26" s="1"/>
  <c r="N79" i="26"/>
  <c r="O79" i="26" s="1"/>
  <c r="P79" i="26" s="1"/>
  <c r="N237" i="26"/>
  <c r="O237" i="26" s="1"/>
  <c r="P237" i="26" s="1"/>
  <c r="N236" i="26"/>
  <c r="O236" i="26" s="1"/>
  <c r="P236" i="26" s="1"/>
  <c r="N80" i="26"/>
  <c r="O80" i="26" s="1"/>
  <c r="P80" i="26" s="1"/>
  <c r="N261" i="26"/>
  <c r="O261" i="26" s="1"/>
  <c r="P261" i="26" s="1"/>
  <c r="N263" i="26"/>
  <c r="O263" i="26" s="1"/>
  <c r="P263" i="26" s="1"/>
  <c r="N264" i="26"/>
  <c r="O264" i="26" s="1"/>
  <c r="P264" i="26" s="1"/>
  <c r="N262" i="26"/>
  <c r="O262" i="26" s="1"/>
  <c r="P262" i="26" s="1"/>
  <c r="O312" i="26"/>
  <c r="P312" i="26" s="1"/>
  <c r="N473" i="26"/>
  <c r="O473" i="26" s="1"/>
  <c r="P473" i="26" s="1"/>
  <c r="O310" i="26"/>
  <c r="P310" i="26" s="1"/>
  <c r="N474" i="26"/>
  <c r="O474" i="26" s="1"/>
  <c r="P474" i="26" s="1"/>
  <c r="N472" i="26"/>
  <c r="O472" i="26" s="1"/>
  <c r="P472" i="26" s="1"/>
  <c r="O311" i="26"/>
  <c r="P311" i="26" s="1"/>
  <c r="N471" i="26"/>
  <c r="O471" i="26" s="1"/>
  <c r="P471" i="26" s="1"/>
  <c r="O309" i="26"/>
  <c r="P309" i="26" s="1"/>
  <c r="N622" i="26"/>
  <c r="M639" i="26"/>
  <c r="N522" i="26"/>
  <c r="M544" i="26"/>
  <c r="N443" i="26"/>
  <c r="M452" i="26"/>
  <c r="N74" i="26"/>
  <c r="M89" i="26"/>
  <c r="N599" i="26"/>
  <c r="M621" i="26"/>
  <c r="N25" i="26"/>
  <c r="M33" i="26"/>
  <c r="N563" i="26"/>
  <c r="M574" i="26"/>
  <c r="N295" i="26"/>
  <c r="M313" i="26"/>
  <c r="M441" i="26"/>
  <c r="N433" i="26"/>
  <c r="M390" i="26"/>
  <c r="N373" i="26"/>
  <c r="M53" i="26"/>
  <c r="N34" i="26"/>
  <c r="M294" i="26"/>
  <c r="N273" i="26"/>
  <c r="N241" i="26"/>
  <c r="M252" i="26"/>
  <c r="N575" i="26"/>
  <c r="M597" i="26"/>
  <c r="N545" i="26"/>
  <c r="M562" i="26"/>
  <c r="M72" i="26"/>
  <c r="N54" i="26"/>
  <c r="M240" i="26"/>
  <c r="N146" i="26"/>
  <c r="M165" i="26"/>
  <c r="M358" i="26"/>
  <c r="N333" i="26"/>
  <c r="N6" i="26"/>
  <c r="M24" i="26"/>
  <c r="M232" i="26"/>
  <c r="N214" i="26"/>
  <c r="M498" i="26"/>
  <c r="N476" i="26"/>
  <c r="M204" i="26"/>
  <c r="N200" i="26"/>
  <c r="N359" i="26"/>
  <c r="M370" i="26"/>
  <c r="M371" i="26" s="1"/>
  <c r="N167" i="26"/>
  <c r="M180" i="26"/>
  <c r="M475" i="26"/>
  <c r="N453" i="26"/>
  <c r="N205" i="26"/>
  <c r="M211" i="26"/>
  <c r="M145" i="26"/>
  <c r="N119" i="26"/>
  <c r="N323" i="26"/>
  <c r="M332" i="26"/>
  <c r="N181" i="26"/>
  <c r="M199" i="26"/>
  <c r="N417" i="26"/>
  <c r="M432" i="26"/>
  <c r="M272" i="26"/>
  <c r="N254" i="26"/>
  <c r="M106" i="26"/>
  <c r="M212" i="26" l="1"/>
  <c r="M521" i="26"/>
  <c r="M640" i="26"/>
  <c r="O499" i="26"/>
  <c r="N520" i="26"/>
  <c r="M442" i="26"/>
  <c r="O391" i="26"/>
  <c r="N416" i="26"/>
  <c r="M322" i="26"/>
  <c r="M118" i="26"/>
  <c r="O314" i="26"/>
  <c r="N321" i="26"/>
  <c r="N117" i="26"/>
  <c r="O107" i="26"/>
  <c r="M166" i="26"/>
  <c r="M73" i="26"/>
  <c r="O373" i="26"/>
  <c r="N390" i="26"/>
  <c r="N432" i="26"/>
  <c r="O417" i="26"/>
  <c r="O599" i="26"/>
  <c r="N621" i="26"/>
  <c r="O74" i="26"/>
  <c r="N89" i="26"/>
  <c r="O54" i="26"/>
  <c r="N72" i="26"/>
  <c r="O545" i="26"/>
  <c r="N562" i="26"/>
  <c r="N24" i="26"/>
  <c r="O6" i="26"/>
  <c r="O333" i="26"/>
  <c r="N358" i="26"/>
  <c r="N199" i="26"/>
  <c r="O181" i="26"/>
  <c r="N180" i="26"/>
  <c r="O167" i="26"/>
  <c r="N252" i="26"/>
  <c r="O241" i="26"/>
  <c r="N313" i="26"/>
  <c r="O295" i="26"/>
  <c r="O443" i="26"/>
  <c r="N452" i="26"/>
  <c r="N498" i="26"/>
  <c r="O476" i="26"/>
  <c r="O453" i="26"/>
  <c r="N475" i="26"/>
  <c r="N294" i="26"/>
  <c r="O273" i="26"/>
  <c r="O323" i="26"/>
  <c r="N332" i="26"/>
  <c r="O359" i="26"/>
  <c r="N370" i="26"/>
  <c r="N165" i="26"/>
  <c r="O146" i="26"/>
  <c r="O522" i="26"/>
  <c r="N544" i="26"/>
  <c r="O25" i="26"/>
  <c r="N33" i="26"/>
  <c r="M598" i="26"/>
  <c r="O575" i="26"/>
  <c r="N597" i="26"/>
  <c r="O90" i="26"/>
  <c r="N106" i="26"/>
  <c r="N145" i="26"/>
  <c r="O119" i="26"/>
  <c r="O200" i="26"/>
  <c r="N204" i="26"/>
  <c r="O233" i="26"/>
  <c r="N240" i="26"/>
  <c r="N53" i="26"/>
  <c r="O34" i="26"/>
  <c r="N272" i="26"/>
  <c r="O254" i="26"/>
  <c r="O205" i="26"/>
  <c r="N211" i="26"/>
  <c r="N212" i="26" s="1"/>
  <c r="N232" i="26"/>
  <c r="O214" i="26"/>
  <c r="O433" i="26"/>
  <c r="N441" i="26"/>
  <c r="M253" i="26"/>
  <c r="O563" i="26"/>
  <c r="N574" i="26"/>
  <c r="O622" i="26"/>
  <c r="N639" i="26"/>
  <c r="N521" i="26" l="1"/>
  <c r="P499" i="26"/>
  <c r="P520" i="26" s="1"/>
  <c r="O520" i="26"/>
  <c r="N640" i="26"/>
  <c r="N442" i="26"/>
  <c r="P391" i="26"/>
  <c r="P416" i="26" s="1"/>
  <c r="O416" i="26"/>
  <c r="N371" i="26"/>
  <c r="N118" i="26"/>
  <c r="N322" i="26"/>
  <c r="P314" i="26"/>
  <c r="P321" i="26" s="1"/>
  <c r="O321" i="26"/>
  <c r="O117" i="26"/>
  <c r="P107" i="26"/>
  <c r="P117" i="26" s="1"/>
  <c r="N598" i="26"/>
  <c r="M213" i="26"/>
  <c r="M372" i="26"/>
  <c r="N166" i="26"/>
  <c r="O211" i="26"/>
  <c r="P205" i="26"/>
  <c r="P211" i="26" s="1"/>
  <c r="P476" i="26"/>
  <c r="P498" i="26" s="1"/>
  <c r="O498" i="26"/>
  <c r="P622" i="26"/>
  <c r="P639" i="26" s="1"/>
  <c r="O639" i="26"/>
  <c r="O640" i="26" s="1"/>
  <c r="P359" i="26"/>
  <c r="P370" i="26" s="1"/>
  <c r="O370" i="26"/>
  <c r="P6" i="26"/>
  <c r="P24" i="26" s="1"/>
  <c r="O24" i="26"/>
  <c r="O574" i="26"/>
  <c r="P563" i="26"/>
  <c r="P574" i="26" s="1"/>
  <c r="O294" i="26"/>
  <c r="P273" i="26"/>
  <c r="P294" i="26" s="1"/>
  <c r="P295" i="26"/>
  <c r="P313" i="26" s="1"/>
  <c r="O313" i="26"/>
  <c r="P599" i="26"/>
  <c r="P621" i="26" s="1"/>
  <c r="O621" i="26"/>
  <c r="P333" i="26"/>
  <c r="P358" i="26" s="1"/>
  <c r="O358" i="26"/>
  <c r="O597" i="26"/>
  <c r="P575" i="26"/>
  <c r="P597" i="26" s="1"/>
  <c r="P417" i="26"/>
  <c r="P432" i="26" s="1"/>
  <c r="O432" i="26"/>
  <c r="P90" i="26"/>
  <c r="P106" i="26" s="1"/>
  <c r="O106" i="26"/>
  <c r="M641" i="26"/>
  <c r="P323" i="26"/>
  <c r="P332" i="26" s="1"/>
  <c r="O332" i="26"/>
  <c r="P233" i="26"/>
  <c r="P240" i="26" s="1"/>
  <c r="O240" i="26"/>
  <c r="P241" i="26"/>
  <c r="P252" i="26" s="1"/>
  <c r="O252" i="26"/>
  <c r="P545" i="26"/>
  <c r="P562" i="26" s="1"/>
  <c r="O562" i="26"/>
  <c r="O53" i="26"/>
  <c r="P34" i="26"/>
  <c r="P53" i="26" s="1"/>
  <c r="O452" i="26"/>
  <c r="P443" i="26"/>
  <c r="P452" i="26" s="1"/>
  <c r="P433" i="26"/>
  <c r="P441" i="26" s="1"/>
  <c r="P442" i="26" s="1"/>
  <c r="O441" i="26"/>
  <c r="O442" i="26" s="1"/>
  <c r="P522" i="26"/>
  <c r="P544" i="26" s="1"/>
  <c r="O544" i="26"/>
  <c r="N73" i="26"/>
  <c r="N253" i="26"/>
  <c r="P214" i="26"/>
  <c r="P232" i="26" s="1"/>
  <c r="O232" i="26"/>
  <c r="P200" i="26"/>
  <c r="P204" i="26" s="1"/>
  <c r="O204" i="26"/>
  <c r="O180" i="26"/>
  <c r="P167" i="26"/>
  <c r="P180" i="26" s="1"/>
  <c r="O72" i="26"/>
  <c r="P54" i="26"/>
  <c r="P72" i="26" s="1"/>
  <c r="O33" i="26"/>
  <c r="P25" i="26"/>
  <c r="P33" i="26" s="1"/>
  <c r="P119" i="26"/>
  <c r="P145" i="26" s="1"/>
  <c r="O145" i="26"/>
  <c r="P453" i="26"/>
  <c r="P475" i="26" s="1"/>
  <c r="O475" i="26"/>
  <c r="P254" i="26"/>
  <c r="P272" i="26" s="1"/>
  <c r="O272" i="26"/>
  <c r="O165" i="26"/>
  <c r="P146" i="26"/>
  <c r="P165" i="26" s="1"/>
  <c r="P181" i="26"/>
  <c r="P199" i="26" s="1"/>
  <c r="O199" i="26"/>
  <c r="P74" i="26"/>
  <c r="P89" i="26" s="1"/>
  <c r="O89" i="26"/>
  <c r="P373" i="26"/>
  <c r="P390" i="26" s="1"/>
  <c r="O390" i="26"/>
  <c r="O212" i="26" l="1"/>
  <c r="P212" i="26"/>
  <c r="O521" i="26"/>
  <c r="P521" i="26"/>
  <c r="P640" i="26"/>
  <c r="O322" i="26"/>
  <c r="P322" i="26"/>
  <c r="P371" i="26"/>
  <c r="O371" i="26"/>
  <c r="P118" i="26"/>
  <c r="O118" i="26"/>
  <c r="N641" i="26"/>
  <c r="M642" i="26"/>
  <c r="N213" i="26"/>
  <c r="O598" i="26"/>
  <c r="O253" i="26"/>
  <c r="O166" i="26"/>
  <c r="P73" i="26"/>
  <c r="P253" i="26"/>
  <c r="P166" i="26"/>
  <c r="O73" i="26"/>
  <c r="P598" i="26"/>
  <c r="N372" i="26"/>
  <c r="P372" i="26" l="1"/>
  <c r="O641" i="26"/>
  <c r="N642" i="26"/>
  <c r="P641" i="26"/>
  <c r="P213" i="26"/>
  <c r="O372" i="26"/>
  <c r="O213" i="26"/>
  <c r="P642" i="26" l="1"/>
  <c r="O642" i="26"/>
</calcChain>
</file>

<file path=xl/sharedStrings.xml><?xml version="1.0" encoding="utf-8"?>
<sst xmlns="http://schemas.openxmlformats.org/spreadsheetml/2006/main" count="4459" uniqueCount="1031">
  <si>
    <t>KUNDRATHUR</t>
  </si>
  <si>
    <t>KATTANKULATHUR</t>
  </si>
  <si>
    <t>THIRUKAZHUKUNDRAM</t>
  </si>
  <si>
    <t>CHITHAMUR</t>
  </si>
  <si>
    <t>LATHUR</t>
  </si>
  <si>
    <t>CHITLAPAKKAM</t>
  </si>
  <si>
    <t>VILLIVAKKAM</t>
  </si>
  <si>
    <t>PUZHAL</t>
  </si>
  <si>
    <t>KADAMBATHUR</t>
  </si>
  <si>
    <t>POONDI</t>
  </si>
  <si>
    <t>ELLAPURAM</t>
  </si>
  <si>
    <t>POONAMALLEE</t>
  </si>
  <si>
    <t>THIRUVALANGADU</t>
  </si>
  <si>
    <t>PALLIPATTU</t>
  </si>
  <si>
    <t>JOLARPETTAI</t>
  </si>
  <si>
    <t>NATRAMPALLI</t>
  </si>
  <si>
    <t>KAVERIPAKKAM</t>
  </si>
  <si>
    <t>KATPADI</t>
  </si>
  <si>
    <t>GUDIYATHAM</t>
  </si>
  <si>
    <t>K.V.KUPPAM</t>
  </si>
  <si>
    <t>PERNAMPET</t>
  </si>
  <si>
    <t>SHOLINGAR</t>
  </si>
  <si>
    <t>ANAICUT</t>
  </si>
  <si>
    <t>VELLORE</t>
  </si>
  <si>
    <t>ARCOT</t>
  </si>
  <si>
    <t>PUDUPALAYAM</t>
  </si>
  <si>
    <t>THANDARAMPATTU</t>
  </si>
  <si>
    <t>CHENGAM</t>
  </si>
  <si>
    <t>VEMBAKKAM</t>
  </si>
  <si>
    <t>CHEYYAR</t>
  </si>
  <si>
    <t>POLUR</t>
  </si>
  <si>
    <t>KALASAPAKKAM</t>
  </si>
  <si>
    <t>THELLAR</t>
  </si>
  <si>
    <t>VANDAVASI</t>
  </si>
  <si>
    <t>THURINJAPURAM</t>
  </si>
  <si>
    <t>KEERAPALAYAM</t>
  </si>
  <si>
    <t>MELBHUVANAGIRI</t>
  </si>
  <si>
    <t>CUDDALORE</t>
  </si>
  <si>
    <t>KURINJIPADI</t>
  </si>
  <si>
    <t>PANRUTI</t>
  </si>
  <si>
    <t>ANNAGRAMAM</t>
  </si>
  <si>
    <t>VIRUDHACHALAM</t>
  </si>
  <si>
    <t>KAMMAPURAM</t>
  </si>
  <si>
    <t>NALLUR</t>
  </si>
  <si>
    <t>MANGALORE</t>
  </si>
  <si>
    <t>MUGAIYUR</t>
  </si>
  <si>
    <t>VANUR</t>
  </si>
  <si>
    <t>VALLAM</t>
  </si>
  <si>
    <t>GINGEE</t>
  </si>
  <si>
    <t>MELMALAYANUR</t>
  </si>
  <si>
    <t>OLAKKUR</t>
  </si>
  <si>
    <t>MARAKANAM</t>
  </si>
  <si>
    <t>MAILAM</t>
  </si>
  <si>
    <t>KALLAKURICHI</t>
  </si>
  <si>
    <t>CHINNASALEM</t>
  </si>
  <si>
    <t>SANKARAPURAM</t>
  </si>
  <si>
    <t>KANDAMANGALAM</t>
  </si>
  <si>
    <t>DHARAPURAM</t>
  </si>
  <si>
    <t>KUNDADAM</t>
  </si>
  <si>
    <t>NAMBIYUR</t>
  </si>
  <si>
    <t>GOBICHETTIPALAYAM</t>
  </si>
  <si>
    <t>ANTHIYUR</t>
  </si>
  <si>
    <t>BHAVANI</t>
  </si>
  <si>
    <t>AMMAPETTAI</t>
  </si>
  <si>
    <t>UTHUKULI</t>
  </si>
  <si>
    <t>KODUMUDI</t>
  </si>
  <si>
    <t>ERODE</t>
  </si>
  <si>
    <t>VELLAKOIL</t>
  </si>
  <si>
    <t>KANGEYAM</t>
  </si>
  <si>
    <t>GUDALUR</t>
  </si>
  <si>
    <t>THONDAMUTHUR</t>
  </si>
  <si>
    <t>PERIYANAICKENPALAYAM</t>
  </si>
  <si>
    <t>KARAMADAI</t>
  </si>
  <si>
    <t>ANNUR</t>
  </si>
  <si>
    <t>AVINASHI</t>
  </si>
  <si>
    <t>PALLADAM</t>
  </si>
  <si>
    <t>PONGALUR</t>
  </si>
  <si>
    <t>KINATHUKADAVU</t>
  </si>
  <si>
    <t>UDUMALPETTAI</t>
  </si>
  <si>
    <t>GUDIMANGALAM</t>
  </si>
  <si>
    <t>MADATHUKULAM</t>
  </si>
  <si>
    <t>VALPARAI</t>
  </si>
  <si>
    <t>DHARMAPURI</t>
  </si>
  <si>
    <t>NALLAMPALLI</t>
  </si>
  <si>
    <t>PENNAGARAM</t>
  </si>
  <si>
    <t>PALACODE</t>
  </si>
  <si>
    <t>UTHANGARAI</t>
  </si>
  <si>
    <t>HARUR</t>
  </si>
  <si>
    <t>MORAPPUR</t>
  </si>
  <si>
    <t>KRISHNAGIRI</t>
  </si>
  <si>
    <t>KAVERIPATTINAM</t>
  </si>
  <si>
    <t>BARGUR</t>
  </si>
  <si>
    <t>VEPPANAPALLI</t>
  </si>
  <si>
    <t>HOSUR</t>
  </si>
  <si>
    <t>SHOOLAGIRI</t>
  </si>
  <si>
    <t>KELAMANGALAM</t>
  </si>
  <si>
    <t>MATHUR</t>
  </si>
  <si>
    <t>SALEM</t>
  </si>
  <si>
    <t>VEERAPANDI</t>
  </si>
  <si>
    <t>YERCAUD</t>
  </si>
  <si>
    <t>THALAIVASAL</t>
  </si>
  <si>
    <t>MECHERI</t>
  </si>
  <si>
    <t>NANGAVALLI</t>
  </si>
  <si>
    <t>KOLATHUR</t>
  </si>
  <si>
    <t>OMALUR</t>
  </si>
  <si>
    <t>THARAMANGALAM</t>
  </si>
  <si>
    <t>KONGANAPURAM</t>
  </si>
  <si>
    <t>MAGUDANCHAVADI</t>
  </si>
  <si>
    <t>MALLASAMUDRAM</t>
  </si>
  <si>
    <t>ELACHIPALAYAM</t>
  </si>
  <si>
    <t>PALLIPALAYAM</t>
  </si>
  <si>
    <t>ERUMAIPATTI</t>
  </si>
  <si>
    <t>MOHANUR</t>
  </si>
  <si>
    <t>KABILARMALAI</t>
  </si>
  <si>
    <t>KOLLIMALAI</t>
  </si>
  <si>
    <t>NAMAGIRIPETTAI</t>
  </si>
  <si>
    <t>MANIKANDAM</t>
  </si>
  <si>
    <t>LALGUDI</t>
  </si>
  <si>
    <t>MUSIRI</t>
  </si>
  <si>
    <t>THOTTIYAM</t>
  </si>
  <si>
    <t>THURAIYUR</t>
  </si>
  <si>
    <t>UPPILIYAPURAM</t>
  </si>
  <si>
    <t>VAIYAMPATTI</t>
  </si>
  <si>
    <t>MARUNGAPURI</t>
  </si>
  <si>
    <t>ARANTHANGI</t>
  </si>
  <si>
    <t>THIRUVARANKULAM</t>
  </si>
  <si>
    <t>ANNAVASAL</t>
  </si>
  <si>
    <t>KUNNANDARKOIL</t>
  </si>
  <si>
    <t>VIRALIMALAI</t>
  </si>
  <si>
    <t>PONNAMARAVATHY</t>
  </si>
  <si>
    <t>THIRUMAYAM</t>
  </si>
  <si>
    <t>ARIMALAM</t>
  </si>
  <si>
    <t>AVUDAIYARKOIL</t>
  </si>
  <si>
    <t>KARUR</t>
  </si>
  <si>
    <t>ARAVAKURICHI</t>
  </si>
  <si>
    <t>KADAVUR</t>
  </si>
  <si>
    <t>THOGAIMALAI</t>
  </si>
  <si>
    <t>PERAMBALUR</t>
  </si>
  <si>
    <t>VEPPUR</t>
  </si>
  <si>
    <t>ALATHUR</t>
  </si>
  <si>
    <t>ANDIMADAM</t>
  </si>
  <si>
    <t>THIRUMANUR</t>
  </si>
  <si>
    <t>ARIYALUR</t>
  </si>
  <si>
    <t>NATHAM</t>
  </si>
  <si>
    <t>NILAKOTTAI</t>
  </si>
  <si>
    <t>DINDIGUL</t>
  </si>
  <si>
    <t>SANARPATTI</t>
  </si>
  <si>
    <t>REDDIARCHATRAM</t>
  </si>
  <si>
    <t>PALANI</t>
  </si>
  <si>
    <t>THOPPAMPATTI</t>
  </si>
  <si>
    <t>MADURAI EAST</t>
  </si>
  <si>
    <t>MADURAI WEST</t>
  </si>
  <si>
    <t>MELUR</t>
  </si>
  <si>
    <t>KOTTAMPATTI</t>
  </si>
  <si>
    <t>T.KALLUPATTI</t>
  </si>
  <si>
    <t>USILAMPATTI</t>
  </si>
  <si>
    <t>ALANGANALLUR</t>
  </si>
  <si>
    <t>ANDIPATTI</t>
  </si>
  <si>
    <t>THENI</t>
  </si>
  <si>
    <t>PAPANASAM</t>
  </si>
  <si>
    <t>THANJAVUR</t>
  </si>
  <si>
    <t>PATTUKOTTAI</t>
  </si>
  <si>
    <t>MADUKKUR</t>
  </si>
  <si>
    <t>ORATHANADU</t>
  </si>
  <si>
    <t>KUMBAKONAM</t>
  </si>
  <si>
    <t>THIRUMARUGAL</t>
  </si>
  <si>
    <t>VEDARANYAM</t>
  </si>
  <si>
    <t>MAYILADUTHURAI</t>
  </si>
  <si>
    <t>KUTTALAM</t>
  </si>
  <si>
    <t>KOLLIDAM</t>
  </si>
  <si>
    <t>MANNARGUDI</t>
  </si>
  <si>
    <t>THIRUTHURAIPOONDI</t>
  </si>
  <si>
    <t>TIRUVARUR</t>
  </si>
  <si>
    <t>NANNILAM</t>
  </si>
  <si>
    <t>KODAVASAL</t>
  </si>
  <si>
    <t>KORADACHERI</t>
  </si>
  <si>
    <t>KOVILPATTI</t>
  </si>
  <si>
    <t>VILATHIKULAM</t>
  </si>
  <si>
    <t>PUDUR</t>
  </si>
  <si>
    <t>OTTAPIDARAM</t>
  </si>
  <si>
    <t>SRIVAIKUNDAM</t>
  </si>
  <si>
    <t>KARUNGULAM</t>
  </si>
  <si>
    <t>ALWARTHIRUNAGARI</t>
  </si>
  <si>
    <t>UDANGUDI</t>
  </si>
  <si>
    <t>PALAYAMKOTTAI</t>
  </si>
  <si>
    <t>TENKASI</t>
  </si>
  <si>
    <t>KADAYANALLUR</t>
  </si>
  <si>
    <t>ALANKULAM</t>
  </si>
  <si>
    <t>SHENKOTTAI</t>
  </si>
  <si>
    <t>AMBASAMUDRAM</t>
  </si>
  <si>
    <t>CHERANMAHADEVI</t>
  </si>
  <si>
    <t>KADAYAM</t>
  </si>
  <si>
    <t>NANGUNERI</t>
  </si>
  <si>
    <t>RADHAPURAM</t>
  </si>
  <si>
    <t>SANKARANKOIL</t>
  </si>
  <si>
    <t>KURUVIKULAM</t>
  </si>
  <si>
    <t>MELANEELITHANALLUR</t>
  </si>
  <si>
    <t>VASUDEVANALLUR</t>
  </si>
  <si>
    <t>AGASTHEESWARAM</t>
  </si>
  <si>
    <t>RAJAKKAMANGALAM</t>
  </si>
  <si>
    <t>THIRUVATTAR</t>
  </si>
  <si>
    <t>MELPURAM</t>
  </si>
  <si>
    <t>KALLAL</t>
  </si>
  <si>
    <t>SAKKOTTAI</t>
  </si>
  <si>
    <t>THIRUPATHUR</t>
  </si>
  <si>
    <t>KALAYARKOIL</t>
  </si>
  <si>
    <t>SIVAGANGAI</t>
  </si>
  <si>
    <t>DEVAKOTTAI</t>
  </si>
  <si>
    <t>SIVAKASI</t>
  </si>
  <si>
    <t>VEMBAKOTTAI</t>
  </si>
  <si>
    <t>VATHIRAYIRUPPU</t>
  </si>
  <si>
    <t>RAJAPALAYAM</t>
  </si>
  <si>
    <t>ARUPPUKOTTAI</t>
  </si>
  <si>
    <t>VIRUDHUNAGAR</t>
  </si>
  <si>
    <t>THIRUCHULI</t>
  </si>
  <si>
    <t>NARIKUDI</t>
  </si>
  <si>
    <t>RAMANATHAPURAM</t>
  </si>
  <si>
    <t>MANDAPAM</t>
  </si>
  <si>
    <t>THIRUVADANAI</t>
  </si>
  <si>
    <t>R.S.MANGALAM</t>
  </si>
  <si>
    <t>BOGALUR</t>
  </si>
  <si>
    <t>MUDUKULATHUR</t>
  </si>
  <si>
    <t>KADALADI</t>
  </si>
  <si>
    <t>Thiruvallur</t>
  </si>
  <si>
    <t>Kancheepuram</t>
  </si>
  <si>
    <t>Chengalpattu</t>
  </si>
  <si>
    <t>Vellore</t>
  </si>
  <si>
    <t>Cuddalore</t>
  </si>
  <si>
    <t>Kallakurichi</t>
  </si>
  <si>
    <t>Villupuram</t>
  </si>
  <si>
    <t>Erode</t>
  </si>
  <si>
    <t>Dharmapuri</t>
  </si>
  <si>
    <t>Krishnagiri</t>
  </si>
  <si>
    <t>Salem</t>
  </si>
  <si>
    <t>Namakkal</t>
  </si>
  <si>
    <t>Pudukkottai</t>
  </si>
  <si>
    <t>Karur</t>
  </si>
  <si>
    <t>Perambalur</t>
  </si>
  <si>
    <t>Ariyalur</t>
  </si>
  <si>
    <t>Dindigul</t>
  </si>
  <si>
    <t>Theni</t>
  </si>
  <si>
    <t>Thanjavur</t>
  </si>
  <si>
    <t>Nagapattinam</t>
  </si>
  <si>
    <t>Thiruvarur</t>
  </si>
  <si>
    <t>Thoothukudi</t>
  </si>
  <si>
    <t>Tirunelveli</t>
  </si>
  <si>
    <t>Tenkasi</t>
  </si>
  <si>
    <t>Sivagangai</t>
  </si>
  <si>
    <t>Virudhunagar</t>
  </si>
  <si>
    <t>Ramanathapuram</t>
  </si>
  <si>
    <t>AVADI</t>
  </si>
  <si>
    <t>GUMMIDIPOONDI</t>
  </si>
  <si>
    <t>PALLIPET</t>
  </si>
  <si>
    <t>PONNERI</t>
  </si>
  <si>
    <t>MINJUR</t>
  </si>
  <si>
    <t>SHOLAVARAM</t>
  </si>
  <si>
    <t>R.K.PET</t>
  </si>
  <si>
    <t>THIRUVALLUR</t>
  </si>
  <si>
    <t>TIRUTTANI</t>
  </si>
  <si>
    <t>UTHUKOTTAI</t>
  </si>
  <si>
    <t>Chennai</t>
  </si>
  <si>
    <t>ALANDUR</t>
  </si>
  <si>
    <t>AMBATTUR</t>
  </si>
  <si>
    <t>MADHAVARAM</t>
  </si>
  <si>
    <t>MADURAVOYAL</t>
  </si>
  <si>
    <t>SHOLINGANALLUR</t>
  </si>
  <si>
    <t>TIRUVOTRIYUR</t>
  </si>
  <si>
    <t>KANCHEEPURAM</t>
  </si>
  <si>
    <t>WALAJABAD</t>
  </si>
  <si>
    <t>SRIPERUMPUDUR</t>
  </si>
  <si>
    <t>UTHIRAMERUR</t>
  </si>
  <si>
    <t>KANIYAMBADI</t>
  </si>
  <si>
    <t>KARIMANGALAM</t>
  </si>
  <si>
    <t>PAPPIREDDIPATTY</t>
  </si>
  <si>
    <t>Tiruvannamalai</t>
  </si>
  <si>
    <t>ARNI</t>
  </si>
  <si>
    <t>WEST ARNI</t>
  </si>
  <si>
    <t>JAWADHUHILLS</t>
  </si>
  <si>
    <t>CHETPET</t>
  </si>
  <si>
    <t>PERANAMALLUR</t>
  </si>
  <si>
    <t>ANAKKAVOOR</t>
  </si>
  <si>
    <t>JAMUNAMARATHOOR</t>
  </si>
  <si>
    <t>KILPENATHUR</t>
  </si>
  <si>
    <t>TIRUVANNAMALAI</t>
  </si>
  <si>
    <t>THANDARAMPAT</t>
  </si>
  <si>
    <t>KANDACHIPURAM</t>
  </si>
  <si>
    <t>T.V.NALLUR</t>
  </si>
  <si>
    <t>TINDIVANAM</t>
  </si>
  <si>
    <t>VIKKARAVANDI</t>
  </si>
  <si>
    <t>KANAI</t>
  </si>
  <si>
    <t>KOLIYANUR</t>
  </si>
  <si>
    <t>VILLUPURAM</t>
  </si>
  <si>
    <t>ATTUR</t>
  </si>
  <si>
    <t>EDAPPADI</t>
  </si>
  <si>
    <t>GANGAVALLI</t>
  </si>
  <si>
    <t>KADAYAMPATTI</t>
  </si>
  <si>
    <t>METTUR</t>
  </si>
  <si>
    <t>PETHANAICKANPALAYAM</t>
  </si>
  <si>
    <t>AYOTHIYAPPATTINAM</t>
  </si>
  <si>
    <t>PANAMARATHUPPATTI</t>
  </si>
  <si>
    <t>SALEM SOUTH</t>
  </si>
  <si>
    <t>SALEM WEST</t>
  </si>
  <si>
    <t>SANKARI</t>
  </si>
  <si>
    <t>VAZHAPPADI</t>
  </si>
  <si>
    <t>KUMARAPALAYAM</t>
  </si>
  <si>
    <t>TIRUCHENGODE</t>
  </si>
  <si>
    <t>NAMAKKAL</t>
  </si>
  <si>
    <t>PUDUCHATRAM</t>
  </si>
  <si>
    <t>PARAMATHI-VELUR</t>
  </si>
  <si>
    <t>RASIPURAM</t>
  </si>
  <si>
    <t>VENNANDUR</t>
  </si>
  <si>
    <t>SENTHAMANGALAM</t>
  </si>
  <si>
    <t>SENTHAMAGALAM</t>
  </si>
  <si>
    <t>THUKKANAICKENPALAYAM</t>
  </si>
  <si>
    <t>MODAKURICHI</t>
  </si>
  <si>
    <t>BHAVANISAGAR</t>
  </si>
  <si>
    <t>PERUNDURAI</t>
  </si>
  <si>
    <t>CHENNIMALAI</t>
  </si>
  <si>
    <t>SATHYAMANGALAM</t>
  </si>
  <si>
    <t>TALAVADI</t>
  </si>
  <si>
    <t>The Nilgiris</t>
  </si>
  <si>
    <t>COONOOR</t>
  </si>
  <si>
    <t>KOTAGIRI</t>
  </si>
  <si>
    <t>KUNDAH</t>
  </si>
  <si>
    <t>UDHAGAMANDALAM</t>
  </si>
  <si>
    <t>PANDALUR</t>
  </si>
  <si>
    <t>Coimbatore</t>
  </si>
  <si>
    <t>ANAIMALAI</t>
  </si>
  <si>
    <t>POLLACHI SOUTH</t>
  </si>
  <si>
    <t>SARKAR SAMAKULAM</t>
  </si>
  <si>
    <t>COIMBATORE NORTH</t>
  </si>
  <si>
    <t>COIMBATORE SOUTH</t>
  </si>
  <si>
    <t>MADUKKARAI</t>
  </si>
  <si>
    <t>METTUPALAYAM</t>
  </si>
  <si>
    <t>PERUR</t>
  </si>
  <si>
    <t>POLLACHI</t>
  </si>
  <si>
    <t>POLLACHI  NORTH</t>
  </si>
  <si>
    <t>SULUR</t>
  </si>
  <si>
    <t>SULTANPET</t>
  </si>
  <si>
    <t>ATHOOR</t>
  </si>
  <si>
    <t>DINDIGUL EAST</t>
  </si>
  <si>
    <t>DINDIGUL WEST</t>
  </si>
  <si>
    <t>GUZILIAMPARAI</t>
  </si>
  <si>
    <t>VEDASANDUR</t>
  </si>
  <si>
    <t>KODAIKANAL</t>
  </si>
  <si>
    <t>KODAIKKANAL</t>
  </si>
  <si>
    <t>BATALGUNDU</t>
  </si>
  <si>
    <t>ODANCHATHRAM</t>
  </si>
  <si>
    <t>ODDANCHATHRAM</t>
  </si>
  <si>
    <t>VADAMADURAI</t>
  </si>
  <si>
    <t>K.PARAMATHY</t>
  </si>
  <si>
    <t>KRISHNARAYAPURAM</t>
  </si>
  <si>
    <t>THANTHONI</t>
  </si>
  <si>
    <t>KULITHALAI</t>
  </si>
  <si>
    <t>MANMANGALAM</t>
  </si>
  <si>
    <t>PUGALUR</t>
  </si>
  <si>
    <t>Tiruchirapalli</t>
  </si>
  <si>
    <t>PULLAMBADI</t>
  </si>
  <si>
    <t>MANAPPARAI</t>
  </si>
  <si>
    <t>MANNACHANALLUR</t>
  </si>
  <si>
    <t>THATHAIYANGARPETTAI</t>
  </si>
  <si>
    <t>SRIRANGAM</t>
  </si>
  <si>
    <t>ANDANALLUR</t>
  </si>
  <si>
    <t>THIRUVERUMBUR</t>
  </si>
  <si>
    <t>TIRUVERUMBUR</t>
  </si>
  <si>
    <t>TIRUCHIRAPALLI EAST</t>
  </si>
  <si>
    <t>TIRUCHIRAPALLI WEST</t>
  </si>
  <si>
    <t>KUNNAM</t>
  </si>
  <si>
    <t>VEPPANTHATTAI</t>
  </si>
  <si>
    <t>SENDURAI</t>
  </si>
  <si>
    <t>UDAYARPALAYAM</t>
  </si>
  <si>
    <t>JAYANKONDAM</t>
  </si>
  <si>
    <t>T.PALUR</t>
  </si>
  <si>
    <t>BHUVANAGIRI</t>
  </si>
  <si>
    <t>PARAGIPETTAI</t>
  </si>
  <si>
    <t>CHIDAMBARAM</t>
  </si>
  <si>
    <t>KUMARACHI</t>
  </si>
  <si>
    <t>KATTUMANNARKOIL</t>
  </si>
  <si>
    <t>SRIMUSHNUM</t>
  </si>
  <si>
    <t>TITAGUDI</t>
  </si>
  <si>
    <t>KILVELUR</t>
  </si>
  <si>
    <t>KEELAIYUR</t>
  </si>
  <si>
    <t>NAGAPPATTINAM</t>
  </si>
  <si>
    <t>SIRKALI</t>
  </si>
  <si>
    <t>SEMBANARKOIL</t>
  </si>
  <si>
    <t>THARANGAMBADI</t>
  </si>
  <si>
    <t>THIRUKKUVALAI</t>
  </si>
  <si>
    <t>THALAINAYAR</t>
  </si>
  <si>
    <t>KOOTHANALLUR</t>
  </si>
  <si>
    <t>KOTTUR</t>
  </si>
  <si>
    <t>NIDAMANGALAM</t>
  </si>
  <si>
    <t>MUTHUPET</t>
  </si>
  <si>
    <t>VALANGAIMAN</t>
  </si>
  <si>
    <t>BUDALUR</t>
  </si>
  <si>
    <t>THIRUVAIYARU</t>
  </si>
  <si>
    <t>THIRUVIDAMARUDUR</t>
  </si>
  <si>
    <t>ORATHANAD</t>
  </si>
  <si>
    <t>THIRUVONAM</t>
  </si>
  <si>
    <t>PATTUKKOTTAI</t>
  </si>
  <si>
    <t>PERAVURANI</t>
  </si>
  <si>
    <t>SETHUBAVACHATRAM</t>
  </si>
  <si>
    <t>THIRUVIDAIMARUTHUR</t>
  </si>
  <si>
    <t>TIRUPPANANDAL</t>
  </si>
  <si>
    <t>ALANGUDY</t>
  </si>
  <si>
    <t>GANDARVAKOTTAI</t>
  </si>
  <si>
    <t>PUDUKKOTTAI</t>
  </si>
  <si>
    <t>ILLUPPUR</t>
  </si>
  <si>
    <t>KARAMBAKUDI</t>
  </si>
  <si>
    <t>KULATHUR</t>
  </si>
  <si>
    <t>MANAMELKUDY</t>
  </si>
  <si>
    <t>KANNANGUDI</t>
  </si>
  <si>
    <t>ILAYANGUDI</t>
  </si>
  <si>
    <t>MANAMADURAI</t>
  </si>
  <si>
    <t>KARAIKUDI</t>
  </si>
  <si>
    <t>THIRUPPUVANAM</t>
  </si>
  <si>
    <t>SINGAMPUNARI</t>
  </si>
  <si>
    <t>S.PUDHUR</t>
  </si>
  <si>
    <t>THIRUPPATHUR</t>
  </si>
  <si>
    <t>Madurai</t>
  </si>
  <si>
    <t>KALLIGUDI</t>
  </si>
  <si>
    <t>MADURAI NORTH</t>
  </si>
  <si>
    <t>MADURAI SOUTH</t>
  </si>
  <si>
    <t>THIRUPPARANGUNDRAM</t>
  </si>
  <si>
    <t>PERAIYUR</t>
  </si>
  <si>
    <t>SEDPATTI</t>
  </si>
  <si>
    <t>THIRUMANGALAM</t>
  </si>
  <si>
    <t>CHELLAMPATTI</t>
  </si>
  <si>
    <t>VADIPATTI</t>
  </si>
  <si>
    <t>K.MYLADUMPARAI</t>
  </si>
  <si>
    <t>BODINAYAKANUR</t>
  </si>
  <si>
    <t>PERIYAKULAM</t>
  </si>
  <si>
    <t>UTHAMAPALAYAM</t>
  </si>
  <si>
    <t>CHINNAMANUR</t>
  </si>
  <si>
    <t>CUMBUM</t>
  </si>
  <si>
    <t>KARIAPATTI</t>
  </si>
  <si>
    <t>SRIVILLIPUTTUR</t>
  </si>
  <si>
    <t>SATTUR</t>
  </si>
  <si>
    <t>WATRAP</t>
  </si>
  <si>
    <t>KAMUTHI</t>
  </si>
  <si>
    <t>KEELAKARAI</t>
  </si>
  <si>
    <t>THIRUPULLANI</t>
  </si>
  <si>
    <t>MUTHUKULATHUR</t>
  </si>
  <si>
    <t>PARAMAKUDI</t>
  </si>
  <si>
    <t>NAINARKOIL</t>
  </si>
  <si>
    <t>RAMESWARAM</t>
  </si>
  <si>
    <t>ERAL</t>
  </si>
  <si>
    <t>ETTAYAPURAM</t>
  </si>
  <si>
    <t>KAYATHAR</t>
  </si>
  <si>
    <t>SATTANKULAM</t>
  </si>
  <si>
    <t>SRIVAIKUNTAM</t>
  </si>
  <si>
    <t>THOOTHUKUDI</t>
  </si>
  <si>
    <t>TIRUCHENDUR</t>
  </si>
  <si>
    <t>PAPPAKUDI</t>
  </si>
  <si>
    <t>MANUR</t>
  </si>
  <si>
    <t>KALAKAD</t>
  </si>
  <si>
    <t>VALLIYOOR</t>
  </si>
  <si>
    <t>THIRUNELVELI</t>
  </si>
  <si>
    <t>TISAYANVILAI</t>
  </si>
  <si>
    <t>Kanyakumari</t>
  </si>
  <si>
    <t>KALKULAM</t>
  </si>
  <si>
    <t>KURUNTHENCODE</t>
  </si>
  <si>
    <t>THUCKALAY</t>
  </si>
  <si>
    <t>KILLIYOOR</t>
  </si>
  <si>
    <t>MUNCHIRAI</t>
  </si>
  <si>
    <t>THOVALAI</t>
  </si>
  <si>
    <t>VILAVANCODE</t>
  </si>
  <si>
    <t>ANCHETTI</t>
  </si>
  <si>
    <t>THALLY</t>
  </si>
  <si>
    <t>DENKANIKOTTA</t>
  </si>
  <si>
    <t>POCHAMPALLI</t>
  </si>
  <si>
    <t>Thiruppur</t>
  </si>
  <si>
    <t>THIRUPPUR</t>
  </si>
  <si>
    <t>MULANUR</t>
  </si>
  <si>
    <t>KANGAYAM</t>
  </si>
  <si>
    <t>THIRUPPUR NORTH</t>
  </si>
  <si>
    <t>THIRUPPUR SOUTH</t>
  </si>
  <si>
    <t>CHENGALPATTU</t>
  </si>
  <si>
    <t>CHEYYUR</t>
  </si>
  <si>
    <t>MADHURANTHAKAM</t>
  </si>
  <si>
    <t>ACHARAPPAKKAM</t>
  </si>
  <si>
    <t>PALLAVARAM</t>
  </si>
  <si>
    <t>TAMBARAM</t>
  </si>
  <si>
    <t>THIRUPORUR</t>
  </si>
  <si>
    <t>VANDALUR</t>
  </si>
  <si>
    <t>KALVARAYAN MALAI</t>
  </si>
  <si>
    <t>RISHIVANDHIYAM</t>
  </si>
  <si>
    <t>THIYAGADURGAM</t>
  </si>
  <si>
    <t>THIRUKOILUR</t>
  </si>
  <si>
    <t>ULUNDURPETTAI</t>
  </si>
  <si>
    <t>THIRUNAVALLUR</t>
  </si>
  <si>
    <t>Ranipet</t>
  </si>
  <si>
    <t>ARAKONAM</t>
  </si>
  <si>
    <t>NEMELI</t>
  </si>
  <si>
    <t>THIMIRI</t>
  </si>
  <si>
    <t>KALAVAI</t>
  </si>
  <si>
    <t>SHOLINGHUR</t>
  </si>
  <si>
    <t>WALAJAH</t>
  </si>
  <si>
    <t>Tirupathur</t>
  </si>
  <si>
    <t>AMBUR</t>
  </si>
  <si>
    <t>MADHANUR</t>
  </si>
  <si>
    <t>ALANGAYAM</t>
  </si>
  <si>
    <t>KANDHILI</t>
  </si>
  <si>
    <t>VANIYAMBADI</t>
  </si>
  <si>
    <t>KEELPAVOOR</t>
  </si>
  <si>
    <t>SANKARANKOVIL</t>
  </si>
  <si>
    <t>SENKOTTAI</t>
  </si>
  <si>
    <t>SIVAGIRI</t>
  </si>
  <si>
    <t>THENKASI</t>
  </si>
  <si>
    <t>THIRUVENGADAM</t>
  </si>
  <si>
    <t>VEERAKERALAMPUDUR</t>
  </si>
  <si>
    <t>Taluka</t>
  </si>
  <si>
    <t>Block</t>
  </si>
  <si>
    <t>Gross Cropped Area (in Hectares)</t>
  </si>
  <si>
    <t>Taluk</t>
  </si>
  <si>
    <t>KADATHUR</t>
  </si>
  <si>
    <t>ERIYUR</t>
  </si>
  <si>
    <t>Mayiladuthurai</t>
  </si>
  <si>
    <t>Average</t>
  </si>
  <si>
    <t>SRO</t>
  </si>
  <si>
    <t>Stratum</t>
  </si>
  <si>
    <t>PLAN</t>
  </si>
  <si>
    <t>SRO TOTAL</t>
  </si>
  <si>
    <t>RO TOTAL</t>
  </si>
  <si>
    <t>STATE TOTAL</t>
  </si>
  <si>
    <t>05</t>
  </si>
  <si>
    <t>08</t>
  </si>
  <si>
    <t>09</t>
  </si>
  <si>
    <t>10</t>
  </si>
  <si>
    <t>11</t>
  </si>
  <si>
    <t>12</t>
  </si>
  <si>
    <t>14</t>
  </si>
  <si>
    <t>15</t>
  </si>
  <si>
    <t>16</t>
  </si>
  <si>
    <t>17</t>
  </si>
  <si>
    <t>22</t>
  </si>
  <si>
    <t>31</t>
  </si>
  <si>
    <t>32</t>
  </si>
  <si>
    <t>01</t>
  </si>
  <si>
    <t>03</t>
  </si>
  <si>
    <t>04</t>
  </si>
  <si>
    <t>06</t>
  </si>
  <si>
    <t>07</t>
  </si>
  <si>
    <t>18</t>
  </si>
  <si>
    <t>33</t>
  </si>
  <si>
    <t>34</t>
  </si>
  <si>
    <t>35</t>
  </si>
  <si>
    <t>36</t>
  </si>
  <si>
    <t>13</t>
  </si>
  <si>
    <t>19</t>
  </si>
  <si>
    <t>20</t>
  </si>
  <si>
    <t>21</t>
  </si>
  <si>
    <t>23</t>
  </si>
  <si>
    <t>24</t>
  </si>
  <si>
    <t>25</t>
  </si>
  <si>
    <t>26</t>
  </si>
  <si>
    <t>27</t>
  </si>
  <si>
    <t>28</t>
  </si>
  <si>
    <t>29</t>
  </si>
  <si>
    <t>30</t>
  </si>
  <si>
    <t>37</t>
  </si>
  <si>
    <t>38</t>
  </si>
  <si>
    <t>Nagappattinam</t>
  </si>
  <si>
    <t>Thirunelveli</t>
  </si>
  <si>
    <t>AREA</t>
  </si>
  <si>
    <t>DISTT. TOTAL</t>
  </si>
  <si>
    <t>Anthiyur</t>
  </si>
  <si>
    <t>Ammapettai</t>
  </si>
  <si>
    <t>Bhavani</t>
  </si>
  <si>
    <t>Gobichettipalayam</t>
  </si>
  <si>
    <t>Thukkanaickenpalayam</t>
  </si>
  <si>
    <t>Kodumudi</t>
  </si>
  <si>
    <t>Modakurichi</t>
  </si>
  <si>
    <t>Nambiyur</t>
  </si>
  <si>
    <t>Bhavanisagar</t>
  </si>
  <si>
    <t>Perundurai</t>
  </si>
  <si>
    <t>Chennimalai</t>
  </si>
  <si>
    <t>Sathyamangalam</t>
  </si>
  <si>
    <t>Talavadi</t>
  </si>
  <si>
    <t>Coonoor</t>
  </si>
  <si>
    <t>Gudalur</t>
  </si>
  <si>
    <t>Kotagiri</t>
  </si>
  <si>
    <t>Kundah</t>
  </si>
  <si>
    <t>Udhagamandalam</t>
  </si>
  <si>
    <t>Pandalur</t>
  </si>
  <si>
    <t>Anaimalai</t>
  </si>
  <si>
    <t>Pollachi South</t>
  </si>
  <si>
    <t>Annur</t>
  </si>
  <si>
    <t>Sarkar Samakulam</t>
  </si>
  <si>
    <t>Coimbatore North</t>
  </si>
  <si>
    <t>Periyanaickenpalayam</t>
  </si>
  <si>
    <t>Coimbatore South</t>
  </si>
  <si>
    <t>Madukkarai</t>
  </si>
  <si>
    <t>Thondamuthur</t>
  </si>
  <si>
    <t>Kinathukadavu</t>
  </si>
  <si>
    <t>Mettupalayam</t>
  </si>
  <si>
    <t>Karamadai</t>
  </si>
  <si>
    <t>Perur</t>
  </si>
  <si>
    <t>Pollachi</t>
  </si>
  <si>
    <t>Pollachi  North</t>
  </si>
  <si>
    <t>Sulur</t>
  </si>
  <si>
    <t>Sultanpet</t>
  </si>
  <si>
    <t>Valparai</t>
  </si>
  <si>
    <t>Avinashi</t>
  </si>
  <si>
    <t>Dharapuram</t>
  </si>
  <si>
    <t>Kundadam</t>
  </si>
  <si>
    <t>Mulanur</t>
  </si>
  <si>
    <t>Vellakoil</t>
  </si>
  <si>
    <t>Kangayam</t>
  </si>
  <si>
    <t>Kangeyam</t>
  </si>
  <si>
    <t>Madathukulam</t>
  </si>
  <si>
    <t>Palladam</t>
  </si>
  <si>
    <t>Pongalur</t>
  </si>
  <si>
    <t>Thiruppur North</t>
  </si>
  <si>
    <t>Thiruppur South</t>
  </si>
  <si>
    <t>Udumalpettai</t>
  </si>
  <si>
    <t>Gudimangalam</t>
  </si>
  <si>
    <t>Uthukuli</t>
  </si>
  <si>
    <t>Harur</t>
  </si>
  <si>
    <t>Kadathur</t>
  </si>
  <si>
    <t>Karimangalam</t>
  </si>
  <si>
    <t>Morappur</t>
  </si>
  <si>
    <t>Palacode</t>
  </si>
  <si>
    <t>Pappireddipatty</t>
  </si>
  <si>
    <t>Pennagaram</t>
  </si>
  <si>
    <t>Eriyur</t>
  </si>
  <si>
    <t>Denkanikotta</t>
  </si>
  <si>
    <t>Kelamangalam</t>
  </si>
  <si>
    <t>Thally</t>
  </si>
  <si>
    <t>Anchetti</t>
  </si>
  <si>
    <t>Bargur</t>
  </si>
  <si>
    <t>Mathur</t>
  </si>
  <si>
    <t>Hosur</t>
  </si>
  <si>
    <t>Shoolagiri</t>
  </si>
  <si>
    <t>Kaveripattinam</t>
  </si>
  <si>
    <t>Veppanapalli</t>
  </si>
  <si>
    <t>Pochampalli</t>
  </si>
  <si>
    <t>Uthangarai</t>
  </si>
  <si>
    <t>Attur</t>
  </si>
  <si>
    <t>Edappadi</t>
  </si>
  <si>
    <t>Konganapuram</t>
  </si>
  <si>
    <t>Gangavalli</t>
  </si>
  <si>
    <t>Kadayampatti</t>
  </si>
  <si>
    <t>Omalur</t>
  </si>
  <si>
    <t>Mettur</t>
  </si>
  <si>
    <t>Kolathur</t>
  </si>
  <si>
    <t>Mecheri</t>
  </si>
  <si>
    <t>Nangavalli</t>
  </si>
  <si>
    <t>Tharamangalam</t>
  </si>
  <si>
    <t>Pethanaickanpalayam</t>
  </si>
  <si>
    <t>Ayothiyappattinam</t>
  </si>
  <si>
    <t>Panamarathuppatti</t>
  </si>
  <si>
    <t>Salem South</t>
  </si>
  <si>
    <t>Veerapandi</t>
  </si>
  <si>
    <t>Salem West</t>
  </si>
  <si>
    <t>Sankari</t>
  </si>
  <si>
    <t>Magudanchavadi</t>
  </si>
  <si>
    <t>Thalaivasal</t>
  </si>
  <si>
    <t>Vazhappadi</t>
  </si>
  <si>
    <t>Yercaud</t>
  </si>
  <si>
    <t>Kollimalai</t>
  </si>
  <si>
    <t>Kumarapalayam</t>
  </si>
  <si>
    <t>Pallipalayam</t>
  </si>
  <si>
    <t>Tiruchengode</t>
  </si>
  <si>
    <t>Mohanur</t>
  </si>
  <si>
    <t>Erumaipatti</t>
  </si>
  <si>
    <t>Puduchatram</t>
  </si>
  <si>
    <t>Paramathi-Velur</t>
  </si>
  <si>
    <t>Kabilarmalai</t>
  </si>
  <si>
    <t>Rasipuram</t>
  </si>
  <si>
    <t>Namagiripettai</t>
  </si>
  <si>
    <t>Vennandur</t>
  </si>
  <si>
    <t>Senthamangalam</t>
  </si>
  <si>
    <t>Senthamagalam</t>
  </si>
  <si>
    <t>Elachipalayam</t>
  </si>
  <si>
    <t>Mallasamudram</t>
  </si>
  <si>
    <t>Aravakurichi</t>
  </si>
  <si>
    <t>K.Paramathy</t>
  </si>
  <si>
    <t>Kadavur</t>
  </si>
  <si>
    <t>Krishnarayapuram</t>
  </si>
  <si>
    <t>Thanthoni</t>
  </si>
  <si>
    <t>Kulithalai</t>
  </si>
  <si>
    <t>Thogaimalai</t>
  </si>
  <si>
    <t>Manmangalam</t>
  </si>
  <si>
    <t>Pugalur</t>
  </si>
  <si>
    <t>Lalgudi</t>
  </si>
  <si>
    <t>Pullambadi</t>
  </si>
  <si>
    <t>Manapparai</t>
  </si>
  <si>
    <t>Vaiyampatti</t>
  </si>
  <si>
    <t>Mannachanallur</t>
  </si>
  <si>
    <t>Marungapuri</t>
  </si>
  <si>
    <t>Musiri</t>
  </si>
  <si>
    <t>Thathaiyangarpettai</t>
  </si>
  <si>
    <t>Srirangam</t>
  </si>
  <si>
    <t>Andanallur</t>
  </si>
  <si>
    <t>Manikandam</t>
  </si>
  <si>
    <t>Thiruverumbur</t>
  </si>
  <si>
    <t>Tiruverumbur</t>
  </si>
  <si>
    <t>Thottiyam</t>
  </si>
  <si>
    <t>Thuraiyur</t>
  </si>
  <si>
    <t>Uppiliyapuram</t>
  </si>
  <si>
    <t>Tiruchirapalli East</t>
  </si>
  <si>
    <t>Tiruchirapalli West</t>
  </si>
  <si>
    <t>Alathur</t>
  </si>
  <si>
    <t>Kunnam</t>
  </si>
  <si>
    <t>Veppur</t>
  </si>
  <si>
    <t>Veppanthattai</t>
  </si>
  <si>
    <t>Andimadam</t>
  </si>
  <si>
    <t>Thirumanur</t>
  </si>
  <si>
    <t>Sendurai</t>
  </si>
  <si>
    <t>Udayarpalayam</t>
  </si>
  <si>
    <t>Jayankondam</t>
  </si>
  <si>
    <t>T.Palur</t>
  </si>
  <si>
    <t>Alangudy</t>
  </si>
  <si>
    <t>Thiruvarankulam</t>
  </si>
  <si>
    <t>Aranthangi</t>
  </si>
  <si>
    <t>Avudaiyarkoil</t>
  </si>
  <si>
    <t>Arimalam</t>
  </si>
  <si>
    <t>Gandarvakottai</t>
  </si>
  <si>
    <t>Illuppur</t>
  </si>
  <si>
    <t>Annavasal</t>
  </si>
  <si>
    <t>Kunnandarkoil</t>
  </si>
  <si>
    <t>Viralimalai</t>
  </si>
  <si>
    <t>Karambakudi</t>
  </si>
  <si>
    <t>Kulathur</t>
  </si>
  <si>
    <t>Manamelkudy</t>
  </si>
  <si>
    <t>Ponnamaravathy</t>
  </si>
  <si>
    <t>Thirumayam</t>
  </si>
  <si>
    <t>Avadi</t>
  </si>
  <si>
    <t>Poonamallee</t>
  </si>
  <si>
    <t>Villivakkam</t>
  </si>
  <si>
    <t>Gummidipoondi</t>
  </si>
  <si>
    <t>Pallipet</t>
  </si>
  <si>
    <t>Pallipattu</t>
  </si>
  <si>
    <t>Ponneri</t>
  </si>
  <si>
    <t>Minjur</t>
  </si>
  <si>
    <t>Puzhal</t>
  </si>
  <si>
    <t>Sholavaram</t>
  </si>
  <si>
    <t>R.K.Pet</t>
  </si>
  <si>
    <t>Ellapuram</t>
  </si>
  <si>
    <t>Kadambathur</t>
  </si>
  <si>
    <t>Poondi</t>
  </si>
  <si>
    <t>Tiruttani</t>
  </si>
  <si>
    <t>Thiruvalangadu</t>
  </si>
  <si>
    <t>Uthukottai</t>
  </si>
  <si>
    <t>Walajabad</t>
  </si>
  <si>
    <t>Kundrathur</t>
  </si>
  <si>
    <t>Sriperumpudur</t>
  </si>
  <si>
    <t>Uthiramerur</t>
  </si>
  <si>
    <t>Kattankulathur</t>
  </si>
  <si>
    <t>Cheyyur</t>
  </si>
  <si>
    <t>Chithamur</t>
  </si>
  <si>
    <t>Lathur</t>
  </si>
  <si>
    <t>Madhuranthakam</t>
  </si>
  <si>
    <t>Acharappakkam</t>
  </si>
  <si>
    <t>Pallavaram</t>
  </si>
  <si>
    <t>Chitlapakkam</t>
  </si>
  <si>
    <t>Tambaram</t>
  </si>
  <si>
    <t>Thirukazhukundram</t>
  </si>
  <si>
    <t>Thiruporur</t>
  </si>
  <si>
    <t>Vandalur</t>
  </si>
  <si>
    <t>Gingee</t>
  </si>
  <si>
    <t>Vallam</t>
  </si>
  <si>
    <t>Kandachipuram</t>
  </si>
  <si>
    <t>Mugaiyur</t>
  </si>
  <si>
    <t>Marakanam</t>
  </si>
  <si>
    <t>Melmalayanur</t>
  </si>
  <si>
    <t>T.V.Nallur</t>
  </si>
  <si>
    <t>Tindivanam</t>
  </si>
  <si>
    <t>Mailam</t>
  </si>
  <si>
    <t>Olakkur</t>
  </si>
  <si>
    <t>Vanur</t>
  </si>
  <si>
    <t>Vikkaravandi</t>
  </si>
  <si>
    <t>Kanai</t>
  </si>
  <si>
    <t>Kandamangalam</t>
  </si>
  <si>
    <t>Koliyanur</t>
  </si>
  <si>
    <t>Bhuvanagiri</t>
  </si>
  <si>
    <t>Melbhuvanagiri</t>
  </si>
  <si>
    <t>Paragipettai</t>
  </si>
  <si>
    <t>Chidambaram</t>
  </si>
  <si>
    <t>Keerapalayam</t>
  </si>
  <si>
    <t>Kumarachi</t>
  </si>
  <si>
    <t>Kurinjipadi</t>
  </si>
  <si>
    <t>Kattumannarkoil</t>
  </si>
  <si>
    <t>Panruti</t>
  </si>
  <si>
    <t>Annagramam</t>
  </si>
  <si>
    <t>Srimushnum</t>
  </si>
  <si>
    <t>Titagudi</t>
  </si>
  <si>
    <t>Mangalore</t>
  </si>
  <si>
    <t>Nallur</t>
  </si>
  <si>
    <t>Virudhachalam</t>
  </si>
  <si>
    <t>Kammapuram</t>
  </si>
  <si>
    <t>Chinnasalem</t>
  </si>
  <si>
    <t>Kalvarayan Malai</t>
  </si>
  <si>
    <t>Sankarapuram</t>
  </si>
  <si>
    <t>Rishivandhiyam</t>
  </si>
  <si>
    <t>Thiyagadurgam</t>
  </si>
  <si>
    <t>Thirukoilur</t>
  </si>
  <si>
    <t>Ulundurpettai</t>
  </si>
  <si>
    <t>Thirunavallur</t>
  </si>
  <si>
    <t>Anaicut</t>
  </si>
  <si>
    <t>Gudiyatham</t>
  </si>
  <si>
    <t>K.V.Kuppam</t>
  </si>
  <si>
    <t>Katpadi</t>
  </si>
  <si>
    <t>Pernampet</t>
  </si>
  <si>
    <t>Kaniyambadi</t>
  </si>
  <si>
    <t>Arni</t>
  </si>
  <si>
    <t>West Arni</t>
  </si>
  <si>
    <t>Chengam</t>
  </si>
  <si>
    <t>Jawadhuhills</t>
  </si>
  <si>
    <t>Pudupalayam</t>
  </si>
  <si>
    <t>Chetpet</t>
  </si>
  <si>
    <t>Peranamallur</t>
  </si>
  <si>
    <t>Cheyyar</t>
  </si>
  <si>
    <t>Anakkavoor</t>
  </si>
  <si>
    <t>Jamunamarathoor</t>
  </si>
  <si>
    <t>Kalasapakkam</t>
  </si>
  <si>
    <t>Kilpenathur</t>
  </si>
  <si>
    <t>Thurinjapuram</t>
  </si>
  <si>
    <t>Polur</t>
  </si>
  <si>
    <t>Thandarampattu</t>
  </si>
  <si>
    <t>Thandarampat</t>
  </si>
  <si>
    <t>Vandavasi</t>
  </si>
  <si>
    <t>Thellar</t>
  </si>
  <si>
    <t>Vembakkam</t>
  </si>
  <si>
    <t>Arakonam</t>
  </si>
  <si>
    <t>Nemeli</t>
  </si>
  <si>
    <t>Arcot</t>
  </si>
  <si>
    <t>Thimiri</t>
  </si>
  <si>
    <t>Kalavai</t>
  </si>
  <si>
    <t>Kaveripakkam</t>
  </si>
  <si>
    <t>Sholinghur</t>
  </si>
  <si>
    <t>Sholingar</t>
  </si>
  <si>
    <t>Walajah</t>
  </si>
  <si>
    <t>Ambur</t>
  </si>
  <si>
    <t>Madhanur</t>
  </si>
  <si>
    <t>Natrampalli</t>
  </si>
  <si>
    <t>Jolarpettai</t>
  </si>
  <si>
    <t>Thirupathur</t>
  </si>
  <si>
    <t>Alangayam</t>
  </si>
  <si>
    <t>Kandhili</t>
  </si>
  <si>
    <t>Vaniyambadi</t>
  </si>
  <si>
    <t>Athoor</t>
  </si>
  <si>
    <t>Dindigul East</t>
  </si>
  <si>
    <t>Sanarpatti</t>
  </si>
  <si>
    <t>Dindigul West</t>
  </si>
  <si>
    <t>Reddiarchatram</t>
  </si>
  <si>
    <t>Guziliamparai</t>
  </si>
  <si>
    <t>Vedasandur</t>
  </si>
  <si>
    <t>Kodaikanal</t>
  </si>
  <si>
    <t>Kodaikkanal</t>
  </si>
  <si>
    <t>Natham</t>
  </si>
  <si>
    <t>Nilakottai</t>
  </si>
  <si>
    <t>Batalgundu</t>
  </si>
  <si>
    <t>Odanchathram</t>
  </si>
  <si>
    <t>Oddanchathram</t>
  </si>
  <si>
    <t>Thoppampatti</t>
  </si>
  <si>
    <t>Palani</t>
  </si>
  <si>
    <t>Vadamadurai</t>
  </si>
  <si>
    <t>Kalligudi</t>
  </si>
  <si>
    <t>Madurai East</t>
  </si>
  <si>
    <t>Madurai North</t>
  </si>
  <si>
    <t>Madurai West</t>
  </si>
  <si>
    <t>Madurai South</t>
  </si>
  <si>
    <t>Thirupparangundram</t>
  </si>
  <si>
    <t>Melur</t>
  </si>
  <si>
    <t>Kottampatti</t>
  </si>
  <si>
    <t>Peraiyur</t>
  </si>
  <si>
    <t>Sedpatti</t>
  </si>
  <si>
    <t>T.Kallupatti</t>
  </si>
  <si>
    <t>Thirumangalam</t>
  </si>
  <si>
    <t>Usilampatti</t>
  </si>
  <si>
    <t>Chellampatti</t>
  </si>
  <si>
    <t>Vadipatti</t>
  </si>
  <si>
    <t>Alanganallur</t>
  </si>
  <si>
    <t>Andipatti</t>
  </si>
  <si>
    <t>K.Myladumparai</t>
  </si>
  <si>
    <t>Bodinayakanur</t>
  </si>
  <si>
    <t>Periyakulam</t>
  </si>
  <si>
    <t>Uthamapalayam</t>
  </si>
  <si>
    <t>Chinnamanur</t>
  </si>
  <si>
    <t>Cumbum</t>
  </si>
  <si>
    <t>Kilvelur</t>
  </si>
  <si>
    <t>Keelaiyur</t>
  </si>
  <si>
    <t>Thirumarugal</t>
  </si>
  <si>
    <t>Thirukkuvalai</t>
  </si>
  <si>
    <t>Thalainayar</t>
  </si>
  <si>
    <t>Vedaranyam</t>
  </si>
  <si>
    <t>Kodavasal</t>
  </si>
  <si>
    <t>Koradacheri</t>
  </si>
  <si>
    <t>Koothanallur</t>
  </si>
  <si>
    <t>Kottur</t>
  </si>
  <si>
    <t>Mannargudi</t>
  </si>
  <si>
    <t>Nidamangalam</t>
  </si>
  <si>
    <t>Nannilam</t>
  </si>
  <si>
    <t>Thiruthuraipoondi</t>
  </si>
  <si>
    <t>Muthupet</t>
  </si>
  <si>
    <t>Tiruvarur</t>
  </si>
  <si>
    <t>Valangaiman</t>
  </si>
  <si>
    <t>Budalur</t>
  </si>
  <si>
    <t>Thiruvaiyaru</t>
  </si>
  <si>
    <t>Kumbakonam</t>
  </si>
  <si>
    <t>Thiruvidamarudur</t>
  </si>
  <si>
    <t>Orathanad</t>
  </si>
  <si>
    <t>Orathanadu</t>
  </si>
  <si>
    <t>Thiruvonam</t>
  </si>
  <si>
    <t>Papanasam</t>
  </si>
  <si>
    <t>Pattukottai</t>
  </si>
  <si>
    <t>Madukkur</t>
  </si>
  <si>
    <t>Pattukkottai</t>
  </si>
  <si>
    <t>Peravurani</t>
  </si>
  <si>
    <t>Sethubavachatram</t>
  </si>
  <si>
    <t>Thiruvidaimaruthur</t>
  </si>
  <si>
    <t>Tiruppanandal</t>
  </si>
  <si>
    <t>Kuttalam</t>
  </si>
  <si>
    <t>Sirkali</t>
  </si>
  <si>
    <t>Kollidam</t>
  </si>
  <si>
    <t>Sembanarkoil</t>
  </si>
  <si>
    <t>Tharangambadi</t>
  </si>
  <si>
    <t>Eral</t>
  </si>
  <si>
    <t>Alwarthirunagari</t>
  </si>
  <si>
    <t>Srivaikundam</t>
  </si>
  <si>
    <t>Ettayapuram</t>
  </si>
  <si>
    <t>Kayathar</t>
  </si>
  <si>
    <t>Kovilpatti</t>
  </si>
  <si>
    <t>Pudur</t>
  </si>
  <si>
    <t>Vilathikulam</t>
  </si>
  <si>
    <t>Ottapidaram</t>
  </si>
  <si>
    <t>Sattankulam</t>
  </si>
  <si>
    <t>Srivaikuntam</t>
  </si>
  <si>
    <t>Karungulam</t>
  </si>
  <si>
    <t>Tiruchendur</t>
  </si>
  <si>
    <t>Udangudi</t>
  </si>
  <si>
    <t>Ambasamudram</t>
  </si>
  <si>
    <t>Cheranmahadevi</t>
  </si>
  <si>
    <t>Pappakudi</t>
  </si>
  <si>
    <t>Manur</t>
  </si>
  <si>
    <t>Nanguneri</t>
  </si>
  <si>
    <t>Kalakad</t>
  </si>
  <si>
    <t>Palayamkottai</t>
  </si>
  <si>
    <t>Radhapuram</t>
  </si>
  <si>
    <t>Valliyoor</t>
  </si>
  <si>
    <t>Tisayanvilai</t>
  </si>
  <si>
    <t>Agastheeswaram</t>
  </si>
  <si>
    <t>Rajakkamangalam</t>
  </si>
  <si>
    <t>Kalkulam</t>
  </si>
  <si>
    <t>Kurunthencode</t>
  </si>
  <si>
    <t>Thuckalay</t>
  </si>
  <si>
    <t>Killiyoor</t>
  </si>
  <si>
    <t>Munchirai</t>
  </si>
  <si>
    <t>Thiruvattar</t>
  </si>
  <si>
    <t>Thovalai</t>
  </si>
  <si>
    <t>Vilavancode</t>
  </si>
  <si>
    <t>Melpuram</t>
  </si>
  <si>
    <t>Alankulam</t>
  </si>
  <si>
    <t>Kadayam</t>
  </si>
  <si>
    <t>Keelpavoor</t>
  </si>
  <si>
    <t>Kadayanallur</t>
  </si>
  <si>
    <t>Melaneelithanallur</t>
  </si>
  <si>
    <t>Sankarankoil</t>
  </si>
  <si>
    <t>Shenkottai</t>
  </si>
  <si>
    <t>Vasudevanallur</t>
  </si>
  <si>
    <t>Sankarankovil</t>
  </si>
  <si>
    <t>Senkottai</t>
  </si>
  <si>
    <t>Sivagiri</t>
  </si>
  <si>
    <t>Thenkasi</t>
  </si>
  <si>
    <t>Thiruvengadam</t>
  </si>
  <si>
    <t>Kuruvikulam</t>
  </si>
  <si>
    <t>Veerakeralampudur</t>
  </si>
  <si>
    <t>Devakottai</t>
  </si>
  <si>
    <t>Kannangudi</t>
  </si>
  <si>
    <t>Ilayangudi</t>
  </si>
  <si>
    <t>Kalayarkoil</t>
  </si>
  <si>
    <t>Kallal</t>
  </si>
  <si>
    <t>Manamadurai</t>
  </si>
  <si>
    <t>Karaikudi</t>
  </si>
  <si>
    <t>Sakkottai</t>
  </si>
  <si>
    <t>Thiruppuvanam</t>
  </si>
  <si>
    <t>Singampunari</t>
  </si>
  <si>
    <t>S.Pudhur</t>
  </si>
  <si>
    <t>Thiruppathur</t>
  </si>
  <si>
    <t>Aruppukottai</t>
  </si>
  <si>
    <t>Thiruchuli</t>
  </si>
  <si>
    <t>Kariapatti</t>
  </si>
  <si>
    <t>Narikudi</t>
  </si>
  <si>
    <t>Rajapalayam</t>
  </si>
  <si>
    <t>Srivilliputtur</t>
  </si>
  <si>
    <t>Sattur</t>
  </si>
  <si>
    <t>Sivakasi</t>
  </si>
  <si>
    <t>Vembakottai</t>
  </si>
  <si>
    <t>Watrap</t>
  </si>
  <si>
    <t>Vathirayiruppu</t>
  </si>
  <si>
    <t>Kadaladi</t>
  </si>
  <si>
    <t>Kamuthi</t>
  </si>
  <si>
    <t>Keelakarai</t>
  </si>
  <si>
    <t>Thirupullani</t>
  </si>
  <si>
    <t>Muthukulathur</t>
  </si>
  <si>
    <t>Mudukulathur</t>
  </si>
  <si>
    <t>Paramakudi</t>
  </si>
  <si>
    <t>Bogalur</t>
  </si>
  <si>
    <t>Nainarkoil</t>
  </si>
  <si>
    <t>R.S.Mangalam</t>
  </si>
  <si>
    <t>Mandapam</t>
  </si>
  <si>
    <t>Rameswaram</t>
  </si>
  <si>
    <t>Thiruvadanai</t>
  </si>
  <si>
    <t>ADJ</t>
  </si>
  <si>
    <t>Distt. Code</t>
  </si>
  <si>
    <t>Distt.</t>
  </si>
  <si>
    <t>RO</t>
  </si>
  <si>
    <t>Nallampalli</t>
  </si>
  <si>
    <t>STATE: TAMIL NADU</t>
  </si>
  <si>
    <t>Central</t>
  </si>
  <si>
    <t>State</t>
  </si>
  <si>
    <t>TOTAL</t>
  </si>
  <si>
    <t>SEASON: PH-I (Early Kharif), PH-II (Late Kharif) and PH-III (Rabi)</t>
  </si>
  <si>
    <t>2022-23</t>
  </si>
  <si>
    <t>Distt</t>
  </si>
  <si>
    <t>concatenation</t>
  </si>
  <si>
    <t>Area</t>
  </si>
  <si>
    <t>yr1</t>
  </si>
  <si>
    <t>yr2</t>
  </si>
  <si>
    <t>yr3</t>
  </si>
  <si>
    <t>#Vill. Planned</t>
  </si>
  <si>
    <t>VAANAAPURAM</t>
  </si>
  <si>
    <t>2023-24</t>
  </si>
  <si>
    <t>Vaanaapuram</t>
  </si>
  <si>
    <t>Sl.No.</t>
  </si>
  <si>
    <t>District</t>
  </si>
  <si>
    <t>2024-25</t>
  </si>
  <si>
    <t>PLAN OF WORK FOR UNDERTAKING SAMPLE CHECK ON AREA ENUMERATION BY CENTRAL AND STATE AGENCIES &amp; 
SAMPLE CHECK ON AGGREGATION OF AREA BY STATE AGENCY UNDER ICS</t>
  </si>
  <si>
    <t>YEAR: 2026-27</t>
  </si>
  <si>
    <t>PLAN OF WORK FOR UNDERTAKING SAMPLE CHECK ON AREA ENUMERATION BY CENTRAL AND 
STATE AGENCIES &amp; SAMPLE CHECK ON AGGREGATION OF AREA BY STATE AGENCY UNDER 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</si>
</sst>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theme="1"/>
      <name val="Bookman Old Style"/>
      <family val="1"/>
    </font>
    <font>
      <sz val="11"/>
      <color indexed="8"/>
      <name val="Bookman Old Style"/>
      <family val="1"/>
    </font>
    <font>
      <sz val="10"/>
      <color indexed="8"/>
      <name val="Arial"/>
    </font>
    <font>
      <sz val="1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0" fontId="5" fillId="0" borderId="0"/>
    <xf numFmtId="0" fontId="3" fillId="0" borderId="0"/>
    <xf numFmtId="0" fontId="2" fillId="0" borderId="0"/>
    <xf numFmtId="0" fontId="1" fillId="0" borderId="0"/>
    <xf numFmtId="0" fontId="17" fillId="0" borderId="0"/>
    <xf numFmtId="0" fontId="18" fillId="0" borderId="0"/>
  </cellStyleXfs>
  <cellXfs count="88"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1" fontId="7" fillId="5" borderId="0" xfId="0" applyNumberFormat="1" applyFont="1" applyFill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2" applyFont="1" applyBorder="1"/>
    <xf numFmtId="2" fontId="12" fillId="0" borderId="1" xfId="2" applyNumberFormat="1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" fontId="7" fillId="5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13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/>
    <xf numFmtId="1" fontId="8" fillId="0" borderId="1" xfId="0" applyNumberFormat="1" applyFont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1" fontId="13" fillId="2" borderId="1" xfId="0" applyNumberFormat="1" applyFont="1" applyFill="1" applyBorder="1" applyAlignment="1">
      <alignment horizontal="right" vertical="center"/>
    </xf>
    <xf numFmtId="2" fontId="13" fillId="2" borderId="1" xfId="0" applyNumberFormat="1" applyFont="1" applyFill="1" applyBorder="1" applyAlignment="1">
      <alignment horizontal="right"/>
    </xf>
    <xf numFmtId="1" fontId="13" fillId="2" borderId="1" xfId="0" applyNumberFormat="1" applyFont="1" applyFill="1" applyBorder="1" applyAlignment="1">
      <alignment horizontal="right"/>
    </xf>
    <xf numFmtId="1" fontId="13" fillId="3" borderId="1" xfId="0" applyNumberFormat="1" applyFont="1" applyFill="1" applyBorder="1" applyAlignment="1">
      <alignment horizontal="right" vertical="center"/>
    </xf>
    <xf numFmtId="2" fontId="13" fillId="3" borderId="1" xfId="0" applyNumberFormat="1" applyFont="1" applyFill="1" applyBorder="1" applyAlignment="1">
      <alignment horizontal="right"/>
    </xf>
    <xf numFmtId="1" fontId="13" fillId="3" borderId="1" xfId="0" applyNumberFormat="1" applyFont="1" applyFill="1" applyBorder="1" applyAlignment="1">
      <alignment horizontal="right"/>
    </xf>
    <xf numFmtId="1" fontId="13" fillId="4" borderId="1" xfId="0" applyNumberFormat="1" applyFont="1" applyFill="1" applyBorder="1" applyAlignment="1">
      <alignment horizontal="right" vertical="center"/>
    </xf>
    <xf numFmtId="2" fontId="13" fillId="4" borderId="1" xfId="0" applyNumberFormat="1" applyFont="1" applyFill="1" applyBorder="1" applyAlignment="1">
      <alignment horizontal="right"/>
    </xf>
    <xf numFmtId="1" fontId="13" fillId="4" borderId="1" xfId="0" applyNumberFormat="1" applyFont="1" applyFill="1" applyBorder="1" applyAlignment="1">
      <alignment horizontal="right"/>
    </xf>
    <xf numFmtId="1" fontId="7" fillId="0" borderId="0" xfId="0" applyNumberFormat="1" applyFont="1"/>
    <xf numFmtId="0" fontId="15" fillId="0" borderId="0" xfId="5" applyFont="1"/>
    <xf numFmtId="1" fontId="7" fillId="0" borderId="0" xfId="0" applyNumberFormat="1" applyFont="1" applyAlignment="1">
      <alignment horizontal="center"/>
    </xf>
    <xf numFmtId="2" fontId="8" fillId="0" borderId="0" xfId="0" applyNumberFormat="1" applyFont="1"/>
    <xf numFmtId="0" fontId="16" fillId="0" borderId="1" xfId="6" applyFont="1" applyBorder="1" applyAlignment="1">
      <alignment wrapText="1"/>
    </xf>
    <xf numFmtId="1" fontId="13" fillId="7" borderId="1" xfId="0" applyNumberFormat="1" applyFont="1" applyFill="1" applyBorder="1" applyAlignment="1">
      <alignment horizontal="right" vertical="center"/>
    </xf>
    <xf numFmtId="2" fontId="13" fillId="7" borderId="1" xfId="0" applyNumberFormat="1" applyFont="1" applyFill="1" applyBorder="1" applyAlignment="1">
      <alignment horizontal="right"/>
    </xf>
    <xf numFmtId="1" fontId="13" fillId="7" borderId="1" xfId="0" applyNumberFormat="1" applyFont="1" applyFill="1" applyBorder="1" applyAlignment="1">
      <alignment horizontal="right"/>
    </xf>
    <xf numFmtId="2" fontId="13" fillId="3" borderId="1" xfId="0" applyNumberFormat="1" applyFont="1" applyFill="1" applyBorder="1" applyAlignment="1">
      <alignment horizontal="right" vertical="center"/>
    </xf>
    <xf numFmtId="0" fontId="13" fillId="2" borderId="1" xfId="0" applyFont="1" applyFill="1" applyBorder="1" applyAlignment="1">
      <alignment horizontal="right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right"/>
    </xf>
    <xf numFmtId="0" fontId="13" fillId="7" borderId="1" xfId="0" applyFont="1" applyFill="1" applyBorder="1" applyAlignment="1">
      <alignment horizontal="right"/>
    </xf>
    <xf numFmtId="0" fontId="8" fillId="0" borderId="4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13" fillId="4" borderId="1" xfId="0" applyFont="1" applyFill="1" applyBorder="1" applyAlignment="1">
      <alignment horizontal="right"/>
    </xf>
    <xf numFmtId="0" fontId="13" fillId="5" borderId="7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right" vertical="center"/>
    </xf>
    <xf numFmtId="1" fontId="8" fillId="0" borderId="5" xfId="0" applyNumberFormat="1" applyFont="1" applyBorder="1" applyAlignment="1">
      <alignment horizontal="right" vertical="center"/>
    </xf>
    <xf numFmtId="1" fontId="8" fillId="0" borderId="6" xfId="0" applyNumberFormat="1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1" fontId="8" fillId="6" borderId="1" xfId="0" applyNumberFormat="1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 wrapText="1"/>
    </xf>
    <xf numFmtId="2" fontId="8" fillId="0" borderId="4" xfId="0" applyNumberFormat="1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right" vertical="center"/>
    </xf>
    <xf numFmtId="2" fontId="8" fillId="0" borderId="6" xfId="0" applyNumberFormat="1" applyFont="1" applyBorder="1" applyAlignment="1">
      <alignment horizontal="right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right" vertical="center"/>
    </xf>
    <xf numFmtId="0" fontId="8" fillId="0" borderId="6" xfId="0" applyFont="1" applyBorder="1" applyAlignment="1">
      <alignment horizontal="right" vertical="center"/>
    </xf>
    <xf numFmtId="1" fontId="8" fillId="0" borderId="4" xfId="0" applyNumberFormat="1" applyFont="1" applyBorder="1" applyAlignment="1">
      <alignment vertical="center"/>
    </xf>
    <xf numFmtId="1" fontId="8" fillId="0" borderId="5" xfId="0" applyNumberFormat="1" applyFont="1" applyBorder="1" applyAlignment="1">
      <alignment vertical="center"/>
    </xf>
    <xf numFmtId="1" fontId="8" fillId="0" borderId="6" xfId="0" applyNumberFormat="1" applyFont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2" fontId="8" fillId="0" borderId="5" xfId="0" applyNumberFormat="1" applyFont="1" applyBorder="1" applyAlignment="1">
      <alignment vertical="center"/>
    </xf>
    <xf numFmtId="2" fontId="8" fillId="0" borderId="6" xfId="0" applyNumberFormat="1" applyFont="1" applyBorder="1" applyAlignment="1">
      <alignment vertical="center"/>
    </xf>
    <xf numFmtId="0" fontId="6" fillId="0" borderId="0" xfId="0" applyFont="1" applyAlignment="1">
      <alignment horizontal="center"/>
    </xf>
    <xf numFmtId="0" fontId="8" fillId="0" borderId="4" xfId="0" applyFont="1" applyBorder="1" applyAlignment="1">
      <alignment horizontal="right" vertical="center"/>
    </xf>
    <xf numFmtId="0" fontId="8" fillId="6" borderId="4" xfId="0" applyFont="1" applyFill="1" applyBorder="1" applyAlignment="1">
      <alignment horizontal="right" vertical="center"/>
    </xf>
    <xf numFmtId="0" fontId="8" fillId="6" borderId="5" xfId="0" applyFont="1" applyFill="1" applyBorder="1" applyAlignment="1">
      <alignment horizontal="right" vertical="center"/>
    </xf>
    <xf numFmtId="0" fontId="8" fillId="6" borderId="6" xfId="0" applyFont="1" applyFill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2000000}"/>
    <cellStyle name="Normal 2 2" xfId="3" xr:uid="{47652CEC-4C5B-49EA-AA63-58CE1DF59625}"/>
    <cellStyle name="Normal 3" xfId="4" xr:uid="{46443059-ED32-477C-9B53-8BFDC831AF3C}"/>
    <cellStyle name="Normal 4" xfId="5" xr:uid="{FA84FC57-DE65-4090-9778-B0D656A28420}"/>
    <cellStyle name="Normal 5" xfId="7" xr:uid="{E78F6F71-25AF-4F8D-8D2D-96A3D6CA1961}"/>
    <cellStyle name="Normal_Sheet1" xfId="6" xr:uid="{9AE8C260-B306-4B11-8289-B3F9C6B9D876}"/>
    <cellStyle name="Normal_Sheet2" xfId="2" xr:uid="{00000000-0005-0000-0000-000004000000}"/>
  </cellStyles>
  <dxfs count="1"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594"/>
  <sheetViews>
    <sheetView zoomScaleNormal="100" workbookViewId="0">
      <selection activeCell="K5" sqref="K5"/>
    </sheetView>
  </sheetViews>
  <sheetFormatPr defaultColWidth="9.109375" defaultRowHeight="13.2"/>
  <cols>
    <col min="1" max="1" width="11.33203125" style="5" bestFit="1" customWidth="1"/>
    <col min="2" max="2" width="13.88671875" style="5" bestFit="1" customWidth="1"/>
    <col min="3" max="3" width="25.33203125" style="5" bestFit="1" customWidth="1"/>
    <col min="4" max="4" width="26.88671875" style="5" bestFit="1" customWidth="1"/>
    <col min="5" max="7" width="10.44140625" style="5" bestFit="1" customWidth="1"/>
    <col min="8" max="8" width="56.44140625" style="5" bestFit="1" customWidth="1"/>
    <col min="9" max="16384" width="9.109375" style="5"/>
  </cols>
  <sheetData>
    <row r="1" spans="1:8">
      <c r="A1" s="87" t="s">
        <v>512</v>
      </c>
      <c r="B1" s="87"/>
      <c r="C1" s="87"/>
      <c r="D1" s="87"/>
      <c r="E1" s="87"/>
      <c r="F1" s="87"/>
      <c r="G1" s="87"/>
    </row>
    <row r="2" spans="1:8">
      <c r="A2" s="6" t="s">
        <v>1025</v>
      </c>
      <c r="B2" s="7" t="s">
        <v>1026</v>
      </c>
      <c r="C2" s="7" t="s">
        <v>513</v>
      </c>
      <c r="D2" s="7" t="s">
        <v>511</v>
      </c>
      <c r="E2" s="7" t="s">
        <v>1027</v>
      </c>
      <c r="F2" s="7" t="s">
        <v>1023</v>
      </c>
      <c r="G2" s="7" t="s">
        <v>1014</v>
      </c>
    </row>
    <row r="3" spans="1:8">
      <c r="A3" s="8">
        <v>1</v>
      </c>
      <c r="B3" s="9" t="s">
        <v>238</v>
      </c>
      <c r="C3" s="9" t="s">
        <v>140</v>
      </c>
      <c r="D3" s="9" t="s">
        <v>140</v>
      </c>
      <c r="E3" s="10">
        <v>21571.296999999999</v>
      </c>
      <c r="F3" s="10">
        <v>21937.5</v>
      </c>
      <c r="G3" s="10">
        <v>21630.84</v>
      </c>
      <c r="H3" s="5" t="str">
        <f>CONCATENATE(B3,"_",C3,"_",D3)</f>
        <v>Ariyalur_ANDIMADAM_ANDIMADAM</v>
      </c>
    </row>
    <row r="4" spans="1:8">
      <c r="A4" s="8">
        <v>2</v>
      </c>
      <c r="B4" s="9" t="s">
        <v>238</v>
      </c>
      <c r="C4" s="9" t="s">
        <v>142</v>
      </c>
      <c r="D4" s="9" t="s">
        <v>142</v>
      </c>
      <c r="E4" s="10">
        <v>15329.844999999999</v>
      </c>
      <c r="F4" s="10">
        <v>15690.225</v>
      </c>
      <c r="G4" s="10">
        <v>15423.815000000001</v>
      </c>
      <c r="H4" s="5" t="str">
        <f t="shared" ref="H4:H67" si="0">CONCATENATE(B4,"_",C4,"_",D4)</f>
        <v>Ariyalur_ARIYALUR_ARIYALUR</v>
      </c>
    </row>
    <row r="5" spans="1:8">
      <c r="A5" s="8">
        <v>3</v>
      </c>
      <c r="B5" s="9" t="s">
        <v>238</v>
      </c>
      <c r="C5" s="9" t="s">
        <v>142</v>
      </c>
      <c r="D5" s="9" t="s">
        <v>141</v>
      </c>
      <c r="E5" s="10">
        <v>21167.06</v>
      </c>
      <c r="F5" s="10">
        <v>20610.330000000002</v>
      </c>
      <c r="G5" s="10">
        <v>21691.355</v>
      </c>
      <c r="H5" s="5" t="str">
        <f t="shared" si="0"/>
        <v>Ariyalur_ARIYALUR_THIRUMANUR</v>
      </c>
    </row>
    <row r="6" spans="1:8">
      <c r="A6" s="8">
        <v>4</v>
      </c>
      <c r="B6" s="9" t="s">
        <v>238</v>
      </c>
      <c r="C6" s="9" t="s">
        <v>369</v>
      </c>
      <c r="D6" s="9" t="s">
        <v>369</v>
      </c>
      <c r="E6" s="10">
        <v>23545.394</v>
      </c>
      <c r="F6" s="10">
        <v>23545.42</v>
      </c>
      <c r="G6" s="10">
        <v>23514.965</v>
      </c>
      <c r="H6" s="5" t="str">
        <f t="shared" si="0"/>
        <v>Ariyalur_SENDURAI_SENDURAI</v>
      </c>
    </row>
    <row r="7" spans="1:8">
      <c r="A7" s="8">
        <v>5</v>
      </c>
      <c r="B7" s="9" t="s">
        <v>238</v>
      </c>
      <c r="C7" s="9" t="s">
        <v>370</v>
      </c>
      <c r="D7" s="9" t="s">
        <v>371</v>
      </c>
      <c r="E7" s="10">
        <v>18012.39</v>
      </c>
      <c r="F7" s="10">
        <v>16495.535</v>
      </c>
      <c r="G7" s="10">
        <v>16649.215</v>
      </c>
      <c r="H7" s="5" t="str">
        <f t="shared" si="0"/>
        <v>Ariyalur_UDAYARPALAYAM_JAYANKONDAM</v>
      </c>
    </row>
    <row r="8" spans="1:8">
      <c r="A8" s="8">
        <v>6</v>
      </c>
      <c r="B8" s="9" t="s">
        <v>238</v>
      </c>
      <c r="C8" s="9" t="s">
        <v>370</v>
      </c>
      <c r="D8" s="9" t="s">
        <v>372</v>
      </c>
      <c r="E8" s="10">
        <v>19559.490000000002</v>
      </c>
      <c r="F8" s="10">
        <v>19847.685000000001</v>
      </c>
      <c r="G8" s="10">
        <v>19832.580000000002</v>
      </c>
      <c r="H8" s="5" t="str">
        <f t="shared" si="0"/>
        <v>Ariyalur_UDAYARPALAYAM_T.PALUR</v>
      </c>
    </row>
    <row r="9" spans="1:8">
      <c r="A9" s="8">
        <v>7</v>
      </c>
      <c r="B9" s="9" t="s">
        <v>225</v>
      </c>
      <c r="C9" s="9" t="s">
        <v>476</v>
      </c>
      <c r="D9" s="9" t="s">
        <v>1</v>
      </c>
      <c r="E9" s="10">
        <v>2424.7469999999998</v>
      </c>
      <c r="F9" s="10">
        <v>2232.1709999999998</v>
      </c>
      <c r="G9" s="10">
        <v>2506.056</v>
      </c>
      <c r="H9" s="5" t="str">
        <f t="shared" si="0"/>
        <v>Chengalpattu_CHENGALPATTU_KATTANKULATHUR</v>
      </c>
    </row>
    <row r="10" spans="1:8">
      <c r="A10" s="8">
        <v>8</v>
      </c>
      <c r="B10" s="9" t="s">
        <v>225</v>
      </c>
      <c r="C10" s="9" t="s">
        <v>477</v>
      </c>
      <c r="D10" s="9" t="s">
        <v>3</v>
      </c>
      <c r="E10" s="10">
        <v>15569.97</v>
      </c>
      <c r="F10" s="10">
        <v>15283.593000000001</v>
      </c>
      <c r="G10" s="10">
        <v>15515.933000000001</v>
      </c>
      <c r="H10" s="5" t="str">
        <f t="shared" si="0"/>
        <v>Chengalpattu_CHEYYUR_CHITHAMUR</v>
      </c>
    </row>
    <row r="11" spans="1:8">
      <c r="A11" s="8">
        <v>9</v>
      </c>
      <c r="B11" s="9" t="s">
        <v>225</v>
      </c>
      <c r="C11" s="9" t="s">
        <v>477</v>
      </c>
      <c r="D11" s="9" t="s">
        <v>4</v>
      </c>
      <c r="E11" s="10">
        <v>12361.23</v>
      </c>
      <c r="F11" s="10">
        <v>13243.663</v>
      </c>
      <c r="G11" s="10">
        <v>12772.264999999999</v>
      </c>
      <c r="H11" s="5" t="str">
        <f t="shared" si="0"/>
        <v>Chengalpattu_CHEYYUR_LATHUR</v>
      </c>
    </row>
    <row r="12" spans="1:8">
      <c r="A12" s="8">
        <v>10</v>
      </c>
      <c r="B12" s="9" t="s">
        <v>225</v>
      </c>
      <c r="C12" s="9" t="s">
        <v>478</v>
      </c>
      <c r="D12" s="9" t="s">
        <v>479</v>
      </c>
      <c r="E12" s="10">
        <v>13125.365</v>
      </c>
      <c r="F12" s="10">
        <v>12665.805</v>
      </c>
      <c r="G12" s="10">
        <v>12694.155000000001</v>
      </c>
      <c r="H12" s="5" t="str">
        <f t="shared" si="0"/>
        <v>Chengalpattu_MADHURANTHAKAM_ACHARAPPAKKAM</v>
      </c>
    </row>
    <row r="13" spans="1:8">
      <c r="A13" s="8">
        <v>11</v>
      </c>
      <c r="B13" s="9" t="s">
        <v>225</v>
      </c>
      <c r="C13" s="9" t="s">
        <v>478</v>
      </c>
      <c r="D13" s="9" t="s">
        <v>478</v>
      </c>
      <c r="E13" s="10">
        <v>17723.02</v>
      </c>
      <c r="F13" s="10">
        <v>17836.939999999999</v>
      </c>
      <c r="G13" s="10">
        <v>16344.87</v>
      </c>
      <c r="H13" s="5" t="str">
        <f t="shared" si="0"/>
        <v>Chengalpattu_MADHURANTHAKAM_MADHURANTHAKAM</v>
      </c>
    </row>
    <row r="14" spans="1:8">
      <c r="A14" s="8">
        <v>12</v>
      </c>
      <c r="B14" s="9" t="s">
        <v>225</v>
      </c>
      <c r="C14" s="9" t="s">
        <v>480</v>
      </c>
      <c r="D14" s="9" t="s">
        <v>5</v>
      </c>
      <c r="E14" s="10">
        <v>40.697000000000003</v>
      </c>
      <c r="F14" s="10">
        <v>65.903000000000006</v>
      </c>
      <c r="G14" s="10">
        <v>54.177999999999997</v>
      </c>
      <c r="H14" s="5" t="str">
        <f t="shared" si="0"/>
        <v>Chengalpattu_PALLAVARAM_CHITLAPAKKAM</v>
      </c>
    </row>
    <row r="15" spans="1:8">
      <c r="A15" s="8">
        <v>13</v>
      </c>
      <c r="B15" s="9" t="s">
        <v>225</v>
      </c>
      <c r="C15" s="9" t="s">
        <v>481</v>
      </c>
      <c r="D15" s="9" t="s">
        <v>5</v>
      </c>
      <c r="E15" s="10">
        <v>587.149</v>
      </c>
      <c r="F15" s="10">
        <v>551.98400000000004</v>
      </c>
      <c r="G15" s="10">
        <v>573.42600000000004</v>
      </c>
      <c r="H15" s="5" t="str">
        <f t="shared" si="0"/>
        <v>Chengalpattu_TAMBARAM_CHITLAPAKKAM</v>
      </c>
    </row>
    <row r="16" spans="1:8">
      <c r="A16" s="8">
        <v>14</v>
      </c>
      <c r="B16" s="9" t="s">
        <v>225</v>
      </c>
      <c r="C16" s="9" t="s">
        <v>2</v>
      </c>
      <c r="D16" s="9" t="s">
        <v>2</v>
      </c>
      <c r="E16" s="10">
        <v>15191.763999999999</v>
      </c>
      <c r="F16" s="10">
        <v>14829.684999999999</v>
      </c>
      <c r="G16" s="10">
        <v>14940.046</v>
      </c>
      <c r="H16" s="5" t="str">
        <f t="shared" si="0"/>
        <v>Chengalpattu_THIRUKAZHUKUNDRAM_THIRUKAZHUKUNDRAM</v>
      </c>
    </row>
    <row r="17" spans="1:8">
      <c r="A17" s="8">
        <v>15</v>
      </c>
      <c r="B17" s="9" t="s">
        <v>225</v>
      </c>
      <c r="C17" s="9" t="s">
        <v>482</v>
      </c>
      <c r="D17" s="9" t="s">
        <v>482</v>
      </c>
      <c r="E17" s="10">
        <v>6474.1949999999997</v>
      </c>
      <c r="F17" s="10">
        <v>6552.0950000000003</v>
      </c>
      <c r="G17" s="10">
        <v>7095.48</v>
      </c>
      <c r="H17" s="5" t="str">
        <f t="shared" si="0"/>
        <v>Chengalpattu_THIRUPORUR_THIRUPORUR</v>
      </c>
    </row>
    <row r="18" spans="1:8">
      <c r="A18" s="8">
        <v>16</v>
      </c>
      <c r="B18" s="9" t="s">
        <v>225</v>
      </c>
      <c r="C18" s="9" t="s">
        <v>483</v>
      </c>
      <c r="D18" s="9" t="s">
        <v>1</v>
      </c>
      <c r="E18" s="10">
        <v>773.68100000000004</v>
      </c>
      <c r="F18" s="10">
        <v>688.26199999999994</v>
      </c>
      <c r="G18" s="10">
        <v>728.22500000000002</v>
      </c>
      <c r="H18" s="5" t="str">
        <f t="shared" si="0"/>
        <v>Chengalpattu_VANDALUR_KATTANKULATHUR</v>
      </c>
    </row>
    <row r="19" spans="1:8">
      <c r="A19" s="8">
        <v>17</v>
      </c>
      <c r="B19" s="9" t="s">
        <v>225</v>
      </c>
      <c r="C19" s="9" t="s">
        <v>483</v>
      </c>
      <c r="D19" s="9" t="s">
        <v>482</v>
      </c>
      <c r="E19" s="10">
        <v>287.375</v>
      </c>
      <c r="F19" s="10">
        <v>430.35199999999998</v>
      </c>
      <c r="G19" s="10">
        <v>490.31900000000002</v>
      </c>
      <c r="H19" s="5" t="str">
        <f t="shared" si="0"/>
        <v>Chengalpattu_VANDALUR_THIRUPORUR</v>
      </c>
    </row>
    <row r="20" spans="1:8">
      <c r="A20" s="8">
        <v>18</v>
      </c>
      <c r="B20" s="9" t="s">
        <v>260</v>
      </c>
      <c r="C20" s="9" t="s">
        <v>261</v>
      </c>
      <c r="D20" s="9" t="s">
        <v>261</v>
      </c>
      <c r="E20" s="10">
        <v>10.211</v>
      </c>
      <c r="F20" s="10">
        <v>11.531000000000001</v>
      </c>
      <c r="G20" s="10">
        <v>11.531000000000001</v>
      </c>
      <c r="H20" s="5" t="str">
        <f t="shared" si="0"/>
        <v>Chennai_ALANDUR_ALANDUR</v>
      </c>
    </row>
    <row r="21" spans="1:8">
      <c r="A21" s="8">
        <v>19</v>
      </c>
      <c r="B21" s="9" t="s">
        <v>260</v>
      </c>
      <c r="C21" s="9" t="s">
        <v>262</v>
      </c>
      <c r="D21" s="9" t="s">
        <v>262</v>
      </c>
      <c r="E21" s="10">
        <v>14.135</v>
      </c>
      <c r="F21" s="10">
        <v>11.914999999999999</v>
      </c>
      <c r="G21" s="10">
        <v>12.13</v>
      </c>
      <c r="H21" s="5" t="str">
        <f t="shared" si="0"/>
        <v>Chennai_AMBATTUR_AMBATTUR</v>
      </c>
    </row>
    <row r="22" spans="1:8">
      <c r="A22" s="8">
        <v>20</v>
      </c>
      <c r="B22" s="9" t="s">
        <v>260</v>
      </c>
      <c r="C22" s="9" t="s">
        <v>263</v>
      </c>
      <c r="D22" s="9" t="s">
        <v>263</v>
      </c>
      <c r="E22" s="10">
        <v>71.900000000000006</v>
      </c>
      <c r="F22" s="10">
        <v>74.7</v>
      </c>
      <c r="G22" s="10">
        <v>83.7</v>
      </c>
      <c r="H22" s="5" t="str">
        <f t="shared" si="0"/>
        <v>Chennai_MADHAVARAM_MADHAVARAM</v>
      </c>
    </row>
    <row r="23" spans="1:8">
      <c r="A23" s="8">
        <v>21</v>
      </c>
      <c r="B23" s="9" t="s">
        <v>260</v>
      </c>
      <c r="C23" s="9" t="s">
        <v>264</v>
      </c>
      <c r="D23" s="9" t="s">
        <v>264</v>
      </c>
      <c r="E23" s="10">
        <v>10.535</v>
      </c>
      <c r="F23" s="10">
        <v>8.6050000000000004</v>
      </c>
      <c r="G23" s="10">
        <v>14.99</v>
      </c>
      <c r="H23" s="5" t="str">
        <f t="shared" si="0"/>
        <v>Chennai_MADURAVOYAL_MADURAVOYAL</v>
      </c>
    </row>
    <row r="24" spans="1:8">
      <c r="A24" s="8">
        <v>22</v>
      </c>
      <c r="B24" s="9" t="s">
        <v>260</v>
      </c>
      <c r="C24" s="9" t="s">
        <v>265</v>
      </c>
      <c r="D24" s="9" t="s">
        <v>265</v>
      </c>
      <c r="E24" s="10">
        <v>112.71</v>
      </c>
      <c r="F24" s="10">
        <v>135.80500000000001</v>
      </c>
      <c r="G24" s="10">
        <v>136.95500000000001</v>
      </c>
      <c r="H24" s="5" t="str">
        <f t="shared" si="0"/>
        <v>Chennai_SHOLINGANALLUR_SHOLINGANALLUR</v>
      </c>
    </row>
    <row r="25" spans="1:8">
      <c r="A25" s="8">
        <v>23</v>
      </c>
      <c r="B25" s="9" t="s">
        <v>260</v>
      </c>
      <c r="C25" s="9" t="s">
        <v>266</v>
      </c>
      <c r="D25" s="9" t="s">
        <v>266</v>
      </c>
      <c r="E25" s="10">
        <v>179.64</v>
      </c>
      <c r="F25" s="10">
        <v>150.535</v>
      </c>
      <c r="G25" s="10">
        <v>134.36500000000001</v>
      </c>
      <c r="H25" s="5" t="str">
        <f t="shared" si="0"/>
        <v>Chennai_TIRUVOTRIYUR_TIRUVOTRIYUR</v>
      </c>
    </row>
    <row r="26" spans="1:8">
      <c r="A26" s="8">
        <v>24</v>
      </c>
      <c r="B26" s="9" t="s">
        <v>326</v>
      </c>
      <c r="C26" s="9" t="s">
        <v>327</v>
      </c>
      <c r="D26" s="9" t="s">
        <v>327</v>
      </c>
      <c r="E26" s="10">
        <v>27447.15</v>
      </c>
      <c r="F26" s="10">
        <v>26537.542000000001</v>
      </c>
      <c r="G26" s="10">
        <v>28259.78</v>
      </c>
      <c r="H26" s="5" t="str">
        <f t="shared" si="0"/>
        <v>Coimbatore_ANAIMALAI_ANAIMALAI</v>
      </c>
    </row>
    <row r="27" spans="1:8">
      <c r="A27" s="8">
        <v>25</v>
      </c>
      <c r="B27" s="9" t="s">
        <v>326</v>
      </c>
      <c r="C27" s="9" t="s">
        <v>327</v>
      </c>
      <c r="D27" s="9" t="s">
        <v>328</v>
      </c>
      <c r="E27" s="10">
        <v>5369.63</v>
      </c>
      <c r="F27" s="10">
        <v>5022.18</v>
      </c>
      <c r="G27" s="10">
        <v>5565.8990000000003</v>
      </c>
      <c r="H27" s="5" t="str">
        <f t="shared" si="0"/>
        <v>Coimbatore_ANAIMALAI_POLLACHI SOUTH</v>
      </c>
    </row>
    <row r="28" spans="1:8">
      <c r="A28" s="8">
        <v>26</v>
      </c>
      <c r="B28" s="9" t="s">
        <v>326</v>
      </c>
      <c r="C28" s="9" t="s">
        <v>73</v>
      </c>
      <c r="D28" s="9" t="s">
        <v>73</v>
      </c>
      <c r="E28" s="10">
        <v>9396.1749999999993</v>
      </c>
      <c r="F28" s="10">
        <v>10243.545</v>
      </c>
      <c r="G28" s="10">
        <v>11140.985000000001</v>
      </c>
      <c r="H28" s="5" t="str">
        <f t="shared" si="0"/>
        <v>Coimbatore_ANNUR_ANNUR</v>
      </c>
    </row>
    <row r="29" spans="1:8">
      <c r="A29" s="8">
        <v>27</v>
      </c>
      <c r="B29" s="9" t="s">
        <v>326</v>
      </c>
      <c r="C29" s="9" t="s">
        <v>73</v>
      </c>
      <c r="D29" s="9" t="s">
        <v>329</v>
      </c>
      <c r="E29" s="10">
        <v>3094.04</v>
      </c>
      <c r="F29" s="10">
        <v>3252.4549999999999</v>
      </c>
      <c r="G29" s="10">
        <v>3534.415</v>
      </c>
      <c r="H29" s="5" t="str">
        <f t="shared" si="0"/>
        <v>Coimbatore_ANNUR_SARKAR SAMAKULAM</v>
      </c>
    </row>
    <row r="30" spans="1:8">
      <c r="A30" s="8">
        <v>28</v>
      </c>
      <c r="B30" s="9" t="s">
        <v>326</v>
      </c>
      <c r="C30" s="9" t="s">
        <v>330</v>
      </c>
      <c r="D30" s="9" t="s">
        <v>71</v>
      </c>
      <c r="E30" s="10">
        <v>4536.28</v>
      </c>
      <c r="F30" s="10">
        <v>4405.2139999999999</v>
      </c>
      <c r="G30" s="10">
        <v>4581.5720000000001</v>
      </c>
      <c r="H30" s="5" t="str">
        <f t="shared" si="0"/>
        <v>Coimbatore_COIMBATORE NORTH_PERIYANAICKENPALAYAM</v>
      </c>
    </row>
    <row r="31" spans="1:8">
      <c r="A31" s="8">
        <v>29</v>
      </c>
      <c r="B31" s="9" t="s">
        <v>326</v>
      </c>
      <c r="C31" s="9" t="s">
        <v>330</v>
      </c>
      <c r="D31" s="9" t="s">
        <v>329</v>
      </c>
      <c r="E31" s="10">
        <v>960.94399999999996</v>
      </c>
      <c r="F31" s="10">
        <v>967.03499999999997</v>
      </c>
      <c r="G31" s="10">
        <v>996.81</v>
      </c>
      <c r="H31" s="5" t="str">
        <f t="shared" si="0"/>
        <v>Coimbatore_COIMBATORE NORTH_SARKAR SAMAKULAM</v>
      </c>
    </row>
    <row r="32" spans="1:8">
      <c r="A32" s="8">
        <v>30</v>
      </c>
      <c r="B32" s="9" t="s">
        <v>326</v>
      </c>
      <c r="C32" s="9" t="s">
        <v>331</v>
      </c>
      <c r="D32" s="9" t="s">
        <v>332</v>
      </c>
      <c r="E32" s="10">
        <v>296.02699999999999</v>
      </c>
      <c r="F32" s="10">
        <v>280.87599999999998</v>
      </c>
      <c r="G32" s="10">
        <v>282.68700000000001</v>
      </c>
      <c r="H32" s="5" t="str">
        <f t="shared" si="0"/>
        <v>Coimbatore_COIMBATORE SOUTH_MADUKKARAI</v>
      </c>
    </row>
    <row r="33" spans="1:8">
      <c r="A33" s="8">
        <v>31</v>
      </c>
      <c r="B33" s="9" t="s">
        <v>326</v>
      </c>
      <c r="C33" s="9" t="s">
        <v>331</v>
      </c>
      <c r="D33" s="9" t="s">
        <v>70</v>
      </c>
      <c r="E33" s="10">
        <v>163.88</v>
      </c>
      <c r="F33" s="10">
        <v>173.36</v>
      </c>
      <c r="G33" s="10">
        <v>180.81200000000001</v>
      </c>
      <c r="H33" s="5" t="str">
        <f t="shared" si="0"/>
        <v>Coimbatore_COIMBATORE SOUTH_THONDAMUTHUR</v>
      </c>
    </row>
    <row r="34" spans="1:8">
      <c r="A34" s="8">
        <v>32</v>
      </c>
      <c r="B34" s="9" t="s">
        <v>326</v>
      </c>
      <c r="C34" s="9" t="s">
        <v>77</v>
      </c>
      <c r="D34" s="9" t="s">
        <v>77</v>
      </c>
      <c r="E34" s="10">
        <v>18765.13</v>
      </c>
      <c r="F34" s="10">
        <v>18144.621999999999</v>
      </c>
      <c r="G34" s="10">
        <v>19524.294000000002</v>
      </c>
      <c r="H34" s="5" t="str">
        <f t="shared" si="0"/>
        <v>Coimbatore_KINATHUKADAVU_KINATHUKADAVU</v>
      </c>
    </row>
    <row r="35" spans="1:8">
      <c r="A35" s="8">
        <v>33</v>
      </c>
      <c r="B35" s="9" t="s">
        <v>326</v>
      </c>
      <c r="C35" s="9" t="s">
        <v>332</v>
      </c>
      <c r="D35" s="9" t="s">
        <v>332</v>
      </c>
      <c r="E35" s="10">
        <v>10457.959999999999</v>
      </c>
      <c r="F35" s="10">
        <v>10230.295</v>
      </c>
      <c r="G35" s="10">
        <v>10362.790000000001</v>
      </c>
      <c r="H35" s="5" t="str">
        <f t="shared" si="0"/>
        <v>Coimbatore_MADUKKARAI_MADUKKARAI</v>
      </c>
    </row>
    <row r="36" spans="1:8">
      <c r="A36" s="8">
        <v>34</v>
      </c>
      <c r="B36" s="9" t="s">
        <v>326</v>
      </c>
      <c r="C36" s="9" t="s">
        <v>333</v>
      </c>
      <c r="D36" s="9" t="s">
        <v>72</v>
      </c>
      <c r="E36" s="10">
        <v>12560.31</v>
      </c>
      <c r="F36" s="10">
        <v>13043.186</v>
      </c>
      <c r="G36" s="10">
        <v>13146.441999999999</v>
      </c>
      <c r="H36" s="5" t="str">
        <f t="shared" si="0"/>
        <v>Coimbatore_METTUPALAYAM_KARAMADAI</v>
      </c>
    </row>
    <row r="37" spans="1:8">
      <c r="A37" s="8">
        <v>35</v>
      </c>
      <c r="B37" s="9" t="s">
        <v>326</v>
      </c>
      <c r="C37" s="9" t="s">
        <v>334</v>
      </c>
      <c r="D37" s="9" t="s">
        <v>332</v>
      </c>
      <c r="E37" s="10">
        <v>362.4</v>
      </c>
      <c r="F37" s="10">
        <v>367.71</v>
      </c>
      <c r="G37" s="10">
        <v>446.39</v>
      </c>
      <c r="H37" s="5" t="str">
        <f t="shared" si="0"/>
        <v>Coimbatore_PERUR_MADUKKARAI</v>
      </c>
    </row>
    <row r="38" spans="1:8">
      <c r="A38" s="8">
        <v>36</v>
      </c>
      <c r="B38" s="9" t="s">
        <v>326</v>
      </c>
      <c r="C38" s="9" t="s">
        <v>334</v>
      </c>
      <c r="D38" s="9" t="s">
        <v>71</v>
      </c>
      <c r="E38" s="10">
        <v>177.5</v>
      </c>
      <c r="F38" s="10">
        <v>182.09</v>
      </c>
      <c r="G38" s="10">
        <v>185.2</v>
      </c>
      <c r="H38" s="5" t="str">
        <f t="shared" si="0"/>
        <v>Coimbatore_PERUR_PERIYANAICKENPALAYAM</v>
      </c>
    </row>
    <row r="39" spans="1:8">
      <c r="A39" s="8">
        <v>37</v>
      </c>
      <c r="B39" s="9" t="s">
        <v>326</v>
      </c>
      <c r="C39" s="9" t="s">
        <v>334</v>
      </c>
      <c r="D39" s="9" t="s">
        <v>70</v>
      </c>
      <c r="E39" s="10">
        <v>11569.581</v>
      </c>
      <c r="F39" s="10">
        <v>12032.775</v>
      </c>
      <c r="G39" s="10">
        <v>12448.233</v>
      </c>
      <c r="H39" s="5" t="str">
        <f t="shared" si="0"/>
        <v>Coimbatore_PERUR_THONDAMUTHUR</v>
      </c>
    </row>
    <row r="40" spans="1:8">
      <c r="A40" s="8">
        <v>38</v>
      </c>
      <c r="B40" s="9" t="s">
        <v>326</v>
      </c>
      <c r="C40" s="9" t="s">
        <v>335</v>
      </c>
      <c r="D40" s="9" t="s">
        <v>336</v>
      </c>
      <c r="E40" s="10">
        <v>19554.060000000001</v>
      </c>
      <c r="F40" s="10">
        <v>19760.62</v>
      </c>
      <c r="G40" s="10">
        <v>20524.685000000001</v>
      </c>
      <c r="H40" s="5" t="str">
        <f t="shared" si="0"/>
        <v>Coimbatore_POLLACHI_POLLACHI  NORTH</v>
      </c>
    </row>
    <row r="41" spans="1:8">
      <c r="A41" s="8">
        <v>39</v>
      </c>
      <c r="B41" s="9" t="s">
        <v>326</v>
      </c>
      <c r="C41" s="9" t="s">
        <v>335</v>
      </c>
      <c r="D41" s="9" t="s">
        <v>328</v>
      </c>
      <c r="E41" s="10">
        <v>8666.9449999999997</v>
      </c>
      <c r="F41" s="10">
        <v>8353.4189999999999</v>
      </c>
      <c r="G41" s="10">
        <v>8694.42</v>
      </c>
      <c r="H41" s="5" t="str">
        <f t="shared" si="0"/>
        <v>Coimbatore_POLLACHI_POLLACHI SOUTH</v>
      </c>
    </row>
    <row r="42" spans="1:8">
      <c r="A42" s="8">
        <v>40</v>
      </c>
      <c r="B42" s="9" t="s">
        <v>326</v>
      </c>
      <c r="C42" s="9" t="s">
        <v>337</v>
      </c>
      <c r="D42" s="9" t="s">
        <v>338</v>
      </c>
      <c r="E42" s="10">
        <v>13505.352999999999</v>
      </c>
      <c r="F42" s="10">
        <v>13585.921</v>
      </c>
      <c r="G42" s="10">
        <v>14024.445</v>
      </c>
      <c r="H42" s="5" t="str">
        <f t="shared" si="0"/>
        <v>Coimbatore_SULUR_SULTANPET</v>
      </c>
    </row>
    <row r="43" spans="1:8">
      <c r="A43" s="8">
        <v>41</v>
      </c>
      <c r="B43" s="9" t="s">
        <v>326</v>
      </c>
      <c r="C43" s="9" t="s">
        <v>337</v>
      </c>
      <c r="D43" s="9" t="s">
        <v>337</v>
      </c>
      <c r="E43" s="10">
        <v>6555.2879999999996</v>
      </c>
      <c r="F43" s="10">
        <v>6482.4560000000001</v>
      </c>
      <c r="G43" s="10">
        <v>6749.2489999999998</v>
      </c>
      <c r="H43" s="5" t="str">
        <f t="shared" si="0"/>
        <v>Coimbatore_SULUR_SULUR</v>
      </c>
    </row>
    <row r="44" spans="1:8">
      <c r="A44" s="8">
        <v>42</v>
      </c>
      <c r="B44" s="9" t="s">
        <v>326</v>
      </c>
      <c r="C44" s="9" t="s">
        <v>81</v>
      </c>
      <c r="D44" s="9" t="s">
        <v>327</v>
      </c>
      <c r="E44" s="10">
        <v>14427.24</v>
      </c>
      <c r="F44" s="10">
        <v>14427.24</v>
      </c>
      <c r="G44" s="10">
        <v>14427.963</v>
      </c>
      <c r="H44" s="5" t="str">
        <f t="shared" si="0"/>
        <v>Coimbatore_VALPARAI_ANAIMALAI</v>
      </c>
    </row>
    <row r="45" spans="1:8">
      <c r="A45" s="8">
        <v>43</v>
      </c>
      <c r="B45" s="9" t="s">
        <v>227</v>
      </c>
      <c r="C45" s="9" t="s">
        <v>373</v>
      </c>
      <c r="D45" s="9" t="s">
        <v>36</v>
      </c>
      <c r="E45" s="10">
        <v>20532.575000000001</v>
      </c>
      <c r="F45" s="10">
        <v>20950.23</v>
      </c>
      <c r="G45" s="10">
        <v>20596.945</v>
      </c>
      <c r="H45" s="5" t="str">
        <f t="shared" si="0"/>
        <v>Cuddalore_BHUVANAGIRI_MELBHUVANAGIRI</v>
      </c>
    </row>
    <row r="46" spans="1:8">
      <c r="A46" s="8">
        <v>44</v>
      </c>
      <c r="B46" s="9" t="s">
        <v>227</v>
      </c>
      <c r="C46" s="9" t="s">
        <v>373</v>
      </c>
      <c r="D46" s="9" t="s">
        <v>374</v>
      </c>
      <c r="E46" s="10">
        <v>9469.76</v>
      </c>
      <c r="F46" s="10">
        <v>9414.41</v>
      </c>
      <c r="G46" s="10">
        <v>9330.85</v>
      </c>
      <c r="H46" s="5" t="str">
        <f t="shared" si="0"/>
        <v>Cuddalore_BHUVANAGIRI_PARAGIPETTAI</v>
      </c>
    </row>
    <row r="47" spans="1:8">
      <c r="A47" s="8">
        <v>45</v>
      </c>
      <c r="B47" s="9" t="s">
        <v>227</v>
      </c>
      <c r="C47" s="9" t="s">
        <v>375</v>
      </c>
      <c r="D47" s="9" t="s">
        <v>35</v>
      </c>
      <c r="E47" s="10">
        <v>20873.654999999999</v>
      </c>
      <c r="F47" s="10">
        <v>20394.724999999999</v>
      </c>
      <c r="G47" s="10">
        <v>19998.560000000001</v>
      </c>
      <c r="H47" s="5" t="str">
        <f t="shared" si="0"/>
        <v>Cuddalore_CHIDAMBARAM_KEERAPALAYAM</v>
      </c>
    </row>
    <row r="48" spans="1:8">
      <c r="A48" s="8">
        <v>46</v>
      </c>
      <c r="B48" s="9" t="s">
        <v>227</v>
      </c>
      <c r="C48" s="9" t="s">
        <v>375</v>
      </c>
      <c r="D48" s="9" t="s">
        <v>376</v>
      </c>
      <c r="E48" s="10">
        <v>6708.1350000000002</v>
      </c>
      <c r="F48" s="10">
        <v>6525.9650000000001</v>
      </c>
      <c r="G48" s="10">
        <v>6483.3649999999998</v>
      </c>
      <c r="H48" s="5" t="str">
        <f t="shared" si="0"/>
        <v>Cuddalore_CHIDAMBARAM_KUMARACHI</v>
      </c>
    </row>
    <row r="49" spans="1:8">
      <c r="A49" s="8">
        <v>47</v>
      </c>
      <c r="B49" s="9" t="s">
        <v>227</v>
      </c>
      <c r="C49" s="9" t="s">
        <v>375</v>
      </c>
      <c r="D49" s="9" t="s">
        <v>36</v>
      </c>
      <c r="E49" s="10">
        <v>1292.7149999999999</v>
      </c>
      <c r="F49" s="10">
        <v>1257.9349999999999</v>
      </c>
      <c r="G49" s="10">
        <v>1284.0650000000001</v>
      </c>
      <c r="H49" s="5" t="str">
        <f t="shared" si="0"/>
        <v>Cuddalore_CHIDAMBARAM_MELBHUVANAGIRI</v>
      </c>
    </row>
    <row r="50" spans="1:8">
      <c r="A50" s="8">
        <v>48</v>
      </c>
      <c r="B50" s="9" t="s">
        <v>227</v>
      </c>
      <c r="C50" s="9" t="s">
        <v>375</v>
      </c>
      <c r="D50" s="9" t="s">
        <v>374</v>
      </c>
      <c r="E50" s="10">
        <v>5715.2349999999997</v>
      </c>
      <c r="F50" s="10">
        <v>5784.72</v>
      </c>
      <c r="G50" s="10">
        <v>6415.8549999999996</v>
      </c>
      <c r="H50" s="5" t="str">
        <f t="shared" si="0"/>
        <v>Cuddalore_CHIDAMBARAM_PARAGIPETTAI</v>
      </c>
    </row>
    <row r="51" spans="1:8">
      <c r="A51" s="8">
        <v>49</v>
      </c>
      <c r="B51" s="9" t="s">
        <v>227</v>
      </c>
      <c r="C51" s="9" t="s">
        <v>37</v>
      </c>
      <c r="D51" s="9" t="s">
        <v>37</v>
      </c>
      <c r="E51" s="10">
        <v>19660.215</v>
      </c>
      <c r="F51" s="10">
        <v>18729.564999999999</v>
      </c>
      <c r="G51" s="10">
        <v>18885.674999999999</v>
      </c>
      <c r="H51" s="5" t="str">
        <f t="shared" si="0"/>
        <v>Cuddalore_CUDDALORE_CUDDALORE</v>
      </c>
    </row>
    <row r="52" spans="1:8">
      <c r="A52" s="8">
        <v>50</v>
      </c>
      <c r="B52" s="9" t="s">
        <v>227</v>
      </c>
      <c r="C52" s="9" t="s">
        <v>37</v>
      </c>
      <c r="D52" s="9" t="s">
        <v>38</v>
      </c>
      <c r="E52" s="10">
        <v>3492.895</v>
      </c>
      <c r="F52" s="10">
        <v>3272.8</v>
      </c>
      <c r="G52" s="10">
        <v>2854.7950000000001</v>
      </c>
      <c r="H52" s="5" t="str">
        <f t="shared" si="0"/>
        <v>Cuddalore_CUDDALORE_KURINJIPADI</v>
      </c>
    </row>
    <row r="53" spans="1:8">
      <c r="A53" s="8">
        <v>51</v>
      </c>
      <c r="B53" s="9" t="s">
        <v>227</v>
      </c>
      <c r="C53" s="9" t="s">
        <v>377</v>
      </c>
      <c r="D53" s="9" t="s">
        <v>377</v>
      </c>
      <c r="E53" s="10">
        <v>17644.965</v>
      </c>
      <c r="F53" s="10">
        <v>17271.834999999999</v>
      </c>
      <c r="G53" s="10">
        <v>16171.285</v>
      </c>
      <c r="H53" s="5" t="str">
        <f t="shared" si="0"/>
        <v>Cuddalore_KATTUMANNARKOIL_KATTUMANNARKOIL</v>
      </c>
    </row>
    <row r="54" spans="1:8">
      <c r="A54" s="8">
        <v>52</v>
      </c>
      <c r="B54" s="9" t="s">
        <v>227</v>
      </c>
      <c r="C54" s="9" t="s">
        <v>377</v>
      </c>
      <c r="D54" s="9" t="s">
        <v>35</v>
      </c>
      <c r="E54" s="10">
        <v>752</v>
      </c>
      <c r="F54" s="10">
        <v>745.82</v>
      </c>
      <c r="G54" s="10">
        <v>648.22</v>
      </c>
      <c r="H54" s="5" t="str">
        <f t="shared" si="0"/>
        <v>Cuddalore_KATTUMANNARKOIL_KEERAPALAYAM</v>
      </c>
    </row>
    <row r="55" spans="1:8">
      <c r="A55" s="8">
        <v>53</v>
      </c>
      <c r="B55" s="9" t="s">
        <v>227</v>
      </c>
      <c r="C55" s="9" t="s">
        <v>377</v>
      </c>
      <c r="D55" s="9" t="s">
        <v>376</v>
      </c>
      <c r="E55" s="10">
        <v>17885.89</v>
      </c>
      <c r="F55" s="10">
        <v>17739.77</v>
      </c>
      <c r="G55" s="10">
        <v>17910.28</v>
      </c>
      <c r="H55" s="5" t="str">
        <f t="shared" si="0"/>
        <v>Cuddalore_KATTUMANNARKOIL_KUMARACHI</v>
      </c>
    </row>
    <row r="56" spans="1:8">
      <c r="A56" s="8">
        <v>54</v>
      </c>
      <c r="B56" s="9" t="s">
        <v>227</v>
      </c>
      <c r="C56" s="9" t="s">
        <v>38</v>
      </c>
      <c r="D56" s="9" t="s">
        <v>38</v>
      </c>
      <c r="E56" s="10">
        <v>27177.22</v>
      </c>
      <c r="F56" s="10">
        <v>26647.875</v>
      </c>
      <c r="G56" s="10">
        <v>25764.855</v>
      </c>
      <c r="H56" s="5" t="str">
        <f t="shared" si="0"/>
        <v>Cuddalore_KURINJIPADI_KURINJIPADI</v>
      </c>
    </row>
    <row r="57" spans="1:8">
      <c r="A57" s="8">
        <v>55</v>
      </c>
      <c r="B57" s="9" t="s">
        <v>227</v>
      </c>
      <c r="C57" s="9" t="s">
        <v>39</v>
      </c>
      <c r="D57" s="9" t="s">
        <v>40</v>
      </c>
      <c r="E57" s="10">
        <v>14764.9</v>
      </c>
      <c r="F57" s="10">
        <v>13770.88</v>
      </c>
      <c r="G57" s="10">
        <v>13760.575000000001</v>
      </c>
      <c r="H57" s="5" t="str">
        <f t="shared" si="0"/>
        <v>Cuddalore_PANRUTI_ANNAGRAMAM</v>
      </c>
    </row>
    <row r="58" spans="1:8">
      <c r="A58" s="8">
        <v>56</v>
      </c>
      <c r="B58" s="9" t="s">
        <v>227</v>
      </c>
      <c r="C58" s="9" t="s">
        <v>39</v>
      </c>
      <c r="D58" s="9" t="s">
        <v>39</v>
      </c>
      <c r="E58" s="10">
        <v>25450.560000000001</v>
      </c>
      <c r="F58" s="10">
        <v>25555.355</v>
      </c>
      <c r="G58" s="10">
        <v>27233.514999999999</v>
      </c>
      <c r="H58" s="5" t="str">
        <f t="shared" si="0"/>
        <v>Cuddalore_PANRUTI_PANRUTI</v>
      </c>
    </row>
    <row r="59" spans="1:8">
      <c r="A59" s="8">
        <v>57</v>
      </c>
      <c r="B59" s="9" t="s">
        <v>227</v>
      </c>
      <c r="C59" s="9" t="s">
        <v>378</v>
      </c>
      <c r="D59" s="9" t="s">
        <v>378</v>
      </c>
      <c r="E59" s="10">
        <v>29171.200000000001</v>
      </c>
      <c r="F59" s="10">
        <v>27654.48</v>
      </c>
      <c r="G59" s="10">
        <v>27391.724999999999</v>
      </c>
      <c r="H59" s="5" t="str">
        <f t="shared" si="0"/>
        <v>Cuddalore_SRIMUSHNUM_SRIMUSHNUM</v>
      </c>
    </row>
    <row r="60" spans="1:8">
      <c r="A60" s="8">
        <v>58</v>
      </c>
      <c r="B60" s="9" t="s">
        <v>227</v>
      </c>
      <c r="C60" s="9" t="s">
        <v>379</v>
      </c>
      <c r="D60" s="9" t="s">
        <v>44</v>
      </c>
      <c r="E60" s="10">
        <v>19336.79</v>
      </c>
      <c r="F60" s="10">
        <v>20312.3</v>
      </c>
      <c r="G60" s="10">
        <v>20513.035</v>
      </c>
      <c r="H60" s="5" t="str">
        <f t="shared" si="0"/>
        <v>Cuddalore_TITAGUDI_MANGALORE</v>
      </c>
    </row>
    <row r="61" spans="1:8">
      <c r="A61" s="8">
        <v>59</v>
      </c>
      <c r="B61" s="9" t="s">
        <v>227</v>
      </c>
      <c r="C61" s="9" t="s">
        <v>379</v>
      </c>
      <c r="D61" s="9" t="s">
        <v>43</v>
      </c>
      <c r="E61" s="10">
        <v>10625.125</v>
      </c>
      <c r="F61" s="10">
        <v>10905.34</v>
      </c>
      <c r="G61" s="10">
        <v>11236.27</v>
      </c>
      <c r="H61" s="5" t="str">
        <f t="shared" si="0"/>
        <v>Cuddalore_TITAGUDI_NALLUR</v>
      </c>
    </row>
    <row r="62" spans="1:8">
      <c r="A62" s="8">
        <v>60</v>
      </c>
      <c r="B62" s="9" t="s">
        <v>227</v>
      </c>
      <c r="C62" s="9" t="s">
        <v>138</v>
      </c>
      <c r="D62" s="9" t="s">
        <v>44</v>
      </c>
      <c r="E62" s="10">
        <v>9152.7849999999999</v>
      </c>
      <c r="F62" s="10">
        <v>9620.17</v>
      </c>
      <c r="G62" s="10">
        <v>9387.2549999999992</v>
      </c>
      <c r="H62" s="5" t="str">
        <f t="shared" si="0"/>
        <v>Cuddalore_VEPPUR_MANGALORE</v>
      </c>
    </row>
    <row r="63" spans="1:8">
      <c r="A63" s="8">
        <v>61</v>
      </c>
      <c r="B63" s="9" t="s">
        <v>227</v>
      </c>
      <c r="C63" s="9" t="s">
        <v>138</v>
      </c>
      <c r="D63" s="9" t="s">
        <v>43</v>
      </c>
      <c r="E63" s="10">
        <v>13521.14</v>
      </c>
      <c r="F63" s="10">
        <v>13514.674999999999</v>
      </c>
      <c r="G63" s="10">
        <v>13849.84</v>
      </c>
      <c r="H63" s="5" t="str">
        <f t="shared" si="0"/>
        <v>Cuddalore_VEPPUR_NALLUR</v>
      </c>
    </row>
    <row r="64" spans="1:8">
      <c r="A64" s="8">
        <v>62</v>
      </c>
      <c r="B64" s="9" t="s">
        <v>227</v>
      </c>
      <c r="C64" s="9" t="s">
        <v>41</v>
      </c>
      <c r="D64" s="9" t="s">
        <v>42</v>
      </c>
      <c r="E64" s="10">
        <v>20870.445</v>
      </c>
      <c r="F64" s="10">
        <v>19749.564999999999</v>
      </c>
      <c r="G64" s="10">
        <v>20873.715</v>
      </c>
      <c r="H64" s="5" t="str">
        <f t="shared" si="0"/>
        <v>Cuddalore_VIRUDHACHALAM_KAMMAPURAM</v>
      </c>
    </row>
    <row r="65" spans="1:8">
      <c r="A65" s="8">
        <v>63</v>
      </c>
      <c r="B65" s="9" t="s">
        <v>227</v>
      </c>
      <c r="C65" s="9" t="s">
        <v>41</v>
      </c>
      <c r="D65" s="9" t="s">
        <v>41</v>
      </c>
      <c r="E65" s="10">
        <v>22793.93</v>
      </c>
      <c r="F65" s="10">
        <v>23803.314999999999</v>
      </c>
      <c r="G65" s="10">
        <v>22961.384999999998</v>
      </c>
      <c r="H65" s="5" t="str">
        <f t="shared" si="0"/>
        <v>Cuddalore_VIRUDHACHALAM_VIRUDHACHALAM</v>
      </c>
    </row>
    <row r="66" spans="1:8">
      <c r="A66" s="8">
        <v>64</v>
      </c>
      <c r="B66" s="9" t="s">
        <v>231</v>
      </c>
      <c r="C66" s="9" t="s">
        <v>82</v>
      </c>
      <c r="D66" s="9" t="s">
        <v>82</v>
      </c>
      <c r="E66" s="10">
        <v>23861</v>
      </c>
      <c r="F66" s="10">
        <v>22863.3</v>
      </c>
      <c r="G66" s="10">
        <v>21136.2</v>
      </c>
      <c r="H66" s="5" t="str">
        <f t="shared" si="0"/>
        <v>Dharmapuri_DHARMAPURI_DHARMAPURI</v>
      </c>
    </row>
    <row r="67" spans="1:8">
      <c r="A67" s="8">
        <v>65</v>
      </c>
      <c r="B67" s="9" t="s">
        <v>231</v>
      </c>
      <c r="C67" s="9" t="s">
        <v>87</v>
      </c>
      <c r="D67" s="9" t="s">
        <v>87</v>
      </c>
      <c r="E67" s="10">
        <v>36126</v>
      </c>
      <c r="F67" s="10">
        <v>35476.5</v>
      </c>
      <c r="G67" s="10">
        <v>33374.019999999997</v>
      </c>
      <c r="H67" s="5" t="str">
        <f t="shared" si="0"/>
        <v>Dharmapuri_HARUR_HARUR</v>
      </c>
    </row>
    <row r="68" spans="1:8">
      <c r="A68" s="8">
        <v>66</v>
      </c>
      <c r="B68" s="9" t="s">
        <v>231</v>
      </c>
      <c r="C68" s="9" t="s">
        <v>87</v>
      </c>
      <c r="D68" s="9" t="s">
        <v>514</v>
      </c>
      <c r="E68" s="10">
        <v>1734.4</v>
      </c>
      <c r="F68" s="10">
        <v>1902.5</v>
      </c>
      <c r="G68" s="10">
        <v>1680</v>
      </c>
      <c r="H68" s="5" t="str">
        <f t="shared" ref="H68:H131" si="1">CONCATENATE(B68,"_",C68,"_",D68)</f>
        <v>Dharmapuri_HARUR_KADATHUR</v>
      </c>
    </row>
    <row r="69" spans="1:8">
      <c r="A69" s="8">
        <v>67</v>
      </c>
      <c r="B69" s="9" t="s">
        <v>231</v>
      </c>
      <c r="C69" s="9" t="s">
        <v>87</v>
      </c>
      <c r="D69" s="9" t="s">
        <v>88</v>
      </c>
      <c r="E69" s="10">
        <v>10910.2</v>
      </c>
      <c r="F69" s="10">
        <v>9896</v>
      </c>
      <c r="G69" s="10">
        <v>10322.42</v>
      </c>
      <c r="H69" s="5" t="str">
        <f t="shared" si="1"/>
        <v>Dharmapuri_HARUR_MORAPPUR</v>
      </c>
    </row>
    <row r="70" spans="1:8">
      <c r="A70" s="8">
        <v>68</v>
      </c>
      <c r="B70" s="9" t="s">
        <v>231</v>
      </c>
      <c r="C70" s="9" t="s">
        <v>272</v>
      </c>
      <c r="D70" s="9" t="s">
        <v>272</v>
      </c>
      <c r="E70" s="10">
        <v>22656.5</v>
      </c>
      <c r="F70" s="10">
        <v>22249</v>
      </c>
      <c r="G70" s="10">
        <v>25022</v>
      </c>
      <c r="H70" s="5" t="str">
        <f t="shared" si="1"/>
        <v>Dharmapuri_KARIMANGALAM_KARIMANGALAM</v>
      </c>
    </row>
    <row r="71" spans="1:8">
      <c r="A71" s="8">
        <v>69</v>
      </c>
      <c r="B71" s="9" t="s">
        <v>231</v>
      </c>
      <c r="C71" s="9" t="s">
        <v>272</v>
      </c>
      <c r="D71" s="9" t="s">
        <v>88</v>
      </c>
      <c r="E71" s="10">
        <v>10549</v>
      </c>
      <c r="F71" s="10">
        <v>9354</v>
      </c>
      <c r="G71" s="10">
        <v>9127</v>
      </c>
      <c r="H71" s="5" t="str">
        <f t="shared" si="1"/>
        <v>Dharmapuri_KARIMANGALAM_MORAPPUR</v>
      </c>
    </row>
    <row r="72" spans="1:8">
      <c r="A72" s="8">
        <v>70</v>
      </c>
      <c r="B72" s="9" t="s">
        <v>231</v>
      </c>
      <c r="C72" s="9" t="s">
        <v>83</v>
      </c>
      <c r="D72" s="9" t="s">
        <v>83</v>
      </c>
      <c r="E72" s="10">
        <v>26100.255000000001</v>
      </c>
      <c r="F72" s="10">
        <v>24538.7</v>
      </c>
      <c r="G72" s="10">
        <v>25545</v>
      </c>
      <c r="H72" s="5" t="str">
        <f t="shared" si="1"/>
        <v>Dharmapuri_NALLAMPALLI_NALLAMPALLI</v>
      </c>
    </row>
    <row r="73" spans="1:8">
      <c r="A73" s="8">
        <v>71</v>
      </c>
      <c r="B73" s="9" t="s">
        <v>231</v>
      </c>
      <c r="C73" s="9" t="s">
        <v>85</v>
      </c>
      <c r="D73" s="9" t="s">
        <v>272</v>
      </c>
      <c r="E73" s="10">
        <v>9854</v>
      </c>
      <c r="F73" s="10">
        <v>9481.7999999999993</v>
      </c>
      <c r="G73" s="10">
        <v>8505</v>
      </c>
      <c r="H73" s="5" t="str">
        <f t="shared" si="1"/>
        <v>Dharmapuri_PALACODE_KARIMANGALAM</v>
      </c>
    </row>
    <row r="74" spans="1:8">
      <c r="A74" s="8">
        <v>72</v>
      </c>
      <c r="B74" s="9" t="s">
        <v>231</v>
      </c>
      <c r="C74" s="9" t="s">
        <v>85</v>
      </c>
      <c r="D74" s="9" t="s">
        <v>85</v>
      </c>
      <c r="E74" s="10">
        <v>34830</v>
      </c>
      <c r="F74" s="10">
        <v>33624.199999999997</v>
      </c>
      <c r="G74" s="10">
        <v>33902</v>
      </c>
      <c r="H74" s="5" t="str">
        <f t="shared" si="1"/>
        <v>Dharmapuri_PALACODE_PALACODE</v>
      </c>
    </row>
    <row r="75" spans="1:8">
      <c r="A75" s="8">
        <v>73</v>
      </c>
      <c r="B75" s="9" t="s">
        <v>231</v>
      </c>
      <c r="C75" s="9" t="s">
        <v>273</v>
      </c>
      <c r="D75" s="9" t="s">
        <v>87</v>
      </c>
      <c r="E75" s="10">
        <v>5281.1</v>
      </c>
      <c r="F75" s="10">
        <v>5647.4</v>
      </c>
      <c r="G75" s="10">
        <v>6412.1</v>
      </c>
      <c r="H75" s="5" t="str">
        <f t="shared" si="1"/>
        <v>Dharmapuri_PAPPIREDDIPATTY_HARUR</v>
      </c>
    </row>
    <row r="76" spans="1:8">
      <c r="A76" s="8">
        <v>74</v>
      </c>
      <c r="B76" s="9" t="s">
        <v>231</v>
      </c>
      <c r="C76" s="9" t="s">
        <v>273</v>
      </c>
      <c r="D76" s="9" t="s">
        <v>514</v>
      </c>
      <c r="E76" s="10">
        <v>17433.099999999999</v>
      </c>
      <c r="F76" s="10">
        <v>17528</v>
      </c>
      <c r="G76" s="10">
        <v>19823</v>
      </c>
      <c r="H76" s="5" t="str">
        <f t="shared" si="1"/>
        <v>Dharmapuri_PAPPIREDDIPATTY_KADATHUR</v>
      </c>
    </row>
    <row r="77" spans="1:8">
      <c r="A77" s="8">
        <v>75</v>
      </c>
      <c r="B77" s="9" t="s">
        <v>231</v>
      </c>
      <c r="C77" s="9" t="s">
        <v>273</v>
      </c>
      <c r="D77" s="9" t="s">
        <v>88</v>
      </c>
      <c r="E77" s="10">
        <v>1141.5</v>
      </c>
      <c r="F77" s="10">
        <v>1005</v>
      </c>
      <c r="G77" s="10">
        <v>693</v>
      </c>
      <c r="H77" s="5" t="str">
        <f t="shared" si="1"/>
        <v>Dharmapuri_PAPPIREDDIPATTY_MORAPPUR</v>
      </c>
    </row>
    <row r="78" spans="1:8">
      <c r="A78" s="8">
        <v>76</v>
      </c>
      <c r="B78" s="9" t="s">
        <v>231</v>
      </c>
      <c r="C78" s="9" t="s">
        <v>273</v>
      </c>
      <c r="D78" s="9" t="s">
        <v>273</v>
      </c>
      <c r="E78" s="10">
        <v>31622.6</v>
      </c>
      <c r="F78" s="10">
        <v>26836</v>
      </c>
      <c r="G78" s="10">
        <v>26231.72</v>
      </c>
      <c r="H78" s="5" t="str">
        <f t="shared" si="1"/>
        <v>Dharmapuri_PAPPIREDDIPATTY_PAPPIREDDIPATTY</v>
      </c>
    </row>
    <row r="79" spans="1:8">
      <c r="A79" s="8">
        <v>77</v>
      </c>
      <c r="B79" s="9" t="s">
        <v>231</v>
      </c>
      <c r="C79" s="9" t="s">
        <v>84</v>
      </c>
      <c r="D79" s="9" t="s">
        <v>515</v>
      </c>
      <c r="E79" s="10">
        <v>9552</v>
      </c>
      <c r="F79" s="10">
        <v>10197.5</v>
      </c>
      <c r="G79" s="10">
        <v>8946.3700000000008</v>
      </c>
      <c r="H79" s="5" t="str">
        <f t="shared" si="1"/>
        <v>Dharmapuri_PENNAGARAM_ERIYUR</v>
      </c>
    </row>
    <row r="80" spans="1:8">
      <c r="A80" s="8">
        <v>78</v>
      </c>
      <c r="B80" s="9" t="s">
        <v>231</v>
      </c>
      <c r="C80" s="9" t="s">
        <v>84</v>
      </c>
      <c r="D80" s="9" t="s">
        <v>84</v>
      </c>
      <c r="E80" s="10">
        <v>20899</v>
      </c>
      <c r="F80" s="10">
        <v>20635.5</v>
      </c>
      <c r="G80" s="10">
        <v>19640.63</v>
      </c>
      <c r="H80" s="5" t="str">
        <f t="shared" si="1"/>
        <v>Dharmapuri_PENNAGARAM_PENNAGARAM</v>
      </c>
    </row>
    <row r="81" spans="1:8">
      <c r="A81" s="8">
        <v>79</v>
      </c>
      <c r="B81" s="9" t="s">
        <v>239</v>
      </c>
      <c r="C81" s="9" t="s">
        <v>339</v>
      </c>
      <c r="D81" s="9" t="s">
        <v>339</v>
      </c>
      <c r="E81" s="10">
        <v>13541.58</v>
      </c>
      <c r="F81" s="10">
        <v>13856.844999999999</v>
      </c>
      <c r="G81" s="10">
        <v>13812.62</v>
      </c>
      <c r="H81" s="5" t="str">
        <f t="shared" si="1"/>
        <v>Dindigul_ATHOOR_ATHOOR</v>
      </c>
    </row>
    <row r="82" spans="1:8">
      <c r="A82" s="8">
        <v>80</v>
      </c>
      <c r="B82" s="9" t="s">
        <v>239</v>
      </c>
      <c r="C82" s="9" t="s">
        <v>340</v>
      </c>
      <c r="D82" s="9" t="s">
        <v>145</v>
      </c>
      <c r="E82" s="10">
        <v>5299.0550000000003</v>
      </c>
      <c r="F82" s="10">
        <v>5201</v>
      </c>
      <c r="G82" s="10">
        <v>5358.8450000000003</v>
      </c>
      <c r="H82" s="5" t="str">
        <f t="shared" si="1"/>
        <v>Dindigul_DINDIGUL EAST_DINDIGUL</v>
      </c>
    </row>
    <row r="83" spans="1:8">
      <c r="A83" s="8">
        <v>81</v>
      </c>
      <c r="B83" s="9" t="s">
        <v>239</v>
      </c>
      <c r="C83" s="9" t="s">
        <v>340</v>
      </c>
      <c r="D83" s="9" t="s">
        <v>146</v>
      </c>
      <c r="E83" s="10">
        <v>17163.64</v>
      </c>
      <c r="F83" s="10">
        <v>17334.005000000001</v>
      </c>
      <c r="G83" s="10">
        <v>17890.994999999999</v>
      </c>
      <c r="H83" s="5" t="str">
        <f t="shared" si="1"/>
        <v>Dindigul_DINDIGUL EAST_SANARPATTI</v>
      </c>
    </row>
    <row r="84" spans="1:8">
      <c r="A84" s="8">
        <v>82</v>
      </c>
      <c r="B84" s="9" t="s">
        <v>239</v>
      </c>
      <c r="C84" s="9" t="s">
        <v>341</v>
      </c>
      <c r="D84" s="9" t="s">
        <v>145</v>
      </c>
      <c r="E84" s="10">
        <v>3846.1950000000002</v>
      </c>
      <c r="F84" s="10">
        <v>3826.078</v>
      </c>
      <c r="G84" s="10">
        <v>3977.4650000000001</v>
      </c>
      <c r="H84" s="5" t="str">
        <f t="shared" si="1"/>
        <v>Dindigul_DINDIGUL WEST_DINDIGUL</v>
      </c>
    </row>
    <row r="85" spans="1:8">
      <c r="A85" s="8">
        <v>83</v>
      </c>
      <c r="B85" s="9" t="s">
        <v>239</v>
      </c>
      <c r="C85" s="9" t="s">
        <v>341</v>
      </c>
      <c r="D85" s="9" t="s">
        <v>147</v>
      </c>
      <c r="E85" s="10">
        <v>18578.321</v>
      </c>
      <c r="F85" s="10">
        <v>18691.080999999998</v>
      </c>
      <c r="G85" s="10">
        <v>18422.681</v>
      </c>
      <c r="H85" s="5" t="str">
        <f t="shared" si="1"/>
        <v>Dindigul_DINDIGUL WEST_REDDIARCHATRAM</v>
      </c>
    </row>
    <row r="86" spans="1:8">
      <c r="A86" s="8">
        <v>84</v>
      </c>
      <c r="B86" s="9" t="s">
        <v>239</v>
      </c>
      <c r="C86" s="9" t="s">
        <v>342</v>
      </c>
      <c r="D86" s="9" t="s">
        <v>342</v>
      </c>
      <c r="E86" s="10">
        <v>8779.3649999999998</v>
      </c>
      <c r="F86" s="10">
        <v>9645.41</v>
      </c>
      <c r="G86" s="10">
        <v>10301.853999999999</v>
      </c>
      <c r="H86" s="5" t="str">
        <f t="shared" si="1"/>
        <v>Dindigul_GUZILIAMPARAI_GUZILIAMPARAI</v>
      </c>
    </row>
    <row r="87" spans="1:8">
      <c r="A87" s="8">
        <v>85</v>
      </c>
      <c r="B87" s="9" t="s">
        <v>239</v>
      </c>
      <c r="C87" s="9" t="s">
        <v>342</v>
      </c>
      <c r="D87" s="9" t="s">
        <v>343</v>
      </c>
      <c r="E87" s="10">
        <v>2363.61</v>
      </c>
      <c r="F87" s="10">
        <v>1978.67</v>
      </c>
      <c r="G87" s="10">
        <v>2329.5949999999998</v>
      </c>
      <c r="H87" s="5" t="str">
        <f t="shared" si="1"/>
        <v>Dindigul_GUZILIAMPARAI_VEDASANDUR</v>
      </c>
    </row>
    <row r="88" spans="1:8">
      <c r="A88" s="8">
        <v>86</v>
      </c>
      <c r="B88" s="9" t="s">
        <v>239</v>
      </c>
      <c r="C88" s="9" t="s">
        <v>344</v>
      </c>
      <c r="D88" s="9" t="s">
        <v>345</v>
      </c>
      <c r="E88" s="10">
        <v>19162.994999999999</v>
      </c>
      <c r="F88" s="10">
        <v>19107.044999999998</v>
      </c>
      <c r="G88" s="10">
        <v>18945.883000000002</v>
      </c>
      <c r="H88" s="5" t="str">
        <f t="shared" si="1"/>
        <v>Dindigul_KODAIKANAL_KODAIKKANAL</v>
      </c>
    </row>
    <row r="89" spans="1:8">
      <c r="A89" s="8">
        <v>87</v>
      </c>
      <c r="B89" s="9" t="s">
        <v>239</v>
      </c>
      <c r="C89" s="9" t="s">
        <v>143</v>
      </c>
      <c r="D89" s="9" t="s">
        <v>143</v>
      </c>
      <c r="E89" s="10">
        <v>19351.825000000001</v>
      </c>
      <c r="F89" s="10">
        <v>19348.957999999999</v>
      </c>
      <c r="G89" s="10">
        <v>19400.932000000001</v>
      </c>
      <c r="H89" s="5" t="str">
        <f t="shared" si="1"/>
        <v>Dindigul_NATHAM_NATHAM</v>
      </c>
    </row>
    <row r="90" spans="1:8">
      <c r="A90" s="8">
        <v>88</v>
      </c>
      <c r="B90" s="9" t="s">
        <v>239</v>
      </c>
      <c r="C90" s="9" t="s">
        <v>144</v>
      </c>
      <c r="D90" s="9" t="s">
        <v>346</v>
      </c>
      <c r="E90" s="10">
        <v>6990.0450000000001</v>
      </c>
      <c r="F90" s="10">
        <v>6776.4449999999997</v>
      </c>
      <c r="G90" s="10">
        <v>6511.1049999999996</v>
      </c>
      <c r="H90" s="5" t="str">
        <f t="shared" si="1"/>
        <v>Dindigul_NILAKOTTAI_BATALGUNDU</v>
      </c>
    </row>
    <row r="91" spans="1:8">
      <c r="A91" s="8">
        <v>89</v>
      </c>
      <c r="B91" s="9" t="s">
        <v>239</v>
      </c>
      <c r="C91" s="9" t="s">
        <v>144</v>
      </c>
      <c r="D91" s="9" t="s">
        <v>144</v>
      </c>
      <c r="E91" s="10">
        <v>10125.27</v>
      </c>
      <c r="F91" s="10">
        <v>9792.36</v>
      </c>
      <c r="G91" s="10">
        <v>10184.379999999999</v>
      </c>
      <c r="H91" s="5" t="str">
        <f t="shared" si="1"/>
        <v>Dindigul_NILAKOTTAI_NILAKOTTAI</v>
      </c>
    </row>
    <row r="92" spans="1:8">
      <c r="A92" s="8">
        <v>90</v>
      </c>
      <c r="B92" s="9" t="s">
        <v>239</v>
      </c>
      <c r="C92" s="9" t="s">
        <v>347</v>
      </c>
      <c r="D92" s="9" t="s">
        <v>348</v>
      </c>
      <c r="E92" s="10">
        <v>19033.535</v>
      </c>
      <c r="F92" s="10">
        <v>21323.083999999999</v>
      </c>
      <c r="G92" s="10">
        <v>21439.149000000001</v>
      </c>
      <c r="H92" s="5" t="str">
        <f t="shared" si="1"/>
        <v>Dindigul_ODANCHATHRAM_ODDANCHATHRAM</v>
      </c>
    </row>
    <row r="93" spans="1:8">
      <c r="A93" s="8">
        <v>91</v>
      </c>
      <c r="B93" s="9" t="s">
        <v>239</v>
      </c>
      <c r="C93" s="9" t="s">
        <v>347</v>
      </c>
      <c r="D93" s="9" t="s">
        <v>149</v>
      </c>
      <c r="E93" s="10">
        <v>17599.395</v>
      </c>
      <c r="F93" s="10">
        <v>17803.165000000001</v>
      </c>
      <c r="G93" s="10">
        <v>17702.345000000001</v>
      </c>
      <c r="H93" s="5" t="str">
        <f t="shared" si="1"/>
        <v>Dindigul_ODANCHATHRAM_THOPPAMPATTI</v>
      </c>
    </row>
    <row r="94" spans="1:8">
      <c r="A94" s="8">
        <v>92</v>
      </c>
      <c r="B94" s="9" t="s">
        <v>239</v>
      </c>
      <c r="C94" s="9" t="s">
        <v>148</v>
      </c>
      <c r="D94" s="9" t="s">
        <v>148</v>
      </c>
      <c r="E94" s="10">
        <v>24157.988000000001</v>
      </c>
      <c r="F94" s="10">
        <v>23919.809000000001</v>
      </c>
      <c r="G94" s="10">
        <v>24257.805</v>
      </c>
      <c r="H94" s="5" t="str">
        <f t="shared" si="1"/>
        <v>Dindigul_PALANI_PALANI</v>
      </c>
    </row>
    <row r="95" spans="1:8">
      <c r="A95" s="8">
        <v>93</v>
      </c>
      <c r="B95" s="9" t="s">
        <v>239</v>
      </c>
      <c r="C95" s="9" t="s">
        <v>148</v>
      </c>
      <c r="D95" s="9" t="s">
        <v>149</v>
      </c>
      <c r="E95" s="10">
        <v>17931.77</v>
      </c>
      <c r="F95" s="10">
        <v>17447.72</v>
      </c>
      <c r="G95" s="10">
        <v>17976.21</v>
      </c>
      <c r="H95" s="5" t="str">
        <f t="shared" si="1"/>
        <v>Dindigul_PALANI_THOPPAMPATTI</v>
      </c>
    </row>
    <row r="96" spans="1:8">
      <c r="A96" s="8">
        <v>94</v>
      </c>
      <c r="B96" s="9" t="s">
        <v>239</v>
      </c>
      <c r="C96" s="9" t="s">
        <v>343</v>
      </c>
      <c r="D96" s="9" t="s">
        <v>349</v>
      </c>
      <c r="E96" s="10">
        <v>9708.4699999999993</v>
      </c>
      <c r="F96" s="10">
        <v>10217.264999999999</v>
      </c>
      <c r="G96" s="10">
        <v>10434.075000000001</v>
      </c>
      <c r="H96" s="5" t="str">
        <f t="shared" si="1"/>
        <v>Dindigul_VEDASANDUR_VADAMADURAI</v>
      </c>
    </row>
    <row r="97" spans="1:8">
      <c r="A97" s="8">
        <v>95</v>
      </c>
      <c r="B97" s="9" t="s">
        <v>239</v>
      </c>
      <c r="C97" s="9" t="s">
        <v>343</v>
      </c>
      <c r="D97" s="9" t="s">
        <v>343</v>
      </c>
      <c r="E97" s="10">
        <v>8919.14</v>
      </c>
      <c r="F97" s="10">
        <v>7934.57</v>
      </c>
      <c r="G97" s="10">
        <v>8035.69</v>
      </c>
      <c r="H97" s="5" t="str">
        <f t="shared" si="1"/>
        <v>Dindigul_VEDASANDUR_VEDASANDUR</v>
      </c>
    </row>
    <row r="98" spans="1:8">
      <c r="A98" s="8">
        <v>96</v>
      </c>
      <c r="B98" s="9" t="s">
        <v>230</v>
      </c>
      <c r="C98" s="9" t="s">
        <v>61</v>
      </c>
      <c r="D98" s="9" t="s">
        <v>63</v>
      </c>
      <c r="E98" s="10">
        <v>9926.9</v>
      </c>
      <c r="F98" s="10">
        <v>9168.0789999999997</v>
      </c>
      <c r="G98" s="10">
        <v>9852.7880000000005</v>
      </c>
      <c r="H98" s="5" t="str">
        <f t="shared" si="1"/>
        <v>Erode_ANTHIYUR_AMMAPETTAI</v>
      </c>
    </row>
    <row r="99" spans="1:8">
      <c r="A99" s="8">
        <v>97</v>
      </c>
      <c r="B99" s="9" t="s">
        <v>230</v>
      </c>
      <c r="C99" s="9" t="s">
        <v>61</v>
      </c>
      <c r="D99" s="9" t="s">
        <v>61</v>
      </c>
      <c r="E99" s="10">
        <v>15268.971</v>
      </c>
      <c r="F99" s="10">
        <v>13246.645</v>
      </c>
      <c r="G99" s="10">
        <v>14112.505999999999</v>
      </c>
      <c r="H99" s="5" t="str">
        <f t="shared" si="1"/>
        <v>Erode_ANTHIYUR_ANTHIYUR</v>
      </c>
    </row>
    <row r="100" spans="1:8">
      <c r="A100" s="8">
        <v>98</v>
      </c>
      <c r="B100" s="9" t="s">
        <v>230</v>
      </c>
      <c r="C100" s="9" t="s">
        <v>62</v>
      </c>
      <c r="D100" s="9" t="s">
        <v>63</v>
      </c>
      <c r="E100" s="10">
        <v>5219.21</v>
      </c>
      <c r="F100" s="10">
        <v>3644.0610000000001</v>
      </c>
      <c r="G100" s="10">
        <v>5000.1400000000003</v>
      </c>
      <c r="H100" s="5" t="str">
        <f t="shared" si="1"/>
        <v>Erode_BHAVANI_AMMAPETTAI</v>
      </c>
    </row>
    <row r="101" spans="1:8">
      <c r="A101" s="8">
        <v>99</v>
      </c>
      <c r="B101" s="9" t="s">
        <v>230</v>
      </c>
      <c r="C101" s="9" t="s">
        <v>62</v>
      </c>
      <c r="D101" s="9" t="s">
        <v>62</v>
      </c>
      <c r="E101" s="10">
        <v>14129.05</v>
      </c>
      <c r="F101" s="10">
        <v>13052.004999999999</v>
      </c>
      <c r="G101" s="10">
        <v>13810.764999999999</v>
      </c>
      <c r="H101" s="5" t="str">
        <f t="shared" si="1"/>
        <v>Erode_BHAVANI_BHAVANI</v>
      </c>
    </row>
    <row r="102" spans="1:8">
      <c r="A102" s="8">
        <v>100</v>
      </c>
      <c r="B102" s="9" t="s">
        <v>230</v>
      </c>
      <c r="C102" s="9" t="s">
        <v>62</v>
      </c>
      <c r="D102" s="9" t="s">
        <v>60</v>
      </c>
      <c r="E102" s="10">
        <v>1396.9949999999999</v>
      </c>
      <c r="F102" s="10">
        <v>1303.32</v>
      </c>
      <c r="G102" s="10">
        <v>1440.7650000000001</v>
      </c>
      <c r="H102" s="5" t="str">
        <f t="shared" si="1"/>
        <v>Erode_BHAVANI_GOBICHETTIPALAYAM</v>
      </c>
    </row>
    <row r="103" spans="1:8">
      <c r="A103" s="8">
        <v>101</v>
      </c>
      <c r="B103" s="9" t="s">
        <v>230</v>
      </c>
      <c r="C103" s="9" t="s">
        <v>66</v>
      </c>
      <c r="D103" s="9" t="s">
        <v>66</v>
      </c>
      <c r="E103" s="10">
        <v>5092.5439999999999</v>
      </c>
      <c r="F103" s="10">
        <v>4744.5619999999999</v>
      </c>
      <c r="G103" s="10">
        <v>4984.0200000000004</v>
      </c>
      <c r="H103" s="5" t="str">
        <f t="shared" si="1"/>
        <v>Erode_ERODE_ERODE</v>
      </c>
    </row>
    <row r="104" spans="1:8">
      <c r="A104" s="8">
        <v>102</v>
      </c>
      <c r="B104" s="9" t="s">
        <v>230</v>
      </c>
      <c r="C104" s="9" t="s">
        <v>60</v>
      </c>
      <c r="D104" s="9" t="s">
        <v>60</v>
      </c>
      <c r="E104" s="10">
        <v>19961.810000000001</v>
      </c>
      <c r="F104" s="10">
        <v>19407.275000000001</v>
      </c>
      <c r="G104" s="10">
        <v>20098.05</v>
      </c>
      <c r="H104" s="5" t="str">
        <f t="shared" si="1"/>
        <v>Erode_GOBICHETTIPALAYAM_GOBICHETTIPALAYAM</v>
      </c>
    </row>
    <row r="105" spans="1:8">
      <c r="A105" s="8">
        <v>103</v>
      </c>
      <c r="B105" s="9" t="s">
        <v>230</v>
      </c>
      <c r="C105" s="9" t="s">
        <v>60</v>
      </c>
      <c r="D105" s="9" t="s">
        <v>313</v>
      </c>
      <c r="E105" s="10">
        <v>11393.772000000001</v>
      </c>
      <c r="F105" s="10">
        <v>11321.419</v>
      </c>
      <c r="G105" s="10">
        <v>11428.695</v>
      </c>
      <c r="H105" s="5" t="str">
        <f t="shared" si="1"/>
        <v>Erode_GOBICHETTIPALAYAM_THUKKANAICKENPALAYAM</v>
      </c>
    </row>
    <row r="106" spans="1:8">
      <c r="A106" s="8">
        <v>104</v>
      </c>
      <c r="B106" s="9" t="s">
        <v>230</v>
      </c>
      <c r="C106" s="9" t="s">
        <v>65</v>
      </c>
      <c r="D106" s="9" t="s">
        <v>65</v>
      </c>
      <c r="E106" s="10">
        <v>14443.277</v>
      </c>
      <c r="F106" s="10">
        <v>12955.858</v>
      </c>
      <c r="G106" s="10">
        <v>13274.897000000001</v>
      </c>
      <c r="H106" s="5" t="str">
        <f t="shared" si="1"/>
        <v>Erode_KODUMUDI_KODUMUDI</v>
      </c>
    </row>
    <row r="107" spans="1:8">
      <c r="A107" s="8">
        <v>105</v>
      </c>
      <c r="B107" s="9" t="s">
        <v>230</v>
      </c>
      <c r="C107" s="9" t="s">
        <v>314</v>
      </c>
      <c r="D107" s="9" t="s">
        <v>314</v>
      </c>
      <c r="E107" s="10">
        <v>17293.744999999999</v>
      </c>
      <c r="F107" s="10">
        <v>16618.922999999999</v>
      </c>
      <c r="G107" s="10">
        <v>16632.766</v>
      </c>
      <c r="H107" s="5" t="str">
        <f t="shared" si="1"/>
        <v>Erode_MODAKURICHI_MODAKURICHI</v>
      </c>
    </row>
    <row r="108" spans="1:8">
      <c r="A108" s="8">
        <v>106</v>
      </c>
      <c r="B108" s="9" t="s">
        <v>230</v>
      </c>
      <c r="C108" s="9" t="s">
        <v>59</v>
      </c>
      <c r="D108" s="9" t="s">
        <v>315</v>
      </c>
      <c r="E108" s="10">
        <v>2472.9780000000001</v>
      </c>
      <c r="F108" s="10">
        <v>2356.34</v>
      </c>
      <c r="G108" s="10">
        <v>2403.4450000000002</v>
      </c>
      <c r="H108" s="5" t="str">
        <f t="shared" si="1"/>
        <v>Erode_NAMBIYUR_BHAVANISAGAR</v>
      </c>
    </row>
    <row r="109" spans="1:8">
      <c r="A109" s="8">
        <v>107</v>
      </c>
      <c r="B109" s="9" t="s">
        <v>230</v>
      </c>
      <c r="C109" s="9" t="s">
        <v>59</v>
      </c>
      <c r="D109" s="9" t="s">
        <v>59</v>
      </c>
      <c r="E109" s="10">
        <v>13986.107</v>
      </c>
      <c r="F109" s="10">
        <v>13614.9</v>
      </c>
      <c r="G109" s="10">
        <v>14146.38</v>
      </c>
      <c r="H109" s="5" t="str">
        <f t="shared" si="1"/>
        <v>Erode_NAMBIYUR_NAMBIYUR</v>
      </c>
    </row>
    <row r="110" spans="1:8">
      <c r="A110" s="8">
        <v>108</v>
      </c>
      <c r="B110" s="9" t="s">
        <v>230</v>
      </c>
      <c r="C110" s="9" t="s">
        <v>316</v>
      </c>
      <c r="D110" s="9" t="s">
        <v>317</v>
      </c>
      <c r="E110" s="10">
        <v>4963.58</v>
      </c>
      <c r="F110" s="10">
        <v>5029.2250000000004</v>
      </c>
      <c r="G110" s="10">
        <v>5029.8149999999996</v>
      </c>
      <c r="H110" s="5" t="str">
        <f t="shared" si="1"/>
        <v>Erode_PERUNDURAI_CHENNIMALAI</v>
      </c>
    </row>
    <row r="111" spans="1:8">
      <c r="A111" s="8">
        <v>109</v>
      </c>
      <c r="B111" s="9" t="s">
        <v>230</v>
      </c>
      <c r="C111" s="9" t="s">
        <v>316</v>
      </c>
      <c r="D111" s="9" t="s">
        <v>316</v>
      </c>
      <c r="E111" s="10">
        <v>10625.64</v>
      </c>
      <c r="F111" s="10">
        <v>9535.5450000000001</v>
      </c>
      <c r="G111" s="10">
        <v>12914.955</v>
      </c>
      <c r="H111" s="5" t="str">
        <f t="shared" si="1"/>
        <v>Erode_PERUNDURAI_PERUNDURAI</v>
      </c>
    </row>
    <row r="112" spans="1:8">
      <c r="A112" s="8">
        <v>110</v>
      </c>
      <c r="B112" s="9" t="s">
        <v>230</v>
      </c>
      <c r="C112" s="9" t="s">
        <v>318</v>
      </c>
      <c r="D112" s="9" t="s">
        <v>315</v>
      </c>
      <c r="E112" s="10">
        <v>6126.35</v>
      </c>
      <c r="F112" s="10">
        <v>5978.09</v>
      </c>
      <c r="G112" s="10">
        <v>5548.3509999999997</v>
      </c>
      <c r="H112" s="5" t="str">
        <f t="shared" si="1"/>
        <v>Erode_SATHYAMANGALAM_BHAVANISAGAR</v>
      </c>
    </row>
    <row r="113" spans="1:8">
      <c r="A113" s="8">
        <v>111</v>
      </c>
      <c r="B113" s="9" t="s">
        <v>230</v>
      </c>
      <c r="C113" s="9" t="s">
        <v>318</v>
      </c>
      <c r="D113" s="9" t="s">
        <v>318</v>
      </c>
      <c r="E113" s="10">
        <v>12454.92</v>
      </c>
      <c r="F113" s="10">
        <v>12419.094999999999</v>
      </c>
      <c r="G113" s="10">
        <v>12578.43</v>
      </c>
      <c r="H113" s="5" t="str">
        <f t="shared" si="1"/>
        <v>Erode_SATHYAMANGALAM_SATHYAMANGALAM</v>
      </c>
    </row>
    <row r="114" spans="1:8">
      <c r="A114" s="8">
        <v>112</v>
      </c>
      <c r="B114" s="9" t="s">
        <v>230</v>
      </c>
      <c r="C114" s="9" t="s">
        <v>318</v>
      </c>
      <c r="D114" s="9" t="s">
        <v>319</v>
      </c>
      <c r="E114" s="10">
        <v>1491.5550000000001</v>
      </c>
      <c r="F114" s="10">
        <v>1458.508</v>
      </c>
      <c r="G114" s="10">
        <v>1465.77</v>
      </c>
      <c r="H114" s="5" t="str">
        <f t="shared" si="1"/>
        <v>Erode_SATHYAMANGALAM_TALAVADI</v>
      </c>
    </row>
    <row r="115" spans="1:8">
      <c r="A115" s="8">
        <v>113</v>
      </c>
      <c r="B115" s="9" t="s">
        <v>230</v>
      </c>
      <c r="C115" s="9" t="s">
        <v>319</v>
      </c>
      <c r="D115" s="9" t="s">
        <v>319</v>
      </c>
      <c r="E115" s="10">
        <v>10232.625</v>
      </c>
      <c r="F115" s="10">
        <v>9890.6849999999995</v>
      </c>
      <c r="G115" s="10">
        <v>11979.74</v>
      </c>
      <c r="H115" s="5" t="str">
        <f t="shared" si="1"/>
        <v>Erode_TALAVADI_TALAVADI</v>
      </c>
    </row>
    <row r="116" spans="1:8">
      <c r="A116" s="8">
        <v>114</v>
      </c>
      <c r="B116" s="9" t="s">
        <v>228</v>
      </c>
      <c r="C116" s="9" t="s">
        <v>54</v>
      </c>
      <c r="D116" s="9" t="s">
        <v>54</v>
      </c>
      <c r="E116" s="10">
        <v>26504.67</v>
      </c>
      <c r="F116" s="10">
        <v>23236.799999999999</v>
      </c>
      <c r="G116" s="10">
        <v>22118.39</v>
      </c>
      <c r="H116" s="5" t="str">
        <f t="shared" si="1"/>
        <v>Kallakurichi_CHINNASALEM_CHINNASALEM</v>
      </c>
    </row>
    <row r="117" spans="1:8">
      <c r="A117" s="8">
        <v>115</v>
      </c>
      <c r="B117" s="9" t="s">
        <v>228</v>
      </c>
      <c r="C117" s="9" t="s">
        <v>54</v>
      </c>
      <c r="D117" s="9" t="s">
        <v>53</v>
      </c>
      <c r="E117" s="10">
        <v>5698.45</v>
      </c>
      <c r="F117" s="10">
        <v>5038.8500000000004</v>
      </c>
      <c r="G117" s="10">
        <v>5143.49</v>
      </c>
      <c r="H117" s="5" t="str">
        <f t="shared" si="1"/>
        <v>Kallakurichi_CHINNASALEM_KALLAKURICHI</v>
      </c>
    </row>
    <row r="118" spans="1:8">
      <c r="A118" s="8">
        <v>116</v>
      </c>
      <c r="B118" s="9" t="s">
        <v>228</v>
      </c>
      <c r="C118" s="9" t="s">
        <v>54</v>
      </c>
      <c r="D118" s="9" t="s">
        <v>484</v>
      </c>
      <c r="E118" s="10">
        <v>853.16</v>
      </c>
      <c r="F118" s="10">
        <v>900.66</v>
      </c>
      <c r="G118" s="10">
        <v>748.43499999999995</v>
      </c>
      <c r="H118" s="5" t="str">
        <f t="shared" si="1"/>
        <v>Kallakurichi_CHINNASALEM_KALVARAYAN MALAI</v>
      </c>
    </row>
    <row r="119" spans="1:8">
      <c r="A119" s="8">
        <v>117</v>
      </c>
      <c r="B119" s="9" t="s">
        <v>228</v>
      </c>
      <c r="C119" s="9" t="s">
        <v>54</v>
      </c>
      <c r="D119" s="9" t="s">
        <v>55</v>
      </c>
      <c r="E119" s="10">
        <v>845.72</v>
      </c>
      <c r="F119" s="10">
        <v>1076.72</v>
      </c>
      <c r="G119" s="10">
        <v>865.72</v>
      </c>
      <c r="H119" s="5" t="str">
        <f t="shared" si="1"/>
        <v>Kallakurichi_CHINNASALEM_SANKARAPURAM</v>
      </c>
    </row>
    <row r="120" spans="1:8">
      <c r="A120" s="8">
        <v>118</v>
      </c>
      <c r="B120" s="9" t="s">
        <v>228</v>
      </c>
      <c r="C120" s="9" t="s">
        <v>53</v>
      </c>
      <c r="D120" s="9" t="s">
        <v>54</v>
      </c>
      <c r="E120" s="10">
        <v>6506.32</v>
      </c>
      <c r="F120" s="10">
        <v>6281.93</v>
      </c>
      <c r="G120" s="10">
        <v>6872.72</v>
      </c>
      <c r="H120" s="5" t="str">
        <f t="shared" si="1"/>
        <v>Kallakurichi_KALLAKURICHI_CHINNASALEM</v>
      </c>
    </row>
    <row r="121" spans="1:8">
      <c r="A121" s="8">
        <v>119</v>
      </c>
      <c r="B121" s="9" t="s">
        <v>228</v>
      </c>
      <c r="C121" s="9" t="s">
        <v>53</v>
      </c>
      <c r="D121" s="9" t="s">
        <v>53</v>
      </c>
      <c r="E121" s="10">
        <v>11234.66</v>
      </c>
      <c r="F121" s="10">
        <v>11661.47</v>
      </c>
      <c r="G121" s="10">
        <v>10997.98</v>
      </c>
      <c r="H121" s="5" t="str">
        <f t="shared" si="1"/>
        <v>Kallakurichi_KALLAKURICHI_KALLAKURICHI</v>
      </c>
    </row>
    <row r="122" spans="1:8">
      <c r="A122" s="8">
        <v>120</v>
      </c>
      <c r="B122" s="9" t="s">
        <v>228</v>
      </c>
      <c r="C122" s="9" t="s">
        <v>53</v>
      </c>
      <c r="D122" s="9" t="s">
        <v>485</v>
      </c>
      <c r="E122" s="10">
        <v>712</v>
      </c>
      <c r="F122" s="10">
        <v>533</v>
      </c>
      <c r="G122" s="10">
        <v>476.2</v>
      </c>
      <c r="H122" s="5" t="str">
        <f t="shared" si="1"/>
        <v>Kallakurichi_KALLAKURICHI_RISHIVANDHIYAM</v>
      </c>
    </row>
    <row r="123" spans="1:8">
      <c r="A123" s="8">
        <v>121</v>
      </c>
      <c r="B123" s="9" t="s">
        <v>228</v>
      </c>
      <c r="C123" s="9" t="s">
        <v>53</v>
      </c>
      <c r="D123" s="9" t="s">
        <v>486</v>
      </c>
      <c r="E123" s="10">
        <v>17560.87</v>
      </c>
      <c r="F123" s="10">
        <v>17542.900000000001</v>
      </c>
      <c r="G123" s="10">
        <v>17945.060000000001</v>
      </c>
      <c r="H123" s="5" t="str">
        <f t="shared" si="1"/>
        <v>Kallakurichi_KALLAKURICHI_THIYAGADURGAM</v>
      </c>
    </row>
    <row r="124" spans="1:8">
      <c r="A124" s="8">
        <v>122</v>
      </c>
      <c r="B124" s="9" t="s">
        <v>228</v>
      </c>
      <c r="C124" s="9" t="s">
        <v>484</v>
      </c>
      <c r="D124" s="9" t="s">
        <v>484</v>
      </c>
      <c r="E124" s="10">
        <v>9482.7000000000007</v>
      </c>
      <c r="F124" s="10">
        <v>10047.65</v>
      </c>
      <c r="G124" s="10">
        <v>9425.4500000000007</v>
      </c>
      <c r="H124" s="5" t="str">
        <f t="shared" si="1"/>
        <v>Kallakurichi_KALVARAYAN MALAI_KALVARAYAN MALAI</v>
      </c>
    </row>
    <row r="125" spans="1:8">
      <c r="A125" s="8">
        <v>123</v>
      </c>
      <c r="B125" s="9" t="s">
        <v>228</v>
      </c>
      <c r="C125" s="9" t="s">
        <v>55</v>
      </c>
      <c r="D125" s="9" t="s">
        <v>53</v>
      </c>
      <c r="E125" s="10">
        <v>4548.68</v>
      </c>
      <c r="F125" s="10">
        <v>4641.87</v>
      </c>
      <c r="G125" s="10">
        <v>4416.8999999999996</v>
      </c>
      <c r="H125" s="5" t="str">
        <f t="shared" si="1"/>
        <v>Kallakurichi_SANKARAPURAM_KALLAKURICHI</v>
      </c>
    </row>
    <row r="126" spans="1:8">
      <c r="A126" s="8">
        <v>124</v>
      </c>
      <c r="B126" s="9" t="s">
        <v>228</v>
      </c>
      <c r="C126" s="9" t="s">
        <v>55</v>
      </c>
      <c r="D126" s="9" t="s">
        <v>484</v>
      </c>
      <c r="E126" s="10">
        <v>2898.2</v>
      </c>
      <c r="F126" s="10">
        <v>3160.25</v>
      </c>
      <c r="G126" s="10">
        <v>2798.2350000000001</v>
      </c>
      <c r="H126" s="5" t="str">
        <f t="shared" si="1"/>
        <v>Kallakurichi_SANKARAPURAM_KALVARAYAN MALAI</v>
      </c>
    </row>
    <row r="127" spans="1:8">
      <c r="A127" s="8">
        <v>125</v>
      </c>
      <c r="B127" s="9" t="s">
        <v>228</v>
      </c>
      <c r="C127" s="9" t="s">
        <v>55</v>
      </c>
      <c r="D127" s="9" t="s">
        <v>55</v>
      </c>
      <c r="E127" s="10">
        <v>14276.21</v>
      </c>
      <c r="F127" s="10">
        <v>13994.87</v>
      </c>
      <c r="G127" s="10">
        <v>14038.05</v>
      </c>
      <c r="H127" s="5" t="str">
        <f t="shared" si="1"/>
        <v>Kallakurichi_SANKARAPURAM_SANKARAPURAM</v>
      </c>
    </row>
    <row r="128" spans="1:8">
      <c r="A128" s="8">
        <v>126</v>
      </c>
      <c r="B128" s="9" t="s">
        <v>228</v>
      </c>
      <c r="C128" s="9" t="s">
        <v>487</v>
      </c>
      <c r="D128" s="9" t="s">
        <v>487</v>
      </c>
      <c r="E128" s="10">
        <v>23923.7</v>
      </c>
      <c r="F128" s="10">
        <v>23537.555</v>
      </c>
      <c r="G128" s="10">
        <v>23293.834999999999</v>
      </c>
      <c r="H128" s="5" t="str">
        <f t="shared" si="1"/>
        <v>Kallakurichi_THIRUKOILUR_THIRUKOILUR</v>
      </c>
    </row>
    <row r="129" spans="1:8">
      <c r="A129" s="8">
        <v>127</v>
      </c>
      <c r="B129" s="9" t="s">
        <v>228</v>
      </c>
      <c r="C129" s="9" t="s">
        <v>488</v>
      </c>
      <c r="D129" s="9" t="s">
        <v>489</v>
      </c>
      <c r="E129" s="10">
        <v>26925.16</v>
      </c>
      <c r="F129" s="10">
        <v>24208.46</v>
      </c>
      <c r="G129" s="10">
        <v>24948.365000000002</v>
      </c>
      <c r="H129" s="5" t="str">
        <f t="shared" si="1"/>
        <v>Kallakurichi_ULUNDURPETTAI_THIRUNAVALLUR</v>
      </c>
    </row>
    <row r="130" spans="1:8">
      <c r="A130" s="8">
        <v>128</v>
      </c>
      <c r="B130" s="9" t="s">
        <v>228</v>
      </c>
      <c r="C130" s="9" t="s">
        <v>488</v>
      </c>
      <c r="D130" s="9" t="s">
        <v>488</v>
      </c>
      <c r="E130" s="10">
        <v>29967.87</v>
      </c>
      <c r="F130" s="10">
        <v>28778.235000000001</v>
      </c>
      <c r="G130" s="10">
        <v>26494.814999999999</v>
      </c>
      <c r="H130" s="5" t="str">
        <f t="shared" si="1"/>
        <v>Kallakurichi_ULUNDURPETTAI_ULUNDURPETTAI</v>
      </c>
    </row>
    <row r="131" spans="1:8">
      <c r="A131" s="8">
        <v>129</v>
      </c>
      <c r="B131" s="9" t="s">
        <v>228</v>
      </c>
      <c r="C131" s="9" t="s">
        <v>1022</v>
      </c>
      <c r="D131" s="9" t="s">
        <v>485</v>
      </c>
      <c r="E131" s="10">
        <v>34453.72</v>
      </c>
      <c r="F131" s="10">
        <v>29698.19</v>
      </c>
      <c r="G131" s="10">
        <v>33203.019999999997</v>
      </c>
      <c r="H131" s="5" t="str">
        <f t="shared" si="1"/>
        <v>Kallakurichi_VAANAAPURAM_RISHIVANDHIYAM</v>
      </c>
    </row>
    <row r="132" spans="1:8">
      <c r="A132" s="8">
        <v>130</v>
      </c>
      <c r="B132" s="9" t="s">
        <v>228</v>
      </c>
      <c r="C132" s="9" t="s">
        <v>1022</v>
      </c>
      <c r="D132" s="9" t="s">
        <v>55</v>
      </c>
      <c r="E132" s="10">
        <v>7175.7</v>
      </c>
      <c r="F132" s="10">
        <v>7472.4</v>
      </c>
      <c r="G132" s="10">
        <v>7566.06</v>
      </c>
      <c r="H132" s="5" t="str">
        <f t="shared" ref="H132:H195" si="2">CONCATENATE(B132,"_",C132,"_",D132)</f>
        <v>Kallakurichi_VAANAAPURAM_SANKARAPURAM</v>
      </c>
    </row>
    <row r="133" spans="1:8">
      <c r="A133" s="8">
        <v>131</v>
      </c>
      <c r="B133" s="9" t="s">
        <v>228</v>
      </c>
      <c r="C133" s="9" t="s">
        <v>1022</v>
      </c>
      <c r="D133" s="9" t="s">
        <v>486</v>
      </c>
      <c r="E133" s="10">
        <v>2003.7</v>
      </c>
      <c r="F133" s="10">
        <v>1924.6</v>
      </c>
      <c r="G133" s="10">
        <v>1886.47</v>
      </c>
      <c r="H133" s="5" t="str">
        <f t="shared" si="2"/>
        <v>Kallakurichi_VAANAAPURAM_THIYAGADURGAM</v>
      </c>
    </row>
    <row r="134" spans="1:8">
      <c r="A134" s="8">
        <v>132</v>
      </c>
      <c r="B134" s="9" t="s">
        <v>224</v>
      </c>
      <c r="C134" s="9" t="s">
        <v>267</v>
      </c>
      <c r="D134" s="9" t="s">
        <v>267</v>
      </c>
      <c r="E134" s="10">
        <v>9150.0589999999993</v>
      </c>
      <c r="F134" s="10">
        <v>9108.18</v>
      </c>
      <c r="G134" s="10">
        <v>8282.3379999999997</v>
      </c>
      <c r="H134" s="5" t="str">
        <f t="shared" si="2"/>
        <v>Kancheepuram_KANCHEEPURAM_KANCHEEPURAM</v>
      </c>
    </row>
    <row r="135" spans="1:8">
      <c r="A135" s="8">
        <v>133</v>
      </c>
      <c r="B135" s="9" t="s">
        <v>224</v>
      </c>
      <c r="C135" s="9" t="s">
        <v>267</v>
      </c>
      <c r="D135" s="9" t="s">
        <v>268</v>
      </c>
      <c r="E135" s="10">
        <v>10453.964</v>
      </c>
      <c r="F135" s="10">
        <v>10944.727000000001</v>
      </c>
      <c r="G135" s="10">
        <v>11010.536</v>
      </c>
      <c r="H135" s="5" t="str">
        <f t="shared" si="2"/>
        <v>Kancheepuram_KANCHEEPURAM_WALAJABAD</v>
      </c>
    </row>
    <row r="136" spans="1:8">
      <c r="A136" s="8">
        <v>134</v>
      </c>
      <c r="B136" s="9" t="s">
        <v>224</v>
      </c>
      <c r="C136" s="9" t="s">
        <v>0</v>
      </c>
      <c r="D136" s="9" t="s">
        <v>0</v>
      </c>
      <c r="E136" s="10">
        <v>3437.279</v>
      </c>
      <c r="F136" s="10">
        <v>3295.2339999999999</v>
      </c>
      <c r="G136" s="10">
        <v>3148.9749999999999</v>
      </c>
      <c r="H136" s="5" t="str">
        <f t="shared" si="2"/>
        <v>Kancheepuram_KUNDRATHUR_KUNDRATHUR</v>
      </c>
    </row>
    <row r="137" spans="1:8">
      <c r="A137" s="8">
        <v>135</v>
      </c>
      <c r="B137" s="9" t="s">
        <v>224</v>
      </c>
      <c r="C137" s="9" t="s">
        <v>269</v>
      </c>
      <c r="D137" s="9" t="s">
        <v>269</v>
      </c>
      <c r="E137" s="10">
        <v>9001.2080000000005</v>
      </c>
      <c r="F137" s="10">
        <v>8996.1959999999999</v>
      </c>
      <c r="G137" s="10">
        <v>9588.7450000000008</v>
      </c>
      <c r="H137" s="5" t="str">
        <f t="shared" si="2"/>
        <v>Kancheepuram_SRIPERUMPUDUR_SRIPERUMPUDUR</v>
      </c>
    </row>
    <row r="138" spans="1:8">
      <c r="A138" s="8">
        <v>136</v>
      </c>
      <c r="B138" s="9" t="s">
        <v>224</v>
      </c>
      <c r="C138" s="9" t="s">
        <v>270</v>
      </c>
      <c r="D138" s="9" t="s">
        <v>270</v>
      </c>
      <c r="E138" s="10">
        <v>18947.91</v>
      </c>
      <c r="F138" s="10">
        <v>18242.976999999999</v>
      </c>
      <c r="G138" s="10">
        <v>17500.435000000001</v>
      </c>
      <c r="H138" s="5" t="str">
        <f t="shared" si="2"/>
        <v>Kancheepuram_UTHIRAMERUR_UTHIRAMERUR</v>
      </c>
    </row>
    <row r="139" spans="1:8">
      <c r="A139" s="8">
        <v>137</v>
      </c>
      <c r="B139" s="9" t="s">
        <v>224</v>
      </c>
      <c r="C139" s="9" t="s">
        <v>268</v>
      </c>
      <c r="D139" s="9" t="s">
        <v>267</v>
      </c>
      <c r="E139" s="10">
        <v>4239.4290000000001</v>
      </c>
      <c r="F139" s="10">
        <v>4272.6750000000002</v>
      </c>
      <c r="G139" s="10">
        <v>3536.25</v>
      </c>
      <c r="H139" s="5" t="str">
        <f t="shared" si="2"/>
        <v>Kancheepuram_WALAJABAD_KANCHEEPURAM</v>
      </c>
    </row>
    <row r="140" spans="1:8">
      <c r="A140" s="8">
        <v>138</v>
      </c>
      <c r="B140" s="9" t="s">
        <v>224</v>
      </c>
      <c r="C140" s="9" t="s">
        <v>268</v>
      </c>
      <c r="D140" s="9" t="s">
        <v>268</v>
      </c>
      <c r="E140" s="10">
        <v>5865.8360000000002</v>
      </c>
      <c r="F140" s="10">
        <v>5744.7269999999999</v>
      </c>
      <c r="G140" s="10">
        <v>6176.7610000000004</v>
      </c>
      <c r="H140" s="5" t="str">
        <f t="shared" si="2"/>
        <v>Kancheepuram_WALAJABAD_WALAJABAD</v>
      </c>
    </row>
    <row r="141" spans="1:8">
      <c r="A141" s="8">
        <v>139</v>
      </c>
      <c r="B141" s="9" t="s">
        <v>458</v>
      </c>
      <c r="C141" s="9" t="s">
        <v>198</v>
      </c>
      <c r="D141" s="9" t="s">
        <v>198</v>
      </c>
      <c r="E141" s="10">
        <v>8646.6509999999998</v>
      </c>
      <c r="F141" s="10">
        <v>8637.7099999999991</v>
      </c>
      <c r="G141" s="10">
        <v>8635.6090000000004</v>
      </c>
      <c r="H141" s="5" t="str">
        <f t="shared" si="2"/>
        <v>Kanyakumari_AGASTHEESWARAM_AGASTHEESWARAM</v>
      </c>
    </row>
    <row r="142" spans="1:8">
      <c r="A142" s="8">
        <v>140</v>
      </c>
      <c r="B142" s="9" t="s">
        <v>458</v>
      </c>
      <c r="C142" s="9" t="s">
        <v>198</v>
      </c>
      <c r="D142" s="9" t="s">
        <v>199</v>
      </c>
      <c r="E142" s="10">
        <v>8494.4419999999991</v>
      </c>
      <c r="F142" s="10">
        <v>8490.4619999999995</v>
      </c>
      <c r="G142" s="10">
        <v>8493.1810000000005</v>
      </c>
      <c r="H142" s="5" t="str">
        <f t="shared" si="2"/>
        <v>Kanyakumari_AGASTHEESWARAM_RAJAKKAMANGALAM</v>
      </c>
    </row>
    <row r="143" spans="1:8">
      <c r="A143" s="8">
        <v>141</v>
      </c>
      <c r="B143" s="9" t="s">
        <v>458</v>
      </c>
      <c r="C143" s="9" t="s">
        <v>459</v>
      </c>
      <c r="D143" s="9" t="s">
        <v>460</v>
      </c>
      <c r="E143" s="10">
        <v>7590.8739999999998</v>
      </c>
      <c r="F143" s="10">
        <v>7427.1629999999996</v>
      </c>
      <c r="G143" s="10">
        <v>7461.1589999999997</v>
      </c>
      <c r="H143" s="5" t="str">
        <f t="shared" si="2"/>
        <v>Kanyakumari_KALKULAM_KURUNTHENCODE</v>
      </c>
    </row>
    <row r="144" spans="1:8">
      <c r="A144" s="8">
        <v>142</v>
      </c>
      <c r="B144" s="9" t="s">
        <v>458</v>
      </c>
      <c r="C144" s="9" t="s">
        <v>459</v>
      </c>
      <c r="D144" s="9" t="s">
        <v>461</v>
      </c>
      <c r="E144" s="10">
        <v>9485.5669999999991</v>
      </c>
      <c r="F144" s="10">
        <v>9280.2379999999994</v>
      </c>
      <c r="G144" s="10">
        <v>9492.1350000000002</v>
      </c>
      <c r="H144" s="5" t="str">
        <f t="shared" si="2"/>
        <v>Kanyakumari_KALKULAM_THUCKALAY</v>
      </c>
    </row>
    <row r="145" spans="1:8">
      <c r="A145" s="8">
        <v>143</v>
      </c>
      <c r="B145" s="9" t="s">
        <v>458</v>
      </c>
      <c r="C145" s="9" t="s">
        <v>462</v>
      </c>
      <c r="D145" s="9" t="s">
        <v>462</v>
      </c>
      <c r="E145" s="10">
        <v>4368.5590000000002</v>
      </c>
      <c r="F145" s="10">
        <v>4335.4949999999999</v>
      </c>
      <c r="G145" s="10">
        <v>4184.8209999999999</v>
      </c>
      <c r="H145" s="5" t="str">
        <f t="shared" si="2"/>
        <v>Kanyakumari_KILLIYOOR_KILLIYOOR</v>
      </c>
    </row>
    <row r="146" spans="1:8">
      <c r="A146" s="8">
        <v>144</v>
      </c>
      <c r="B146" s="9" t="s">
        <v>458</v>
      </c>
      <c r="C146" s="9" t="s">
        <v>462</v>
      </c>
      <c r="D146" s="9" t="s">
        <v>463</v>
      </c>
      <c r="E146" s="10">
        <v>4536.8239999999996</v>
      </c>
      <c r="F146" s="10">
        <v>4519.3909999999996</v>
      </c>
      <c r="G146" s="10">
        <v>4323.5209999999997</v>
      </c>
      <c r="H146" s="5" t="str">
        <f t="shared" si="2"/>
        <v>Kanyakumari_KILLIYOOR_MUNCHIRAI</v>
      </c>
    </row>
    <row r="147" spans="1:8">
      <c r="A147" s="8">
        <v>145</v>
      </c>
      <c r="B147" s="9" t="s">
        <v>458</v>
      </c>
      <c r="C147" s="9" t="s">
        <v>200</v>
      </c>
      <c r="D147" s="9" t="s">
        <v>200</v>
      </c>
      <c r="E147" s="10">
        <v>12100.808999999999</v>
      </c>
      <c r="F147" s="10">
        <v>12069.516</v>
      </c>
      <c r="G147" s="10">
        <v>12145.991</v>
      </c>
      <c r="H147" s="5" t="str">
        <f t="shared" si="2"/>
        <v>Kanyakumari_THIRUVATTAR_THIRUVATTAR</v>
      </c>
    </row>
    <row r="148" spans="1:8">
      <c r="A148" s="8">
        <v>146</v>
      </c>
      <c r="B148" s="9" t="s">
        <v>458</v>
      </c>
      <c r="C148" s="9" t="s">
        <v>464</v>
      </c>
      <c r="D148" s="9" t="s">
        <v>464</v>
      </c>
      <c r="E148" s="10">
        <v>9677.4</v>
      </c>
      <c r="F148" s="10">
        <v>9856.24</v>
      </c>
      <c r="G148" s="10">
        <v>9796.3289999999997</v>
      </c>
      <c r="H148" s="5" t="str">
        <f t="shared" si="2"/>
        <v>Kanyakumari_THOVALAI_THOVALAI</v>
      </c>
    </row>
    <row r="149" spans="1:8">
      <c r="A149" s="8">
        <v>147</v>
      </c>
      <c r="B149" s="9" t="s">
        <v>458</v>
      </c>
      <c r="C149" s="9" t="s">
        <v>465</v>
      </c>
      <c r="D149" s="9" t="s">
        <v>462</v>
      </c>
      <c r="E149" s="10">
        <v>1782.4259999999999</v>
      </c>
      <c r="F149" s="10">
        <v>1764.405</v>
      </c>
      <c r="G149" s="10">
        <v>1730.4849999999999</v>
      </c>
      <c r="H149" s="5" t="str">
        <f t="shared" si="2"/>
        <v>Kanyakumari_VILAVANCODE_KILLIYOOR</v>
      </c>
    </row>
    <row r="150" spans="1:8">
      <c r="A150" s="8">
        <v>148</v>
      </c>
      <c r="B150" s="9" t="s">
        <v>458</v>
      </c>
      <c r="C150" s="9" t="s">
        <v>465</v>
      </c>
      <c r="D150" s="9" t="s">
        <v>201</v>
      </c>
      <c r="E150" s="10">
        <v>11771.23</v>
      </c>
      <c r="F150" s="10">
        <v>11685.125</v>
      </c>
      <c r="G150" s="10">
        <v>11623.025</v>
      </c>
      <c r="H150" s="5" t="str">
        <f t="shared" si="2"/>
        <v>Kanyakumari_VILAVANCODE_MELPURAM</v>
      </c>
    </row>
    <row r="151" spans="1:8">
      <c r="A151" s="8">
        <v>149</v>
      </c>
      <c r="B151" s="9" t="s">
        <v>458</v>
      </c>
      <c r="C151" s="9" t="s">
        <v>465</v>
      </c>
      <c r="D151" s="9" t="s">
        <v>463</v>
      </c>
      <c r="E151" s="10">
        <v>664.79600000000005</v>
      </c>
      <c r="F151" s="10">
        <v>657.84299999999996</v>
      </c>
      <c r="G151" s="10">
        <v>623.23599999999999</v>
      </c>
      <c r="H151" s="5" t="str">
        <f t="shared" si="2"/>
        <v>Kanyakumari_VILAVANCODE_MUNCHIRAI</v>
      </c>
    </row>
    <row r="152" spans="1:8">
      <c r="A152" s="8">
        <v>150</v>
      </c>
      <c r="B152" s="9" t="s">
        <v>236</v>
      </c>
      <c r="C152" s="9" t="s">
        <v>134</v>
      </c>
      <c r="D152" s="9" t="s">
        <v>134</v>
      </c>
      <c r="E152" s="10">
        <v>12242.985000000001</v>
      </c>
      <c r="F152" s="10">
        <v>11830.605</v>
      </c>
      <c r="G152" s="10">
        <v>10925.105</v>
      </c>
      <c r="H152" s="5" t="str">
        <f t="shared" si="2"/>
        <v>Karur_ARAVAKURICHI_ARAVAKURICHI</v>
      </c>
    </row>
    <row r="153" spans="1:8">
      <c r="A153" s="8">
        <v>151</v>
      </c>
      <c r="B153" s="9" t="s">
        <v>236</v>
      </c>
      <c r="C153" s="9" t="s">
        <v>134</v>
      </c>
      <c r="D153" s="9" t="s">
        <v>350</v>
      </c>
      <c r="E153" s="10">
        <v>6497.1</v>
      </c>
      <c r="F153" s="10">
        <v>6015.6</v>
      </c>
      <c r="G153" s="10">
        <v>5839.97</v>
      </c>
      <c r="H153" s="5" t="str">
        <f t="shared" si="2"/>
        <v>Karur_ARAVAKURICHI_K.PARAMATHY</v>
      </c>
    </row>
    <row r="154" spans="1:8">
      <c r="A154" s="8">
        <v>152</v>
      </c>
      <c r="B154" s="9" t="s">
        <v>236</v>
      </c>
      <c r="C154" s="9" t="s">
        <v>135</v>
      </c>
      <c r="D154" s="9" t="s">
        <v>135</v>
      </c>
      <c r="E154" s="10">
        <v>10271.115</v>
      </c>
      <c r="F154" s="10">
        <v>10195.844999999999</v>
      </c>
      <c r="G154" s="10">
        <v>10123.905000000001</v>
      </c>
      <c r="H154" s="5" t="str">
        <f t="shared" si="2"/>
        <v>Karur_KADAVUR_KADAVUR</v>
      </c>
    </row>
    <row r="155" spans="1:8">
      <c r="A155" s="8">
        <v>153</v>
      </c>
      <c r="B155" s="9" t="s">
        <v>236</v>
      </c>
      <c r="C155" s="9" t="s">
        <v>135</v>
      </c>
      <c r="D155" s="9" t="s">
        <v>351</v>
      </c>
      <c r="E155" s="10">
        <v>1681.21</v>
      </c>
      <c r="F155" s="10">
        <v>1370.11</v>
      </c>
      <c r="G155" s="10">
        <v>1382.91</v>
      </c>
      <c r="H155" s="5" t="str">
        <f t="shared" si="2"/>
        <v>Karur_KADAVUR_KRISHNARAYAPURAM</v>
      </c>
    </row>
    <row r="156" spans="1:8">
      <c r="A156" s="8">
        <v>154</v>
      </c>
      <c r="B156" s="9" t="s">
        <v>236</v>
      </c>
      <c r="C156" s="9" t="s">
        <v>133</v>
      </c>
      <c r="D156" s="9" t="s">
        <v>133</v>
      </c>
      <c r="E156" s="10">
        <v>89.66</v>
      </c>
      <c r="F156" s="10">
        <v>61.04</v>
      </c>
      <c r="G156" s="10">
        <v>82.93</v>
      </c>
      <c r="H156" s="5" t="str">
        <f t="shared" si="2"/>
        <v>Karur_KARUR_KARUR</v>
      </c>
    </row>
    <row r="157" spans="1:8">
      <c r="A157" s="8">
        <v>155</v>
      </c>
      <c r="B157" s="9" t="s">
        <v>236</v>
      </c>
      <c r="C157" s="9" t="s">
        <v>133</v>
      </c>
      <c r="D157" s="9" t="s">
        <v>352</v>
      </c>
      <c r="E157" s="10">
        <v>7676.9</v>
      </c>
      <c r="F157" s="10">
        <v>7330.15</v>
      </c>
      <c r="G157" s="10">
        <v>8156.46</v>
      </c>
      <c r="H157" s="5" t="str">
        <f t="shared" si="2"/>
        <v>Karur_KARUR_THANTHONI</v>
      </c>
    </row>
    <row r="158" spans="1:8">
      <c r="A158" s="8">
        <v>156</v>
      </c>
      <c r="B158" s="9" t="s">
        <v>236</v>
      </c>
      <c r="C158" s="9" t="s">
        <v>351</v>
      </c>
      <c r="D158" s="9" t="s">
        <v>351</v>
      </c>
      <c r="E158" s="10">
        <v>14763.08</v>
      </c>
      <c r="F158" s="10">
        <v>13578.94</v>
      </c>
      <c r="G158" s="10">
        <v>14886.98</v>
      </c>
      <c r="H158" s="5" t="str">
        <f t="shared" si="2"/>
        <v>Karur_KRISHNARAYAPURAM_KRISHNARAYAPURAM</v>
      </c>
    </row>
    <row r="159" spans="1:8">
      <c r="A159" s="8">
        <v>157</v>
      </c>
      <c r="B159" s="9" t="s">
        <v>236</v>
      </c>
      <c r="C159" s="9" t="s">
        <v>353</v>
      </c>
      <c r="D159" s="9" t="s">
        <v>353</v>
      </c>
      <c r="E159" s="10">
        <v>10530.04</v>
      </c>
      <c r="F159" s="10">
        <v>6296.5050000000001</v>
      </c>
      <c r="G159" s="10">
        <v>9972.8250000000007</v>
      </c>
      <c r="H159" s="5" t="str">
        <f t="shared" si="2"/>
        <v>Karur_KULITHALAI_KULITHALAI</v>
      </c>
    </row>
    <row r="160" spans="1:8">
      <c r="A160" s="8">
        <v>158</v>
      </c>
      <c r="B160" s="9" t="s">
        <v>236</v>
      </c>
      <c r="C160" s="9" t="s">
        <v>353</v>
      </c>
      <c r="D160" s="9" t="s">
        <v>136</v>
      </c>
      <c r="E160" s="10">
        <v>8441.2649999999994</v>
      </c>
      <c r="F160" s="10">
        <v>6996.79</v>
      </c>
      <c r="G160" s="10">
        <v>7839.4250000000002</v>
      </c>
      <c r="H160" s="5" t="str">
        <f t="shared" si="2"/>
        <v>Karur_KULITHALAI_THOGAIMALAI</v>
      </c>
    </row>
    <row r="161" spans="1:8">
      <c r="A161" s="8">
        <v>159</v>
      </c>
      <c r="B161" s="9" t="s">
        <v>236</v>
      </c>
      <c r="C161" s="9" t="s">
        <v>354</v>
      </c>
      <c r="D161" s="9" t="s">
        <v>133</v>
      </c>
      <c r="E161" s="10">
        <v>4446.41</v>
      </c>
      <c r="F161" s="10">
        <v>4510.2150000000001</v>
      </c>
      <c r="G161" s="10">
        <v>4487.1099999999997</v>
      </c>
      <c r="H161" s="5" t="str">
        <f t="shared" si="2"/>
        <v>Karur_MANMANGALAM_KARUR</v>
      </c>
    </row>
    <row r="162" spans="1:8">
      <c r="A162" s="8">
        <v>160</v>
      </c>
      <c r="B162" s="9" t="s">
        <v>236</v>
      </c>
      <c r="C162" s="9" t="s">
        <v>354</v>
      </c>
      <c r="D162" s="9" t="s">
        <v>352</v>
      </c>
      <c r="E162" s="10">
        <v>1134.17</v>
      </c>
      <c r="F162" s="10">
        <v>1039.1300000000001</v>
      </c>
      <c r="G162" s="10">
        <v>1336.4549999999999</v>
      </c>
      <c r="H162" s="5" t="str">
        <f t="shared" si="2"/>
        <v>Karur_MANMANGALAM_THANTHONI</v>
      </c>
    </row>
    <row r="163" spans="1:8">
      <c r="A163" s="8">
        <v>161</v>
      </c>
      <c r="B163" s="9" t="s">
        <v>236</v>
      </c>
      <c r="C163" s="9" t="s">
        <v>355</v>
      </c>
      <c r="D163" s="9" t="s">
        <v>350</v>
      </c>
      <c r="E163" s="10">
        <v>5703.16</v>
      </c>
      <c r="F163" s="10">
        <v>5649.45</v>
      </c>
      <c r="G163" s="10">
        <v>5202.1750000000002</v>
      </c>
      <c r="H163" s="5" t="str">
        <f t="shared" si="2"/>
        <v>Karur_PUGALUR_K.PARAMATHY</v>
      </c>
    </row>
    <row r="164" spans="1:8">
      <c r="A164" s="8">
        <v>162</v>
      </c>
      <c r="B164" s="9" t="s">
        <v>236</v>
      </c>
      <c r="C164" s="9" t="s">
        <v>355</v>
      </c>
      <c r="D164" s="9" t="s">
        <v>133</v>
      </c>
      <c r="E164" s="10">
        <v>3542.41</v>
      </c>
      <c r="F164" s="10">
        <v>3561.69</v>
      </c>
      <c r="G164" s="10">
        <v>3499.1149999999998</v>
      </c>
      <c r="H164" s="5" t="str">
        <f t="shared" si="2"/>
        <v>Karur_PUGALUR_KARUR</v>
      </c>
    </row>
    <row r="165" spans="1:8">
      <c r="A165" s="8">
        <v>163</v>
      </c>
      <c r="B165" s="9" t="s">
        <v>232</v>
      </c>
      <c r="C165" s="9" t="s">
        <v>466</v>
      </c>
      <c r="D165" s="9" t="s">
        <v>467</v>
      </c>
      <c r="E165" s="10">
        <v>11893</v>
      </c>
      <c r="F165" s="10">
        <v>10510.2</v>
      </c>
      <c r="G165" s="10">
        <v>12344.7</v>
      </c>
      <c r="H165" s="5" t="str">
        <f t="shared" si="2"/>
        <v>Krishnagiri_ANCHETTI_THALLY</v>
      </c>
    </row>
    <row r="166" spans="1:8">
      <c r="A166" s="8">
        <v>164</v>
      </c>
      <c r="B166" s="9" t="s">
        <v>232</v>
      </c>
      <c r="C166" s="9" t="s">
        <v>91</v>
      </c>
      <c r="D166" s="9" t="s">
        <v>91</v>
      </c>
      <c r="E166" s="10">
        <v>18883.305</v>
      </c>
      <c r="F166" s="10">
        <v>19343.11</v>
      </c>
      <c r="G166" s="10">
        <v>19621.924999999999</v>
      </c>
      <c r="H166" s="5" t="str">
        <f t="shared" si="2"/>
        <v>Krishnagiri_BARGUR_BARGUR</v>
      </c>
    </row>
    <row r="167" spans="1:8">
      <c r="A167" s="8">
        <v>165</v>
      </c>
      <c r="B167" s="9" t="s">
        <v>232</v>
      </c>
      <c r="C167" s="9" t="s">
        <v>91</v>
      </c>
      <c r="D167" s="9" t="s">
        <v>96</v>
      </c>
      <c r="E167" s="10">
        <v>4180.03</v>
      </c>
      <c r="F167" s="10">
        <v>4360.125</v>
      </c>
      <c r="G167" s="10">
        <v>3895.44</v>
      </c>
      <c r="H167" s="5" t="str">
        <f t="shared" si="2"/>
        <v>Krishnagiri_BARGUR_MATHUR</v>
      </c>
    </row>
    <row r="168" spans="1:8">
      <c r="A168" s="8">
        <v>166</v>
      </c>
      <c r="B168" s="9" t="s">
        <v>232</v>
      </c>
      <c r="C168" s="9" t="s">
        <v>468</v>
      </c>
      <c r="D168" s="9" t="s">
        <v>95</v>
      </c>
      <c r="E168" s="10">
        <v>25690.35</v>
      </c>
      <c r="F168" s="10">
        <v>26935.59</v>
      </c>
      <c r="G168" s="10">
        <v>26881.66</v>
      </c>
      <c r="H168" s="5" t="str">
        <f t="shared" si="2"/>
        <v>Krishnagiri_DENKANIKOTTA_KELAMANGALAM</v>
      </c>
    </row>
    <row r="169" spans="1:8">
      <c r="A169" s="8">
        <v>167</v>
      </c>
      <c r="B169" s="9" t="s">
        <v>232</v>
      </c>
      <c r="C169" s="9" t="s">
        <v>468</v>
      </c>
      <c r="D169" s="9" t="s">
        <v>467</v>
      </c>
      <c r="E169" s="10">
        <v>37020</v>
      </c>
      <c r="F169" s="10">
        <v>35579.144999999997</v>
      </c>
      <c r="G169" s="10">
        <v>33871.26</v>
      </c>
      <c r="H169" s="5" t="str">
        <f t="shared" si="2"/>
        <v>Krishnagiri_DENKANIKOTTA_THALLY</v>
      </c>
    </row>
    <row r="170" spans="1:8">
      <c r="A170" s="8">
        <v>168</v>
      </c>
      <c r="B170" s="9" t="s">
        <v>232</v>
      </c>
      <c r="C170" s="9" t="s">
        <v>93</v>
      </c>
      <c r="D170" s="9" t="s">
        <v>93</v>
      </c>
      <c r="E170" s="10">
        <v>24338.936000000002</v>
      </c>
      <c r="F170" s="10">
        <v>17166.02</v>
      </c>
      <c r="G170" s="10">
        <v>17369.349999999999</v>
      </c>
      <c r="H170" s="5" t="str">
        <f t="shared" si="2"/>
        <v>Krishnagiri_HOSUR_HOSUR</v>
      </c>
    </row>
    <row r="171" spans="1:8">
      <c r="A171" s="8">
        <v>169</v>
      </c>
      <c r="B171" s="9" t="s">
        <v>232</v>
      </c>
      <c r="C171" s="9" t="s">
        <v>93</v>
      </c>
      <c r="D171" s="9" t="s">
        <v>94</v>
      </c>
      <c r="E171" s="10">
        <v>268.60000000000002</v>
      </c>
      <c r="F171" s="10">
        <v>290.82499999999999</v>
      </c>
      <c r="G171" s="10">
        <v>657.32899999999995</v>
      </c>
      <c r="H171" s="5" t="str">
        <f t="shared" si="2"/>
        <v>Krishnagiri_HOSUR_SHOOLAGIRI</v>
      </c>
    </row>
    <row r="172" spans="1:8">
      <c r="A172" s="8">
        <v>170</v>
      </c>
      <c r="B172" s="9" t="s">
        <v>232</v>
      </c>
      <c r="C172" s="9" t="s">
        <v>89</v>
      </c>
      <c r="D172" s="9" t="s">
        <v>90</v>
      </c>
      <c r="E172" s="10">
        <v>15995.665000000001</v>
      </c>
      <c r="F172" s="10">
        <v>16103.234</v>
      </c>
      <c r="G172" s="10">
        <v>19386.294000000002</v>
      </c>
      <c r="H172" s="5" t="str">
        <f t="shared" si="2"/>
        <v>Krishnagiri_KRISHNAGIRI_KAVERIPATTINAM</v>
      </c>
    </row>
    <row r="173" spans="1:8">
      <c r="A173" s="8">
        <v>171</v>
      </c>
      <c r="B173" s="9" t="s">
        <v>232</v>
      </c>
      <c r="C173" s="9" t="s">
        <v>89</v>
      </c>
      <c r="D173" s="9" t="s">
        <v>89</v>
      </c>
      <c r="E173" s="10">
        <v>14503.638999999999</v>
      </c>
      <c r="F173" s="10">
        <v>14115.800999999999</v>
      </c>
      <c r="G173" s="10">
        <v>14261.161</v>
      </c>
      <c r="H173" s="5" t="str">
        <f t="shared" si="2"/>
        <v>Krishnagiri_KRISHNAGIRI_KRISHNAGIRI</v>
      </c>
    </row>
    <row r="174" spans="1:8">
      <c r="A174" s="8">
        <v>172</v>
      </c>
      <c r="B174" s="9" t="s">
        <v>232</v>
      </c>
      <c r="C174" s="9" t="s">
        <v>89</v>
      </c>
      <c r="D174" s="9" t="s">
        <v>92</v>
      </c>
      <c r="E174" s="10">
        <v>11004.11</v>
      </c>
      <c r="F174" s="10">
        <v>10954.931</v>
      </c>
      <c r="G174" s="10">
        <v>10526.422</v>
      </c>
      <c r="H174" s="5" t="str">
        <f t="shared" si="2"/>
        <v>Krishnagiri_KRISHNAGIRI_VEPPANAPALLI</v>
      </c>
    </row>
    <row r="175" spans="1:8">
      <c r="A175" s="8">
        <v>173</v>
      </c>
      <c r="B175" s="9" t="s">
        <v>232</v>
      </c>
      <c r="C175" s="9" t="s">
        <v>469</v>
      </c>
      <c r="D175" s="9" t="s">
        <v>91</v>
      </c>
      <c r="E175" s="10">
        <v>10042.094999999999</v>
      </c>
      <c r="F175" s="10">
        <v>10064.67</v>
      </c>
      <c r="G175" s="10">
        <v>10302.305</v>
      </c>
      <c r="H175" s="5" t="str">
        <f t="shared" si="2"/>
        <v>Krishnagiri_POCHAMPALLI_BARGUR</v>
      </c>
    </row>
    <row r="176" spans="1:8">
      <c r="A176" s="8">
        <v>174</v>
      </c>
      <c r="B176" s="9" t="s">
        <v>232</v>
      </c>
      <c r="C176" s="9" t="s">
        <v>469</v>
      </c>
      <c r="D176" s="9" t="s">
        <v>90</v>
      </c>
      <c r="E176" s="10">
        <v>11053.485000000001</v>
      </c>
      <c r="F176" s="10">
        <v>10886.550999999999</v>
      </c>
      <c r="G176" s="10">
        <v>11720.215</v>
      </c>
      <c r="H176" s="5" t="str">
        <f t="shared" si="2"/>
        <v>Krishnagiri_POCHAMPALLI_KAVERIPATTINAM</v>
      </c>
    </row>
    <row r="177" spans="1:8">
      <c r="A177" s="8">
        <v>175</v>
      </c>
      <c r="B177" s="9" t="s">
        <v>232</v>
      </c>
      <c r="C177" s="9" t="s">
        <v>469</v>
      </c>
      <c r="D177" s="9" t="s">
        <v>96</v>
      </c>
      <c r="E177" s="10">
        <v>6853.3950000000004</v>
      </c>
      <c r="F177" s="10">
        <v>6976.75</v>
      </c>
      <c r="G177" s="10">
        <v>6735.375</v>
      </c>
      <c r="H177" s="5" t="str">
        <f t="shared" si="2"/>
        <v>Krishnagiri_POCHAMPALLI_MATHUR</v>
      </c>
    </row>
    <row r="178" spans="1:8">
      <c r="A178" s="8">
        <v>176</v>
      </c>
      <c r="B178" s="9" t="s">
        <v>232</v>
      </c>
      <c r="C178" s="9" t="s">
        <v>94</v>
      </c>
      <c r="D178" s="9" t="s">
        <v>94</v>
      </c>
      <c r="E178" s="10">
        <v>21542.55</v>
      </c>
      <c r="F178" s="10">
        <v>22528.005000000001</v>
      </c>
      <c r="G178" s="10">
        <v>20614.091</v>
      </c>
      <c r="H178" s="5" t="str">
        <f t="shared" si="2"/>
        <v>Krishnagiri_SHOOLAGIRI_SHOOLAGIRI</v>
      </c>
    </row>
    <row r="179" spans="1:8">
      <c r="A179" s="8">
        <v>177</v>
      </c>
      <c r="B179" s="9" t="s">
        <v>232</v>
      </c>
      <c r="C179" s="9" t="s">
        <v>86</v>
      </c>
      <c r="D179" s="9" t="s">
        <v>96</v>
      </c>
      <c r="E179" s="10">
        <v>11365.424999999999</v>
      </c>
      <c r="F179" s="10">
        <v>11053.83</v>
      </c>
      <c r="G179" s="10">
        <v>10297.594999999999</v>
      </c>
      <c r="H179" s="5" t="str">
        <f t="shared" si="2"/>
        <v>Krishnagiri_UTHANGARAI_MATHUR</v>
      </c>
    </row>
    <row r="180" spans="1:8">
      <c r="A180" s="8">
        <v>178</v>
      </c>
      <c r="B180" s="9" t="s">
        <v>232</v>
      </c>
      <c r="C180" s="9" t="s">
        <v>86</v>
      </c>
      <c r="D180" s="9" t="s">
        <v>86</v>
      </c>
      <c r="E180" s="10">
        <v>24616.79</v>
      </c>
      <c r="F180" s="10">
        <v>23288.861000000001</v>
      </c>
      <c r="G180" s="10">
        <v>22702.845000000001</v>
      </c>
      <c r="H180" s="5" t="str">
        <f t="shared" si="2"/>
        <v>Krishnagiri_UTHANGARAI_UTHANGARAI</v>
      </c>
    </row>
    <row r="181" spans="1:8">
      <c r="A181" s="8">
        <v>179</v>
      </c>
      <c r="B181" s="9" t="s">
        <v>418</v>
      </c>
      <c r="C181" s="9" t="s">
        <v>419</v>
      </c>
      <c r="D181" s="9" t="s">
        <v>419</v>
      </c>
      <c r="E181" s="10">
        <v>7814.18</v>
      </c>
      <c r="F181" s="10">
        <v>8644.7839999999997</v>
      </c>
      <c r="G181" s="10">
        <v>8839.73</v>
      </c>
      <c r="H181" s="5" t="str">
        <f t="shared" si="2"/>
        <v>Madurai_KALLIGUDI_KALLIGUDI</v>
      </c>
    </row>
    <row r="182" spans="1:8">
      <c r="A182" s="8">
        <v>180</v>
      </c>
      <c r="B182" s="9" t="s">
        <v>418</v>
      </c>
      <c r="C182" s="9" t="s">
        <v>150</v>
      </c>
      <c r="D182" s="9" t="s">
        <v>150</v>
      </c>
      <c r="E182" s="10">
        <v>7342.6840000000002</v>
      </c>
      <c r="F182" s="10">
        <v>5080.7129999999997</v>
      </c>
      <c r="G182" s="10">
        <v>8852.8979999999992</v>
      </c>
      <c r="H182" s="5" t="str">
        <f t="shared" si="2"/>
        <v>Madurai_MADURAI EAST_MADURAI EAST</v>
      </c>
    </row>
    <row r="183" spans="1:8">
      <c r="A183" s="8">
        <v>181</v>
      </c>
      <c r="B183" s="9" t="s">
        <v>418</v>
      </c>
      <c r="C183" s="9" t="s">
        <v>420</v>
      </c>
      <c r="D183" s="9" t="s">
        <v>151</v>
      </c>
      <c r="E183" s="10">
        <v>7105.3360000000002</v>
      </c>
      <c r="F183" s="10">
        <v>5150.18</v>
      </c>
      <c r="G183" s="10">
        <v>7290.0010000000002</v>
      </c>
      <c r="H183" s="5" t="str">
        <f t="shared" si="2"/>
        <v>Madurai_MADURAI NORTH_MADURAI WEST</v>
      </c>
    </row>
    <row r="184" spans="1:8">
      <c r="A184" s="8">
        <v>182</v>
      </c>
      <c r="B184" s="9" t="s">
        <v>418</v>
      </c>
      <c r="C184" s="9" t="s">
        <v>421</v>
      </c>
      <c r="D184" s="9" t="s">
        <v>422</v>
      </c>
      <c r="E184" s="10">
        <v>1375.9849999999999</v>
      </c>
      <c r="F184" s="10">
        <v>1539.77</v>
      </c>
      <c r="G184" s="10">
        <v>1507.568</v>
      </c>
      <c r="H184" s="5" t="str">
        <f t="shared" si="2"/>
        <v>Madurai_MADURAI SOUTH_THIRUPPARANGUNDRAM</v>
      </c>
    </row>
    <row r="185" spans="1:8">
      <c r="A185" s="8">
        <v>183</v>
      </c>
      <c r="B185" s="9" t="s">
        <v>418</v>
      </c>
      <c r="C185" s="9" t="s">
        <v>151</v>
      </c>
      <c r="D185" s="9" t="s">
        <v>422</v>
      </c>
      <c r="E185" s="10">
        <v>1460.9749999999999</v>
      </c>
      <c r="F185" s="10">
        <v>1437.09</v>
      </c>
      <c r="G185" s="10">
        <v>1443.9469999999999</v>
      </c>
      <c r="H185" s="5" t="str">
        <f t="shared" si="2"/>
        <v>Madurai_MADURAI WEST_THIRUPPARANGUNDRAM</v>
      </c>
    </row>
    <row r="186" spans="1:8">
      <c r="A186" s="8">
        <v>184</v>
      </c>
      <c r="B186" s="9" t="s">
        <v>418</v>
      </c>
      <c r="C186" s="9" t="s">
        <v>152</v>
      </c>
      <c r="D186" s="9" t="s">
        <v>153</v>
      </c>
      <c r="E186" s="10">
        <v>11281.21</v>
      </c>
      <c r="F186" s="10">
        <v>8961.2000000000007</v>
      </c>
      <c r="G186" s="10">
        <v>11351.277</v>
      </c>
      <c r="H186" s="5" t="str">
        <f t="shared" si="2"/>
        <v>Madurai_MELUR_KOTTAMPATTI</v>
      </c>
    </row>
    <row r="187" spans="1:8">
      <c r="A187" s="8">
        <v>185</v>
      </c>
      <c r="B187" s="9" t="s">
        <v>418</v>
      </c>
      <c r="C187" s="9" t="s">
        <v>152</v>
      </c>
      <c r="D187" s="9" t="s">
        <v>152</v>
      </c>
      <c r="E187" s="10">
        <v>13156.081</v>
      </c>
      <c r="F187" s="10">
        <v>6744.4759999999997</v>
      </c>
      <c r="G187" s="10">
        <v>13370.768</v>
      </c>
      <c r="H187" s="5" t="str">
        <f t="shared" si="2"/>
        <v>Madurai_MELUR_MELUR</v>
      </c>
    </row>
    <row r="188" spans="1:8">
      <c r="A188" s="8">
        <v>186</v>
      </c>
      <c r="B188" s="9" t="s">
        <v>418</v>
      </c>
      <c r="C188" s="9" t="s">
        <v>423</v>
      </c>
      <c r="D188" s="9" t="s">
        <v>424</v>
      </c>
      <c r="E188" s="10">
        <v>18592.61</v>
      </c>
      <c r="F188" s="10">
        <v>18739.048999999999</v>
      </c>
      <c r="G188" s="10">
        <v>19261.52</v>
      </c>
      <c r="H188" s="5" t="str">
        <f t="shared" si="2"/>
        <v>Madurai_PERAIYUR_SEDPATTI</v>
      </c>
    </row>
    <row r="189" spans="1:8">
      <c r="A189" s="8">
        <v>187</v>
      </c>
      <c r="B189" s="9" t="s">
        <v>418</v>
      </c>
      <c r="C189" s="9" t="s">
        <v>423</v>
      </c>
      <c r="D189" s="9" t="s">
        <v>154</v>
      </c>
      <c r="E189" s="10">
        <v>12674.045</v>
      </c>
      <c r="F189" s="10">
        <v>13084.975</v>
      </c>
      <c r="G189" s="10">
        <v>13077.924999999999</v>
      </c>
      <c r="H189" s="5" t="str">
        <f t="shared" si="2"/>
        <v>Madurai_PERAIYUR_T.KALLUPATTI</v>
      </c>
    </row>
    <row r="190" spans="1:8">
      <c r="A190" s="8">
        <v>188</v>
      </c>
      <c r="B190" s="9" t="s">
        <v>418</v>
      </c>
      <c r="C190" s="9" t="s">
        <v>425</v>
      </c>
      <c r="D190" s="9" t="s">
        <v>425</v>
      </c>
      <c r="E190" s="10">
        <v>9147.9570000000003</v>
      </c>
      <c r="F190" s="10">
        <v>9474.7330000000002</v>
      </c>
      <c r="G190" s="10">
        <v>9870.9390000000003</v>
      </c>
      <c r="H190" s="5" t="str">
        <f t="shared" si="2"/>
        <v>Madurai_THIRUMANGALAM_THIRUMANGALAM</v>
      </c>
    </row>
    <row r="191" spans="1:8">
      <c r="A191" s="8">
        <v>189</v>
      </c>
      <c r="B191" s="9" t="s">
        <v>418</v>
      </c>
      <c r="C191" s="9" t="s">
        <v>422</v>
      </c>
      <c r="D191" s="9" t="s">
        <v>422</v>
      </c>
      <c r="E191" s="10">
        <v>1877.877</v>
      </c>
      <c r="F191" s="10">
        <v>2074.5790000000002</v>
      </c>
      <c r="G191" s="10">
        <v>2251.8690000000001</v>
      </c>
      <c r="H191" s="5" t="str">
        <f t="shared" si="2"/>
        <v>Madurai_THIRUPPARANGUNDRAM_THIRUPPARANGUNDRAM</v>
      </c>
    </row>
    <row r="192" spans="1:8">
      <c r="A192" s="8">
        <v>190</v>
      </c>
      <c r="B192" s="9" t="s">
        <v>418</v>
      </c>
      <c r="C192" s="9" t="s">
        <v>155</v>
      </c>
      <c r="D192" s="9" t="s">
        <v>426</v>
      </c>
      <c r="E192" s="10">
        <v>14815.15</v>
      </c>
      <c r="F192" s="10">
        <v>14884.227999999999</v>
      </c>
      <c r="G192" s="10">
        <v>15410.355</v>
      </c>
      <c r="H192" s="5" t="str">
        <f t="shared" si="2"/>
        <v>Madurai_USILAMPATTI_CHELLAMPATTI</v>
      </c>
    </row>
    <row r="193" spans="1:8">
      <c r="A193" s="8">
        <v>191</v>
      </c>
      <c r="B193" s="9" t="s">
        <v>418</v>
      </c>
      <c r="C193" s="9" t="s">
        <v>155</v>
      </c>
      <c r="D193" s="9" t="s">
        <v>155</v>
      </c>
      <c r="E193" s="10">
        <v>8107.2349999999997</v>
      </c>
      <c r="F193" s="10">
        <v>9402.2860000000001</v>
      </c>
      <c r="G193" s="10">
        <v>9638.89</v>
      </c>
      <c r="H193" s="5" t="str">
        <f t="shared" si="2"/>
        <v>Madurai_USILAMPATTI_USILAMPATTI</v>
      </c>
    </row>
    <row r="194" spans="1:8">
      <c r="A194" s="8">
        <v>192</v>
      </c>
      <c r="B194" s="9" t="s">
        <v>418</v>
      </c>
      <c r="C194" s="9" t="s">
        <v>427</v>
      </c>
      <c r="D194" s="9" t="s">
        <v>156</v>
      </c>
      <c r="E194" s="10">
        <v>10655.466</v>
      </c>
      <c r="F194" s="10">
        <v>8976.7090000000007</v>
      </c>
      <c r="G194" s="10">
        <v>10783.874</v>
      </c>
      <c r="H194" s="5" t="str">
        <f t="shared" si="2"/>
        <v>Madurai_VADIPATTI_ALANGANALLUR</v>
      </c>
    </row>
    <row r="195" spans="1:8">
      <c r="A195" s="8">
        <v>193</v>
      </c>
      <c r="B195" s="9" t="s">
        <v>418</v>
      </c>
      <c r="C195" s="9" t="s">
        <v>427</v>
      </c>
      <c r="D195" s="9" t="s">
        <v>427</v>
      </c>
      <c r="E195" s="10">
        <v>10971.394</v>
      </c>
      <c r="F195" s="10">
        <v>8751.7049999999999</v>
      </c>
      <c r="G195" s="10">
        <v>10521.995000000001</v>
      </c>
      <c r="H195" s="5" t="str">
        <f t="shared" si="2"/>
        <v>Madurai_VADIPATTI_VADIPATTI</v>
      </c>
    </row>
    <row r="196" spans="1:8">
      <c r="A196" s="8">
        <v>194</v>
      </c>
      <c r="B196" s="9" t="s">
        <v>516</v>
      </c>
      <c r="C196" s="9" t="s">
        <v>168</v>
      </c>
      <c r="D196" s="9" t="s">
        <v>168</v>
      </c>
      <c r="E196" s="10">
        <v>30870.54</v>
      </c>
      <c r="F196" s="10">
        <v>31146.071</v>
      </c>
      <c r="G196" s="10">
        <v>31168.154999999999</v>
      </c>
      <c r="H196" s="5" t="str">
        <f t="shared" ref="H196:H259" si="3">CONCATENATE(B196,"_",C196,"_",D196)</f>
        <v>Mayiladuthurai_KUTTALAM_KUTTALAM</v>
      </c>
    </row>
    <row r="197" spans="1:8">
      <c r="A197" s="8">
        <v>195</v>
      </c>
      <c r="B197" s="9" t="s">
        <v>516</v>
      </c>
      <c r="C197" s="9" t="s">
        <v>167</v>
      </c>
      <c r="D197" s="9" t="s">
        <v>167</v>
      </c>
      <c r="E197" s="10">
        <v>42700.705000000002</v>
      </c>
      <c r="F197" s="10">
        <v>42398.735000000001</v>
      </c>
      <c r="G197" s="10">
        <v>42647.08</v>
      </c>
      <c r="H197" s="5" t="str">
        <f t="shared" si="3"/>
        <v>Mayiladuthurai_MAYILADUTHURAI_MAYILADUTHURAI</v>
      </c>
    </row>
    <row r="198" spans="1:8">
      <c r="A198" s="8">
        <v>196</v>
      </c>
      <c r="B198" s="9" t="s">
        <v>516</v>
      </c>
      <c r="C198" s="9" t="s">
        <v>383</v>
      </c>
      <c r="D198" s="9" t="s">
        <v>169</v>
      </c>
      <c r="E198" s="10">
        <v>25586.044999999998</v>
      </c>
      <c r="F198" s="10">
        <v>24629</v>
      </c>
      <c r="G198" s="10">
        <v>25551.718000000001</v>
      </c>
      <c r="H198" s="5" t="str">
        <f t="shared" si="3"/>
        <v>Mayiladuthurai_SIRKALI_KOLLIDAM</v>
      </c>
    </row>
    <row r="199" spans="1:8">
      <c r="A199" s="8">
        <v>197</v>
      </c>
      <c r="B199" s="9" t="s">
        <v>516</v>
      </c>
      <c r="C199" s="9" t="s">
        <v>383</v>
      </c>
      <c r="D199" s="9" t="s">
        <v>384</v>
      </c>
      <c r="E199" s="10">
        <v>4198.1099999999997</v>
      </c>
      <c r="F199" s="10">
        <v>4038.5450000000001</v>
      </c>
      <c r="G199" s="10">
        <v>3978.105</v>
      </c>
      <c r="H199" s="5" t="str">
        <f t="shared" si="3"/>
        <v>Mayiladuthurai_SIRKALI_SEMBANARKOIL</v>
      </c>
    </row>
    <row r="200" spans="1:8">
      <c r="A200" s="8">
        <v>198</v>
      </c>
      <c r="B200" s="9" t="s">
        <v>516</v>
      </c>
      <c r="C200" s="9" t="s">
        <v>383</v>
      </c>
      <c r="D200" s="9" t="s">
        <v>383</v>
      </c>
      <c r="E200" s="10">
        <v>26360.935000000001</v>
      </c>
      <c r="F200" s="10">
        <v>25334.93</v>
      </c>
      <c r="G200" s="10">
        <v>25793.27</v>
      </c>
      <c r="H200" s="5" t="str">
        <f t="shared" si="3"/>
        <v>Mayiladuthurai_SIRKALI_SIRKALI</v>
      </c>
    </row>
    <row r="201" spans="1:8">
      <c r="A201" s="8">
        <v>199</v>
      </c>
      <c r="B201" s="9" t="s">
        <v>516</v>
      </c>
      <c r="C201" s="9" t="s">
        <v>385</v>
      </c>
      <c r="D201" s="9" t="s">
        <v>168</v>
      </c>
      <c r="E201" s="10">
        <v>5348.82</v>
      </c>
      <c r="F201" s="10">
        <v>5472.14</v>
      </c>
      <c r="G201" s="10">
        <v>5524.71</v>
      </c>
      <c r="H201" s="5" t="str">
        <f t="shared" si="3"/>
        <v>Mayiladuthurai_THARANGAMBADI_KUTTALAM</v>
      </c>
    </row>
    <row r="202" spans="1:8">
      <c r="A202" s="8">
        <v>200</v>
      </c>
      <c r="B202" s="9" t="s">
        <v>516</v>
      </c>
      <c r="C202" s="9" t="s">
        <v>385</v>
      </c>
      <c r="D202" s="9" t="s">
        <v>384</v>
      </c>
      <c r="E202" s="10">
        <v>33952.910000000003</v>
      </c>
      <c r="F202" s="10">
        <v>33790.445</v>
      </c>
      <c r="G202" s="10">
        <v>33660.885000000002</v>
      </c>
      <c r="H202" s="5" t="str">
        <f t="shared" si="3"/>
        <v>Mayiladuthurai_THARANGAMBADI_SEMBANARKOIL</v>
      </c>
    </row>
    <row r="203" spans="1:8">
      <c r="A203" s="8">
        <v>201</v>
      </c>
      <c r="B203" s="9" t="s">
        <v>242</v>
      </c>
      <c r="C203" s="9" t="s">
        <v>380</v>
      </c>
      <c r="D203" s="9" t="s">
        <v>381</v>
      </c>
      <c r="E203" s="10">
        <v>11037.145</v>
      </c>
      <c r="F203" s="10">
        <v>12627.834999999999</v>
      </c>
      <c r="G203" s="10">
        <v>14388.81</v>
      </c>
      <c r="H203" s="5" t="str">
        <f t="shared" si="3"/>
        <v>Nagapattinam_KILVELUR_KEELAIYUR</v>
      </c>
    </row>
    <row r="204" spans="1:8">
      <c r="A204" s="8">
        <v>202</v>
      </c>
      <c r="B204" s="9" t="s">
        <v>242</v>
      </c>
      <c r="C204" s="9" t="s">
        <v>380</v>
      </c>
      <c r="D204" s="9" t="s">
        <v>380</v>
      </c>
      <c r="E204" s="10">
        <v>18948.171999999999</v>
      </c>
      <c r="F204" s="10">
        <v>20502.189999999999</v>
      </c>
      <c r="G204" s="10">
        <v>22329.374</v>
      </c>
      <c r="H204" s="5" t="str">
        <f t="shared" si="3"/>
        <v>Nagapattinam_KILVELUR_KILVELUR</v>
      </c>
    </row>
    <row r="205" spans="1:8">
      <c r="A205" s="8">
        <v>203</v>
      </c>
      <c r="B205" s="9" t="s">
        <v>242</v>
      </c>
      <c r="C205" s="9" t="s">
        <v>382</v>
      </c>
      <c r="D205" s="9" t="s">
        <v>382</v>
      </c>
      <c r="E205" s="10">
        <v>11303.42</v>
      </c>
      <c r="F205" s="10">
        <v>11812.668</v>
      </c>
      <c r="G205" s="10">
        <v>12470.16</v>
      </c>
      <c r="H205" s="5" t="str">
        <f t="shared" si="3"/>
        <v>Nagapattinam_NAGAPPATTINAM_NAGAPPATTINAM</v>
      </c>
    </row>
    <row r="206" spans="1:8">
      <c r="A206" s="8">
        <v>204</v>
      </c>
      <c r="B206" s="9" t="s">
        <v>242</v>
      </c>
      <c r="C206" s="9" t="s">
        <v>382</v>
      </c>
      <c r="D206" s="9" t="s">
        <v>165</v>
      </c>
      <c r="E206" s="10">
        <v>25875.705000000002</v>
      </c>
      <c r="F206" s="10">
        <v>26064.038</v>
      </c>
      <c r="G206" s="10">
        <v>26769.46</v>
      </c>
      <c r="H206" s="5" t="str">
        <f t="shared" si="3"/>
        <v>Nagapattinam_NAGAPPATTINAM_THIRUMARUGAL</v>
      </c>
    </row>
    <row r="207" spans="1:8">
      <c r="A207" s="8">
        <v>205</v>
      </c>
      <c r="B207" s="9" t="s">
        <v>242</v>
      </c>
      <c r="C207" s="9" t="s">
        <v>386</v>
      </c>
      <c r="D207" s="9" t="s">
        <v>381</v>
      </c>
      <c r="E207" s="10">
        <v>4125.3149999999996</v>
      </c>
      <c r="F207" s="10">
        <v>5703.3320000000003</v>
      </c>
      <c r="G207" s="10">
        <v>5643.4219999999996</v>
      </c>
      <c r="H207" s="5" t="str">
        <f t="shared" si="3"/>
        <v>Nagapattinam_THIRUKKUVALAI_KEELAIYUR</v>
      </c>
    </row>
    <row r="208" spans="1:8">
      <c r="A208" s="8">
        <v>206</v>
      </c>
      <c r="B208" s="9" t="s">
        <v>242</v>
      </c>
      <c r="C208" s="9" t="s">
        <v>386</v>
      </c>
      <c r="D208" s="9" t="s">
        <v>380</v>
      </c>
      <c r="E208" s="10">
        <v>4158.4949999999999</v>
      </c>
      <c r="F208" s="10">
        <v>4282.0649999999996</v>
      </c>
      <c r="G208" s="10">
        <v>4636.9949999999999</v>
      </c>
      <c r="H208" s="5" t="str">
        <f t="shared" si="3"/>
        <v>Nagapattinam_THIRUKKUVALAI_KILVELUR</v>
      </c>
    </row>
    <row r="209" spans="1:8">
      <c r="A209" s="8">
        <v>207</v>
      </c>
      <c r="B209" s="9" t="s">
        <v>242</v>
      </c>
      <c r="C209" s="9" t="s">
        <v>386</v>
      </c>
      <c r="D209" s="9" t="s">
        <v>387</v>
      </c>
      <c r="E209" s="10">
        <v>7255.875</v>
      </c>
      <c r="F209" s="10">
        <v>9422.39</v>
      </c>
      <c r="G209" s="10">
        <v>10314.579</v>
      </c>
      <c r="H209" s="5" t="str">
        <f t="shared" si="3"/>
        <v>Nagapattinam_THIRUKKUVALAI_THALAINAYAR</v>
      </c>
    </row>
    <row r="210" spans="1:8">
      <c r="A210" s="8">
        <v>208</v>
      </c>
      <c r="B210" s="9" t="s">
        <v>242</v>
      </c>
      <c r="C210" s="9" t="s">
        <v>166</v>
      </c>
      <c r="D210" s="9" t="s">
        <v>387</v>
      </c>
      <c r="E210" s="10">
        <v>7170.6030000000001</v>
      </c>
      <c r="F210" s="10">
        <v>9164.49</v>
      </c>
      <c r="G210" s="10">
        <v>8878.0949999999993</v>
      </c>
      <c r="H210" s="5" t="str">
        <f t="shared" si="3"/>
        <v>Nagapattinam_VEDARANYAM_THALAINAYAR</v>
      </c>
    </row>
    <row r="211" spans="1:8">
      <c r="A211" s="8">
        <v>209</v>
      </c>
      <c r="B211" s="9" t="s">
        <v>242</v>
      </c>
      <c r="C211" s="9" t="s">
        <v>166</v>
      </c>
      <c r="D211" s="9" t="s">
        <v>166</v>
      </c>
      <c r="E211" s="10">
        <v>25733.712</v>
      </c>
      <c r="F211" s="10">
        <v>28254.47</v>
      </c>
      <c r="G211" s="10">
        <v>26256.745999999999</v>
      </c>
      <c r="H211" s="5" t="str">
        <f t="shared" si="3"/>
        <v>Nagapattinam_VEDARANYAM_VEDARANYAM</v>
      </c>
    </row>
    <row r="212" spans="1:8">
      <c r="A212" s="8">
        <v>210</v>
      </c>
      <c r="B212" s="9" t="s">
        <v>234</v>
      </c>
      <c r="C212" s="9" t="s">
        <v>114</v>
      </c>
      <c r="D212" s="9" t="s">
        <v>114</v>
      </c>
      <c r="E212" s="10">
        <v>12948.4</v>
      </c>
      <c r="F212" s="10">
        <v>12607.764999999999</v>
      </c>
      <c r="G212" s="10">
        <v>12466.2</v>
      </c>
      <c r="H212" s="5" t="str">
        <f t="shared" si="3"/>
        <v>Namakkal_KOLLIMALAI_KOLLIMALAI</v>
      </c>
    </row>
    <row r="213" spans="1:8">
      <c r="A213" s="8">
        <v>211</v>
      </c>
      <c r="B213" s="9" t="s">
        <v>234</v>
      </c>
      <c r="C213" s="9" t="s">
        <v>304</v>
      </c>
      <c r="D213" s="9" t="s">
        <v>110</v>
      </c>
      <c r="E213" s="10">
        <v>12100.3</v>
      </c>
      <c r="F213" s="10">
        <v>8923.6149999999998</v>
      </c>
      <c r="G213" s="10">
        <v>11271.275</v>
      </c>
      <c r="H213" s="5" t="str">
        <f t="shared" si="3"/>
        <v>Namakkal_KUMARAPALAYAM_PALLIPALAYAM</v>
      </c>
    </row>
    <row r="214" spans="1:8">
      <c r="A214" s="8">
        <v>212</v>
      </c>
      <c r="B214" s="9" t="s">
        <v>234</v>
      </c>
      <c r="C214" s="9" t="s">
        <v>304</v>
      </c>
      <c r="D214" s="9" t="s">
        <v>305</v>
      </c>
      <c r="E214" s="10">
        <v>1799.9</v>
      </c>
      <c r="F214" s="10">
        <v>1442.35</v>
      </c>
      <c r="G214" s="10">
        <v>1481.79</v>
      </c>
      <c r="H214" s="5" t="str">
        <f t="shared" si="3"/>
        <v>Namakkal_KUMARAPALAYAM_TIRUCHENGODE</v>
      </c>
    </row>
    <row r="215" spans="1:8">
      <c r="A215" s="8">
        <v>213</v>
      </c>
      <c r="B215" s="9" t="s">
        <v>234</v>
      </c>
      <c r="C215" s="9" t="s">
        <v>112</v>
      </c>
      <c r="D215" s="9" t="s">
        <v>111</v>
      </c>
      <c r="E215" s="10">
        <v>2361.4</v>
      </c>
      <c r="F215" s="10">
        <v>2447.14</v>
      </c>
      <c r="G215" s="10">
        <v>2681.94</v>
      </c>
      <c r="H215" s="5" t="str">
        <f t="shared" si="3"/>
        <v>Namakkal_MOHANUR_ERUMAIPATTI</v>
      </c>
    </row>
    <row r="216" spans="1:8">
      <c r="A216" s="8">
        <v>214</v>
      </c>
      <c r="B216" s="9" t="s">
        <v>234</v>
      </c>
      <c r="C216" s="9" t="s">
        <v>112</v>
      </c>
      <c r="D216" s="9" t="s">
        <v>112</v>
      </c>
      <c r="E216" s="10">
        <v>13425.42</v>
      </c>
      <c r="F216" s="10">
        <v>12847.51</v>
      </c>
      <c r="G216" s="10">
        <v>12336.13</v>
      </c>
      <c r="H216" s="5" t="str">
        <f t="shared" si="3"/>
        <v>Namakkal_MOHANUR_MOHANUR</v>
      </c>
    </row>
    <row r="217" spans="1:8">
      <c r="A217" s="8">
        <v>215</v>
      </c>
      <c r="B217" s="9" t="s">
        <v>234</v>
      </c>
      <c r="C217" s="9" t="s">
        <v>306</v>
      </c>
      <c r="D217" s="9" t="s">
        <v>306</v>
      </c>
      <c r="E217" s="10">
        <v>6945.8149999999996</v>
      </c>
      <c r="F217" s="10">
        <v>6766.52</v>
      </c>
      <c r="G217" s="10">
        <v>6917.2060000000001</v>
      </c>
      <c r="H217" s="5" t="str">
        <f t="shared" si="3"/>
        <v>Namakkal_NAMAKKAL_NAMAKKAL</v>
      </c>
    </row>
    <row r="218" spans="1:8">
      <c r="A218" s="8">
        <v>216</v>
      </c>
      <c r="B218" s="9" t="s">
        <v>234</v>
      </c>
      <c r="C218" s="9" t="s">
        <v>306</v>
      </c>
      <c r="D218" s="9" t="s">
        <v>307</v>
      </c>
      <c r="E218" s="10">
        <v>14774.22</v>
      </c>
      <c r="F218" s="10">
        <v>13999.305</v>
      </c>
      <c r="G218" s="10">
        <v>15278.665000000001</v>
      </c>
      <c r="H218" s="5" t="str">
        <f t="shared" si="3"/>
        <v>Namakkal_NAMAKKAL_PUDUCHATRAM</v>
      </c>
    </row>
    <row r="219" spans="1:8">
      <c r="A219" s="8">
        <v>217</v>
      </c>
      <c r="B219" s="9" t="s">
        <v>234</v>
      </c>
      <c r="C219" s="9" t="s">
        <v>308</v>
      </c>
      <c r="D219" s="9" t="s">
        <v>113</v>
      </c>
      <c r="E219" s="10">
        <v>15266.155000000001</v>
      </c>
      <c r="F219" s="10">
        <v>14417.785</v>
      </c>
      <c r="G219" s="10">
        <v>14675.495000000001</v>
      </c>
      <c r="H219" s="5" t="str">
        <f t="shared" si="3"/>
        <v>Namakkal_PARAMATHI-VELUR_KABILARMALAI</v>
      </c>
    </row>
    <row r="220" spans="1:8">
      <c r="A220" s="8">
        <v>218</v>
      </c>
      <c r="B220" s="9" t="s">
        <v>234</v>
      </c>
      <c r="C220" s="9" t="s">
        <v>308</v>
      </c>
      <c r="D220" s="9" t="s">
        <v>308</v>
      </c>
      <c r="E220" s="10">
        <v>13364.865</v>
      </c>
      <c r="F220" s="10">
        <v>13084.66</v>
      </c>
      <c r="G220" s="10">
        <v>13684.29</v>
      </c>
      <c r="H220" s="5" t="str">
        <f t="shared" si="3"/>
        <v>Namakkal_PARAMATHI-VELUR_PARAMATHI-VELUR</v>
      </c>
    </row>
    <row r="221" spans="1:8">
      <c r="A221" s="8">
        <v>219</v>
      </c>
      <c r="B221" s="9" t="s">
        <v>234</v>
      </c>
      <c r="C221" s="9" t="s">
        <v>309</v>
      </c>
      <c r="D221" s="9" t="s">
        <v>115</v>
      </c>
      <c r="E221" s="10">
        <v>24277.275000000001</v>
      </c>
      <c r="F221" s="10">
        <v>23249.42</v>
      </c>
      <c r="G221" s="10">
        <v>22419.345000000001</v>
      </c>
      <c r="H221" s="5" t="str">
        <f t="shared" si="3"/>
        <v>Namakkal_RASIPURAM_NAMAGIRIPETTAI</v>
      </c>
    </row>
    <row r="222" spans="1:8">
      <c r="A222" s="8">
        <v>220</v>
      </c>
      <c r="B222" s="9" t="s">
        <v>234</v>
      </c>
      <c r="C222" s="9" t="s">
        <v>309</v>
      </c>
      <c r="D222" s="9" t="s">
        <v>309</v>
      </c>
      <c r="E222" s="10">
        <v>10410.49</v>
      </c>
      <c r="F222" s="10">
        <v>9722.41</v>
      </c>
      <c r="G222" s="10">
        <v>8950.0949999999993</v>
      </c>
      <c r="H222" s="5" t="str">
        <f t="shared" si="3"/>
        <v>Namakkal_RASIPURAM_RASIPURAM</v>
      </c>
    </row>
    <row r="223" spans="1:8">
      <c r="A223" s="8">
        <v>221</v>
      </c>
      <c r="B223" s="9" t="s">
        <v>234</v>
      </c>
      <c r="C223" s="9" t="s">
        <v>309</v>
      </c>
      <c r="D223" s="9" t="s">
        <v>310</v>
      </c>
      <c r="E223" s="10">
        <v>11132.77</v>
      </c>
      <c r="F223" s="10">
        <v>10178.299999999999</v>
      </c>
      <c r="G223" s="10">
        <v>10703.1</v>
      </c>
      <c r="H223" s="5" t="str">
        <f t="shared" si="3"/>
        <v>Namakkal_RASIPURAM_VENNANDUR</v>
      </c>
    </row>
    <row r="224" spans="1:8">
      <c r="A224" s="8">
        <v>222</v>
      </c>
      <c r="B224" s="9" t="s">
        <v>234</v>
      </c>
      <c r="C224" s="9" t="s">
        <v>311</v>
      </c>
      <c r="D224" s="9" t="s">
        <v>111</v>
      </c>
      <c r="E224" s="10">
        <v>12243.674999999999</v>
      </c>
      <c r="F224" s="10">
        <v>11855.615</v>
      </c>
      <c r="G224" s="10">
        <v>11697.49</v>
      </c>
      <c r="H224" s="5" t="str">
        <f t="shared" si="3"/>
        <v>Namakkal_SENTHAMANGALAM_ERUMAIPATTI</v>
      </c>
    </row>
    <row r="225" spans="1:8">
      <c r="A225" s="8">
        <v>223</v>
      </c>
      <c r="B225" s="9" t="s">
        <v>234</v>
      </c>
      <c r="C225" s="9" t="s">
        <v>311</v>
      </c>
      <c r="D225" s="9" t="s">
        <v>306</v>
      </c>
      <c r="E225" s="10">
        <v>247.935</v>
      </c>
      <c r="F225" s="10">
        <v>247.44</v>
      </c>
      <c r="G225" s="10">
        <v>267</v>
      </c>
      <c r="H225" s="5" t="str">
        <f t="shared" si="3"/>
        <v>Namakkal_SENTHAMANGALAM_NAMAKKAL</v>
      </c>
    </row>
    <row r="226" spans="1:8">
      <c r="A226" s="8">
        <v>224</v>
      </c>
      <c r="B226" s="9" t="s">
        <v>234</v>
      </c>
      <c r="C226" s="9" t="s">
        <v>311</v>
      </c>
      <c r="D226" s="9" t="s">
        <v>307</v>
      </c>
      <c r="E226" s="10">
        <v>1934</v>
      </c>
      <c r="F226" s="10">
        <v>1940.5</v>
      </c>
      <c r="G226" s="10">
        <v>1884.55</v>
      </c>
      <c r="H226" s="5" t="str">
        <f t="shared" si="3"/>
        <v>Namakkal_SENTHAMANGALAM_PUDUCHATRAM</v>
      </c>
    </row>
    <row r="227" spans="1:8">
      <c r="A227" s="8">
        <v>225</v>
      </c>
      <c r="B227" s="9" t="s">
        <v>234</v>
      </c>
      <c r="C227" s="9" t="s">
        <v>311</v>
      </c>
      <c r="D227" s="9" t="s">
        <v>312</v>
      </c>
      <c r="E227" s="10">
        <v>10558.23</v>
      </c>
      <c r="F227" s="10">
        <v>8391.4150000000009</v>
      </c>
      <c r="G227" s="10">
        <v>8529.7090000000007</v>
      </c>
      <c r="H227" s="5" t="str">
        <f t="shared" si="3"/>
        <v>Namakkal_SENTHAMANGALAM_SENTHAMAGALAM</v>
      </c>
    </row>
    <row r="228" spans="1:8">
      <c r="A228" s="8">
        <v>226</v>
      </c>
      <c r="B228" s="9" t="s">
        <v>234</v>
      </c>
      <c r="C228" s="9" t="s">
        <v>305</v>
      </c>
      <c r="D228" s="9" t="s">
        <v>109</v>
      </c>
      <c r="E228" s="10">
        <v>22136.17</v>
      </c>
      <c r="F228" s="10">
        <v>21765.759999999998</v>
      </c>
      <c r="G228" s="10">
        <v>22655.7</v>
      </c>
      <c r="H228" s="5" t="str">
        <f t="shared" si="3"/>
        <v>Namakkal_TIRUCHENGODE_ELACHIPALAYAM</v>
      </c>
    </row>
    <row r="229" spans="1:8">
      <c r="A229" s="8">
        <v>227</v>
      </c>
      <c r="B229" s="9" t="s">
        <v>234</v>
      </c>
      <c r="C229" s="9" t="s">
        <v>305</v>
      </c>
      <c r="D229" s="9" t="s">
        <v>108</v>
      </c>
      <c r="E229" s="10">
        <v>15979.35</v>
      </c>
      <c r="F229" s="10">
        <v>14862.61</v>
      </c>
      <c r="G229" s="10">
        <v>14850.67</v>
      </c>
      <c r="H229" s="5" t="str">
        <f t="shared" si="3"/>
        <v>Namakkal_TIRUCHENGODE_MALLASAMUDRAM</v>
      </c>
    </row>
    <row r="230" spans="1:8">
      <c r="A230" s="8">
        <v>228</v>
      </c>
      <c r="B230" s="9" t="s">
        <v>234</v>
      </c>
      <c r="C230" s="9" t="s">
        <v>305</v>
      </c>
      <c r="D230" s="9" t="s">
        <v>305</v>
      </c>
      <c r="E230" s="10">
        <v>19060.915000000001</v>
      </c>
      <c r="F230" s="10">
        <v>18874.93</v>
      </c>
      <c r="G230" s="10">
        <v>19092.509999999998</v>
      </c>
      <c r="H230" s="5" t="str">
        <f t="shared" si="3"/>
        <v>Namakkal_TIRUCHENGODE_TIRUCHENGODE</v>
      </c>
    </row>
    <row r="231" spans="1:8">
      <c r="A231" s="8">
        <v>229</v>
      </c>
      <c r="B231" s="9" t="s">
        <v>237</v>
      </c>
      <c r="C231" s="9" t="s">
        <v>139</v>
      </c>
      <c r="D231" s="9" t="s">
        <v>139</v>
      </c>
      <c r="E231" s="10">
        <v>23968</v>
      </c>
      <c r="F231" s="10">
        <v>23142.15</v>
      </c>
      <c r="G231" s="10">
        <v>24583.165000000001</v>
      </c>
      <c r="H231" s="5" t="str">
        <f t="shared" si="3"/>
        <v>Perambalur_ALATHUR_ALATHUR</v>
      </c>
    </row>
    <row r="232" spans="1:8">
      <c r="A232" s="8">
        <v>230</v>
      </c>
      <c r="B232" s="9" t="s">
        <v>237</v>
      </c>
      <c r="C232" s="9" t="s">
        <v>367</v>
      </c>
      <c r="D232" s="9" t="s">
        <v>138</v>
      </c>
      <c r="E232" s="10">
        <v>28314.965</v>
      </c>
      <c r="F232" s="10">
        <v>27983.697</v>
      </c>
      <c r="G232" s="10">
        <v>28129.251</v>
      </c>
      <c r="H232" s="5" t="str">
        <f t="shared" si="3"/>
        <v>Perambalur_KUNNAM_VEPPUR</v>
      </c>
    </row>
    <row r="233" spans="1:8">
      <c r="A233" s="8">
        <v>231</v>
      </c>
      <c r="B233" s="9" t="s">
        <v>237</v>
      </c>
      <c r="C233" s="9" t="s">
        <v>137</v>
      </c>
      <c r="D233" s="9" t="s">
        <v>137</v>
      </c>
      <c r="E233" s="10">
        <v>17739.715</v>
      </c>
      <c r="F233" s="10">
        <v>16990.327000000001</v>
      </c>
      <c r="G233" s="10">
        <v>18031.895</v>
      </c>
      <c r="H233" s="5" t="str">
        <f t="shared" si="3"/>
        <v>Perambalur_PERAMBALUR_PERAMBALUR</v>
      </c>
    </row>
    <row r="234" spans="1:8">
      <c r="A234" s="8">
        <v>232</v>
      </c>
      <c r="B234" s="9" t="s">
        <v>237</v>
      </c>
      <c r="C234" s="9" t="s">
        <v>368</v>
      </c>
      <c r="D234" s="9" t="s">
        <v>368</v>
      </c>
      <c r="E234" s="10">
        <v>40507.230000000003</v>
      </c>
      <c r="F234" s="10">
        <v>39209.415000000001</v>
      </c>
      <c r="G234" s="10">
        <v>39551.495000000003</v>
      </c>
      <c r="H234" s="5" t="str">
        <f t="shared" si="3"/>
        <v>Perambalur_VEPPANTHATTAI_VEPPANTHATTAI</v>
      </c>
    </row>
    <row r="235" spans="1:8">
      <c r="A235" s="8">
        <v>233</v>
      </c>
      <c r="B235" s="9" t="s">
        <v>235</v>
      </c>
      <c r="C235" s="9" t="s">
        <v>403</v>
      </c>
      <c r="D235" s="9" t="s">
        <v>125</v>
      </c>
      <c r="E235" s="10">
        <v>13866.933000000001</v>
      </c>
      <c r="F235" s="10">
        <v>13337.575999999999</v>
      </c>
      <c r="G235" s="10">
        <v>13914.645</v>
      </c>
      <c r="H235" s="5" t="str">
        <f t="shared" si="3"/>
        <v>Pudukkottai_ALANGUDY_THIRUVARANKULAM</v>
      </c>
    </row>
    <row r="236" spans="1:8">
      <c r="A236" s="8">
        <v>234</v>
      </c>
      <c r="B236" s="9" t="s">
        <v>235</v>
      </c>
      <c r="C236" s="9" t="s">
        <v>124</v>
      </c>
      <c r="D236" s="9" t="s">
        <v>124</v>
      </c>
      <c r="E236" s="10">
        <v>17892.467000000001</v>
      </c>
      <c r="F236" s="10">
        <v>18197.244999999999</v>
      </c>
      <c r="G236" s="10">
        <v>18783.150000000001</v>
      </c>
      <c r="H236" s="5" t="str">
        <f t="shared" si="3"/>
        <v>Pudukkottai_ARANTHANGI_ARANTHANGI</v>
      </c>
    </row>
    <row r="237" spans="1:8">
      <c r="A237" s="8">
        <v>235</v>
      </c>
      <c r="B237" s="9" t="s">
        <v>235</v>
      </c>
      <c r="C237" s="9" t="s">
        <v>124</v>
      </c>
      <c r="D237" s="9" t="s">
        <v>132</v>
      </c>
      <c r="E237" s="10">
        <v>1978.89</v>
      </c>
      <c r="F237" s="10">
        <v>1967.865</v>
      </c>
      <c r="G237" s="10">
        <v>1956</v>
      </c>
      <c r="H237" s="5" t="str">
        <f t="shared" si="3"/>
        <v>Pudukkottai_ARANTHANGI_AVUDAIYARKOIL</v>
      </c>
    </row>
    <row r="238" spans="1:8">
      <c r="A238" s="8">
        <v>236</v>
      </c>
      <c r="B238" s="9" t="s">
        <v>235</v>
      </c>
      <c r="C238" s="9" t="s">
        <v>132</v>
      </c>
      <c r="D238" s="9" t="s">
        <v>131</v>
      </c>
      <c r="E238" s="10">
        <v>2707.145</v>
      </c>
      <c r="F238" s="10">
        <v>2714.94</v>
      </c>
      <c r="G238" s="10">
        <v>2720.5450000000001</v>
      </c>
      <c r="H238" s="5" t="str">
        <f t="shared" si="3"/>
        <v>Pudukkottai_AVUDAIYARKOIL_ARIMALAM</v>
      </c>
    </row>
    <row r="239" spans="1:8">
      <c r="A239" s="8">
        <v>237</v>
      </c>
      <c r="B239" s="9" t="s">
        <v>235</v>
      </c>
      <c r="C239" s="9" t="s">
        <v>132</v>
      </c>
      <c r="D239" s="9" t="s">
        <v>132</v>
      </c>
      <c r="E239" s="10">
        <v>15256.267</v>
      </c>
      <c r="F239" s="10">
        <v>15281.09</v>
      </c>
      <c r="G239" s="10">
        <v>15305.67</v>
      </c>
      <c r="H239" s="5" t="str">
        <f t="shared" si="3"/>
        <v>Pudukkottai_AVUDAIYARKOIL_AVUDAIYARKOIL</v>
      </c>
    </row>
    <row r="240" spans="1:8">
      <c r="A240" s="8">
        <v>238</v>
      </c>
      <c r="B240" s="9" t="s">
        <v>235</v>
      </c>
      <c r="C240" s="9" t="s">
        <v>404</v>
      </c>
      <c r="D240" s="9" t="s">
        <v>404</v>
      </c>
      <c r="E240" s="10">
        <v>15239.156000000001</v>
      </c>
      <c r="F240" s="10">
        <v>15222.805</v>
      </c>
      <c r="G240" s="10">
        <v>15945.76</v>
      </c>
      <c r="H240" s="5" t="str">
        <f t="shared" si="3"/>
        <v>Pudukkottai_GANDARVAKOTTAI_GANDARVAKOTTAI</v>
      </c>
    </row>
    <row r="241" spans="1:8">
      <c r="A241" s="8">
        <v>239</v>
      </c>
      <c r="B241" s="9" t="s">
        <v>235</v>
      </c>
      <c r="C241" s="9" t="s">
        <v>404</v>
      </c>
      <c r="D241" s="9" t="s">
        <v>405</v>
      </c>
      <c r="E241" s="10">
        <v>425.27499999999998</v>
      </c>
      <c r="F241" s="10">
        <v>398.77</v>
      </c>
      <c r="G241" s="10">
        <v>312.64499999999998</v>
      </c>
      <c r="H241" s="5" t="str">
        <f t="shared" si="3"/>
        <v>Pudukkottai_GANDARVAKOTTAI_PUDUKKOTTAI</v>
      </c>
    </row>
    <row r="242" spans="1:8">
      <c r="A242" s="8">
        <v>240</v>
      </c>
      <c r="B242" s="9" t="s">
        <v>235</v>
      </c>
      <c r="C242" s="9" t="s">
        <v>406</v>
      </c>
      <c r="D242" s="9" t="s">
        <v>126</v>
      </c>
      <c r="E242" s="10">
        <v>6907.87</v>
      </c>
      <c r="F242" s="10">
        <v>6447.5550000000003</v>
      </c>
      <c r="G242" s="10">
        <v>8281.1200000000008</v>
      </c>
      <c r="H242" s="5" t="str">
        <f t="shared" si="3"/>
        <v>Pudukkottai_ILLUPPUR_ANNAVASAL</v>
      </c>
    </row>
    <row r="243" spans="1:8">
      <c r="A243" s="8">
        <v>241</v>
      </c>
      <c r="B243" s="9" t="s">
        <v>235</v>
      </c>
      <c r="C243" s="9" t="s">
        <v>406</v>
      </c>
      <c r="D243" s="9" t="s">
        <v>127</v>
      </c>
      <c r="E243" s="10">
        <v>530.41499999999996</v>
      </c>
      <c r="F243" s="10">
        <v>506.12</v>
      </c>
      <c r="G243" s="10">
        <v>473.85</v>
      </c>
      <c r="H243" s="5" t="str">
        <f t="shared" si="3"/>
        <v>Pudukkottai_ILLUPPUR_KUNNANDARKOIL</v>
      </c>
    </row>
    <row r="244" spans="1:8">
      <c r="A244" s="8">
        <v>242</v>
      </c>
      <c r="B244" s="9" t="s">
        <v>235</v>
      </c>
      <c r="C244" s="9" t="s">
        <v>406</v>
      </c>
      <c r="D244" s="9" t="s">
        <v>128</v>
      </c>
      <c r="E244" s="10">
        <v>1318.28</v>
      </c>
      <c r="F244" s="10">
        <v>1362.635</v>
      </c>
      <c r="G244" s="10">
        <v>1495.9549999999999</v>
      </c>
      <c r="H244" s="5" t="str">
        <f t="shared" si="3"/>
        <v>Pudukkottai_ILLUPPUR_VIRALIMALAI</v>
      </c>
    </row>
    <row r="245" spans="1:8">
      <c r="A245" s="8">
        <v>243</v>
      </c>
      <c r="B245" s="9" t="s">
        <v>235</v>
      </c>
      <c r="C245" s="9" t="s">
        <v>407</v>
      </c>
      <c r="D245" s="9" t="s">
        <v>407</v>
      </c>
      <c r="E245" s="10">
        <v>16047.39</v>
      </c>
      <c r="F245" s="10">
        <v>16671.169999999998</v>
      </c>
      <c r="G245" s="10">
        <v>15996.91</v>
      </c>
      <c r="H245" s="5" t="str">
        <f t="shared" si="3"/>
        <v>Pudukkottai_KARAMBAKUDI_KARAMBAKUDI</v>
      </c>
    </row>
    <row r="246" spans="1:8">
      <c r="A246" s="8">
        <v>244</v>
      </c>
      <c r="B246" s="9" t="s">
        <v>235</v>
      </c>
      <c r="C246" s="9" t="s">
        <v>408</v>
      </c>
      <c r="D246" s="9" t="s">
        <v>126</v>
      </c>
      <c r="E246" s="10">
        <v>1497.4949999999999</v>
      </c>
      <c r="F246" s="10">
        <v>1575.1849999999999</v>
      </c>
      <c r="G246" s="10">
        <v>1749.2650000000001</v>
      </c>
      <c r="H246" s="5" t="str">
        <f t="shared" si="3"/>
        <v>Pudukkottai_KULATHUR_ANNAVASAL</v>
      </c>
    </row>
    <row r="247" spans="1:8">
      <c r="A247" s="8">
        <v>245</v>
      </c>
      <c r="B247" s="9" t="s">
        <v>235</v>
      </c>
      <c r="C247" s="9" t="s">
        <v>408</v>
      </c>
      <c r="D247" s="9" t="s">
        <v>127</v>
      </c>
      <c r="E247" s="10">
        <v>8665.5650000000005</v>
      </c>
      <c r="F247" s="10">
        <v>9500.2849999999999</v>
      </c>
      <c r="G247" s="10">
        <v>10382.495000000001</v>
      </c>
      <c r="H247" s="5" t="str">
        <f t="shared" si="3"/>
        <v>Pudukkottai_KULATHUR_KUNNANDARKOIL</v>
      </c>
    </row>
    <row r="248" spans="1:8">
      <c r="A248" s="8">
        <v>246</v>
      </c>
      <c r="B248" s="9" t="s">
        <v>235</v>
      </c>
      <c r="C248" s="9" t="s">
        <v>408</v>
      </c>
      <c r="D248" s="9" t="s">
        <v>128</v>
      </c>
      <c r="E248" s="10">
        <v>2615.9949999999999</v>
      </c>
      <c r="F248" s="10">
        <v>2751.2249999999999</v>
      </c>
      <c r="G248" s="10">
        <v>2750.58</v>
      </c>
      <c r="H248" s="5" t="str">
        <f t="shared" si="3"/>
        <v>Pudukkottai_KULATHUR_VIRALIMALAI</v>
      </c>
    </row>
    <row r="249" spans="1:8">
      <c r="A249" s="8">
        <v>247</v>
      </c>
      <c r="B249" s="9" t="s">
        <v>235</v>
      </c>
      <c r="C249" s="9" t="s">
        <v>409</v>
      </c>
      <c r="D249" s="9" t="s">
        <v>409</v>
      </c>
      <c r="E249" s="10">
        <v>11441.848</v>
      </c>
      <c r="F249" s="10">
        <v>11532.173000000001</v>
      </c>
      <c r="G249" s="10">
        <v>11915.710999999999</v>
      </c>
      <c r="H249" s="5" t="str">
        <f t="shared" si="3"/>
        <v>Pudukkottai_MANAMELKUDY_MANAMELKUDY</v>
      </c>
    </row>
    <row r="250" spans="1:8">
      <c r="A250" s="8">
        <v>248</v>
      </c>
      <c r="B250" s="9" t="s">
        <v>235</v>
      </c>
      <c r="C250" s="9" t="s">
        <v>129</v>
      </c>
      <c r="D250" s="9" t="s">
        <v>129</v>
      </c>
      <c r="E250" s="10">
        <v>6043.9120000000003</v>
      </c>
      <c r="F250" s="10">
        <v>5140.7700000000004</v>
      </c>
      <c r="G250" s="10">
        <v>6210.0950000000003</v>
      </c>
      <c r="H250" s="5" t="str">
        <f t="shared" si="3"/>
        <v>Pudukkottai_PONNAMARAVATHY_PONNAMARAVATHY</v>
      </c>
    </row>
    <row r="251" spans="1:8">
      <c r="A251" s="8">
        <v>249</v>
      </c>
      <c r="B251" s="9" t="s">
        <v>235</v>
      </c>
      <c r="C251" s="9" t="s">
        <v>405</v>
      </c>
      <c r="D251" s="9" t="s">
        <v>126</v>
      </c>
      <c r="E251" s="10">
        <v>17.704999999999998</v>
      </c>
      <c r="F251" s="10">
        <v>20.2</v>
      </c>
      <c r="G251" s="10">
        <v>14.85</v>
      </c>
      <c r="H251" s="5" t="str">
        <f t="shared" si="3"/>
        <v>Pudukkottai_PUDUKKOTTAI_ANNAVASAL</v>
      </c>
    </row>
    <row r="252" spans="1:8">
      <c r="A252" s="8">
        <v>250</v>
      </c>
      <c r="B252" s="9" t="s">
        <v>235</v>
      </c>
      <c r="C252" s="9" t="s">
        <v>405</v>
      </c>
      <c r="D252" s="9" t="s">
        <v>405</v>
      </c>
      <c r="E252" s="10">
        <v>6605.39</v>
      </c>
      <c r="F252" s="10">
        <v>6407.915</v>
      </c>
      <c r="G252" s="10">
        <v>7376.21</v>
      </c>
      <c r="H252" s="5" t="str">
        <f t="shared" si="3"/>
        <v>Pudukkottai_PUDUKKOTTAI_PUDUKKOTTAI</v>
      </c>
    </row>
    <row r="253" spans="1:8">
      <c r="A253" s="8">
        <v>251</v>
      </c>
      <c r="B253" s="9" t="s">
        <v>235</v>
      </c>
      <c r="C253" s="9" t="s">
        <v>130</v>
      </c>
      <c r="D253" s="9" t="s">
        <v>131</v>
      </c>
      <c r="E253" s="10">
        <v>6394.56</v>
      </c>
      <c r="F253" s="10">
        <v>6329.73</v>
      </c>
      <c r="G253" s="10">
        <v>5954.13</v>
      </c>
      <c r="H253" s="5" t="str">
        <f t="shared" si="3"/>
        <v>Pudukkottai_THIRUMAYAM_ARIMALAM</v>
      </c>
    </row>
    <row r="254" spans="1:8">
      <c r="A254" s="8">
        <v>252</v>
      </c>
      <c r="B254" s="9" t="s">
        <v>235</v>
      </c>
      <c r="C254" s="9" t="s">
        <v>130</v>
      </c>
      <c r="D254" s="9" t="s">
        <v>130</v>
      </c>
      <c r="E254" s="10">
        <v>4091.41</v>
      </c>
      <c r="F254" s="10">
        <v>3323.2249999999999</v>
      </c>
      <c r="G254" s="10">
        <v>3968.51</v>
      </c>
      <c r="H254" s="5" t="str">
        <f t="shared" si="3"/>
        <v>Pudukkottai_THIRUMAYAM_THIRUMAYAM</v>
      </c>
    </row>
    <row r="255" spans="1:8">
      <c r="A255" s="8">
        <v>253</v>
      </c>
      <c r="B255" s="9" t="s">
        <v>235</v>
      </c>
      <c r="C255" s="9" t="s">
        <v>128</v>
      </c>
      <c r="D255" s="9" t="s">
        <v>128</v>
      </c>
      <c r="E255" s="10">
        <v>6895.86</v>
      </c>
      <c r="F255" s="10">
        <v>6415.0950000000003</v>
      </c>
      <c r="G255" s="10">
        <v>6355.4549999999999</v>
      </c>
      <c r="H255" s="5" t="str">
        <f t="shared" si="3"/>
        <v>Pudukkottai_VIRALIMALAI_VIRALIMALAI</v>
      </c>
    </row>
    <row r="256" spans="1:8">
      <c r="A256" s="8">
        <v>254</v>
      </c>
      <c r="B256" s="9" t="s">
        <v>249</v>
      </c>
      <c r="C256" s="9" t="s">
        <v>222</v>
      </c>
      <c r="D256" s="9" t="s">
        <v>222</v>
      </c>
      <c r="E256" s="10">
        <v>26062.37</v>
      </c>
      <c r="F256" s="10">
        <v>26027.724999999999</v>
      </c>
      <c r="G256" s="10">
        <v>25349.435000000001</v>
      </c>
      <c r="H256" s="5" t="str">
        <f t="shared" si="3"/>
        <v>Ramanathapuram_KADALADI_KADALADI</v>
      </c>
    </row>
    <row r="257" spans="1:8">
      <c r="A257" s="8">
        <v>255</v>
      </c>
      <c r="B257" s="9" t="s">
        <v>249</v>
      </c>
      <c r="C257" s="9" t="s">
        <v>438</v>
      </c>
      <c r="D257" s="9" t="s">
        <v>438</v>
      </c>
      <c r="E257" s="10">
        <v>27375.63</v>
      </c>
      <c r="F257" s="10">
        <v>26631.599999999999</v>
      </c>
      <c r="G257" s="10">
        <v>25598.28</v>
      </c>
      <c r="H257" s="5" t="str">
        <f t="shared" si="3"/>
        <v>Ramanathapuram_KAMUTHI_KAMUTHI</v>
      </c>
    </row>
    <row r="258" spans="1:8">
      <c r="A258" s="8">
        <v>256</v>
      </c>
      <c r="B258" s="9" t="s">
        <v>249</v>
      </c>
      <c r="C258" s="9" t="s">
        <v>439</v>
      </c>
      <c r="D258" s="9" t="s">
        <v>222</v>
      </c>
      <c r="E258" s="10">
        <v>571.495</v>
      </c>
      <c r="F258" s="10">
        <v>561.76499999999999</v>
      </c>
      <c r="G258" s="10">
        <v>540.53</v>
      </c>
      <c r="H258" s="5" t="str">
        <f t="shared" si="3"/>
        <v>Ramanathapuram_KEELAKARAI_KADALADI</v>
      </c>
    </row>
    <row r="259" spans="1:8">
      <c r="A259" s="8">
        <v>257</v>
      </c>
      <c r="B259" s="9" t="s">
        <v>249</v>
      </c>
      <c r="C259" s="9" t="s">
        <v>439</v>
      </c>
      <c r="D259" s="9" t="s">
        <v>440</v>
      </c>
      <c r="E259" s="10">
        <v>10696.51</v>
      </c>
      <c r="F259" s="10">
        <v>10588.865</v>
      </c>
      <c r="G259" s="10">
        <v>10481.375</v>
      </c>
      <c r="H259" s="5" t="str">
        <f t="shared" si="3"/>
        <v>Ramanathapuram_KEELAKARAI_THIRUPULLANI</v>
      </c>
    </row>
    <row r="260" spans="1:8">
      <c r="A260" s="8">
        <v>258</v>
      </c>
      <c r="B260" s="9" t="s">
        <v>249</v>
      </c>
      <c r="C260" s="9" t="s">
        <v>441</v>
      </c>
      <c r="D260" s="9" t="s">
        <v>222</v>
      </c>
      <c r="E260" s="10">
        <v>5310.82</v>
      </c>
      <c r="F260" s="10">
        <v>4702.09</v>
      </c>
      <c r="G260" s="10">
        <v>4445.05</v>
      </c>
      <c r="H260" s="5" t="str">
        <f t="shared" ref="H260:H323" si="4">CONCATENATE(B260,"_",C260,"_",D260)</f>
        <v>Ramanathapuram_MUTHUKULATHUR_KADALADI</v>
      </c>
    </row>
    <row r="261" spans="1:8">
      <c r="A261" s="8">
        <v>259</v>
      </c>
      <c r="B261" s="9" t="s">
        <v>249</v>
      </c>
      <c r="C261" s="9" t="s">
        <v>441</v>
      </c>
      <c r="D261" s="9" t="s">
        <v>221</v>
      </c>
      <c r="E261" s="10">
        <v>26705.07</v>
      </c>
      <c r="F261" s="10">
        <v>27401.360000000001</v>
      </c>
      <c r="G261" s="10">
        <v>26089.514999999999</v>
      </c>
      <c r="H261" s="5" t="str">
        <f t="shared" si="4"/>
        <v>Ramanathapuram_MUTHUKULATHUR_MUDUKULATHUR</v>
      </c>
    </row>
    <row r="262" spans="1:8">
      <c r="A262" s="8">
        <v>260</v>
      </c>
      <c r="B262" s="9" t="s">
        <v>249</v>
      </c>
      <c r="C262" s="9" t="s">
        <v>442</v>
      </c>
      <c r="D262" s="9" t="s">
        <v>220</v>
      </c>
      <c r="E262" s="10">
        <v>7794.7849999999999</v>
      </c>
      <c r="F262" s="10">
        <v>7777.2849999999999</v>
      </c>
      <c r="G262" s="10">
        <v>7435.99</v>
      </c>
      <c r="H262" s="5" t="str">
        <f t="shared" si="4"/>
        <v>Ramanathapuram_PARAMAKUDI_BOGALUR</v>
      </c>
    </row>
    <row r="263" spans="1:8">
      <c r="A263" s="8">
        <v>261</v>
      </c>
      <c r="B263" s="9" t="s">
        <v>249</v>
      </c>
      <c r="C263" s="9" t="s">
        <v>442</v>
      </c>
      <c r="D263" s="9" t="s">
        <v>443</v>
      </c>
      <c r="E263" s="10">
        <v>13106.48</v>
      </c>
      <c r="F263" s="10">
        <v>13039.575000000001</v>
      </c>
      <c r="G263" s="10">
        <v>13126.84</v>
      </c>
      <c r="H263" s="5" t="str">
        <f t="shared" si="4"/>
        <v>Ramanathapuram_PARAMAKUDI_NAINARKOIL</v>
      </c>
    </row>
    <row r="264" spans="1:8">
      <c r="A264" s="8">
        <v>262</v>
      </c>
      <c r="B264" s="9" t="s">
        <v>249</v>
      </c>
      <c r="C264" s="9" t="s">
        <v>442</v>
      </c>
      <c r="D264" s="9" t="s">
        <v>442</v>
      </c>
      <c r="E264" s="10">
        <v>9674.3250000000007</v>
      </c>
      <c r="F264" s="10">
        <v>9684.85</v>
      </c>
      <c r="G264" s="10">
        <v>9275.67</v>
      </c>
      <c r="H264" s="5" t="str">
        <f t="shared" si="4"/>
        <v>Ramanathapuram_PARAMAKUDI_PARAMAKUDI</v>
      </c>
    </row>
    <row r="265" spans="1:8">
      <c r="A265" s="8">
        <v>263</v>
      </c>
      <c r="B265" s="9" t="s">
        <v>249</v>
      </c>
      <c r="C265" s="9" t="s">
        <v>219</v>
      </c>
      <c r="D265" s="9" t="s">
        <v>443</v>
      </c>
      <c r="E265" s="10">
        <v>1364.11</v>
      </c>
      <c r="F265" s="10">
        <v>1377.65</v>
      </c>
      <c r="G265" s="10">
        <v>1439.36</v>
      </c>
      <c r="H265" s="5" t="str">
        <f t="shared" si="4"/>
        <v>Ramanathapuram_R.S.MANGALAM_NAINARKOIL</v>
      </c>
    </row>
    <row r="266" spans="1:8">
      <c r="A266" s="8">
        <v>264</v>
      </c>
      <c r="B266" s="9" t="s">
        <v>249</v>
      </c>
      <c r="C266" s="9" t="s">
        <v>219</v>
      </c>
      <c r="D266" s="9" t="s">
        <v>219</v>
      </c>
      <c r="E266" s="10">
        <v>19225.72</v>
      </c>
      <c r="F266" s="10">
        <v>19480.57</v>
      </c>
      <c r="G266" s="10">
        <v>19385.73</v>
      </c>
      <c r="H266" s="5" t="str">
        <f t="shared" si="4"/>
        <v>Ramanathapuram_R.S.MANGALAM_R.S.MANGALAM</v>
      </c>
    </row>
    <row r="267" spans="1:8">
      <c r="A267" s="8">
        <v>265</v>
      </c>
      <c r="B267" s="9" t="s">
        <v>249</v>
      </c>
      <c r="C267" s="9" t="s">
        <v>216</v>
      </c>
      <c r="D267" s="9" t="s">
        <v>217</v>
      </c>
      <c r="E267" s="10">
        <v>5904.0950000000003</v>
      </c>
      <c r="F267" s="10">
        <v>6102.7</v>
      </c>
      <c r="G267" s="10">
        <v>6210.125</v>
      </c>
      <c r="H267" s="5" t="str">
        <f t="shared" si="4"/>
        <v>Ramanathapuram_RAMANATHAPURAM_MANDAPAM</v>
      </c>
    </row>
    <row r="268" spans="1:8">
      <c r="A268" s="8">
        <v>266</v>
      </c>
      <c r="B268" s="9" t="s">
        <v>249</v>
      </c>
      <c r="C268" s="9" t="s">
        <v>216</v>
      </c>
      <c r="D268" s="9" t="s">
        <v>216</v>
      </c>
      <c r="E268" s="10">
        <v>8950.9650000000001</v>
      </c>
      <c r="F268" s="10">
        <v>8983.9850000000006</v>
      </c>
      <c r="G268" s="10">
        <v>10149.56</v>
      </c>
      <c r="H268" s="5" t="str">
        <f t="shared" si="4"/>
        <v>Ramanathapuram_RAMANATHAPURAM_RAMANATHAPURAM</v>
      </c>
    </row>
    <row r="269" spans="1:8">
      <c r="A269" s="8">
        <v>267</v>
      </c>
      <c r="B269" s="9" t="s">
        <v>249</v>
      </c>
      <c r="C269" s="9" t="s">
        <v>216</v>
      </c>
      <c r="D269" s="9" t="s">
        <v>440</v>
      </c>
      <c r="E269" s="10">
        <v>364.565</v>
      </c>
      <c r="F269" s="10">
        <v>378.11500000000001</v>
      </c>
      <c r="G269" s="10">
        <v>342.25</v>
      </c>
      <c r="H269" s="5" t="str">
        <f t="shared" si="4"/>
        <v>Ramanathapuram_RAMANATHAPURAM_THIRUPULLANI</v>
      </c>
    </row>
    <row r="270" spans="1:8">
      <c r="A270" s="8">
        <v>268</v>
      </c>
      <c r="B270" s="9" t="s">
        <v>249</v>
      </c>
      <c r="C270" s="9" t="s">
        <v>444</v>
      </c>
      <c r="D270" s="9" t="s">
        <v>217</v>
      </c>
      <c r="E270" s="10">
        <v>605.05499999999995</v>
      </c>
      <c r="F270" s="10">
        <v>596.23500000000001</v>
      </c>
      <c r="G270" s="10">
        <v>639.24</v>
      </c>
      <c r="H270" s="5" t="str">
        <f t="shared" si="4"/>
        <v>Ramanathapuram_RAMESWARAM_MANDAPAM</v>
      </c>
    </row>
    <row r="271" spans="1:8">
      <c r="A271" s="8">
        <v>269</v>
      </c>
      <c r="B271" s="9" t="s">
        <v>249</v>
      </c>
      <c r="C271" s="9" t="s">
        <v>218</v>
      </c>
      <c r="D271" s="9" t="s">
        <v>219</v>
      </c>
      <c r="E271" s="10">
        <v>1673.7950000000001</v>
      </c>
      <c r="F271" s="10">
        <v>1762.93</v>
      </c>
      <c r="G271" s="10">
        <v>1728.98</v>
      </c>
      <c r="H271" s="5" t="str">
        <f t="shared" si="4"/>
        <v>Ramanathapuram_THIRUVADANAI_R.S.MANGALAM</v>
      </c>
    </row>
    <row r="272" spans="1:8">
      <c r="A272" s="8">
        <v>270</v>
      </c>
      <c r="B272" s="9" t="s">
        <v>249</v>
      </c>
      <c r="C272" s="9" t="s">
        <v>218</v>
      </c>
      <c r="D272" s="9" t="s">
        <v>218</v>
      </c>
      <c r="E272" s="10">
        <v>26865.544999999998</v>
      </c>
      <c r="F272" s="10">
        <v>26882.345000000001</v>
      </c>
      <c r="G272" s="10">
        <v>26850.07</v>
      </c>
      <c r="H272" s="5" t="str">
        <f t="shared" si="4"/>
        <v>Ramanathapuram_THIRUVADANAI_THIRUVADANAI</v>
      </c>
    </row>
    <row r="273" spans="1:8">
      <c r="A273" s="8">
        <v>271</v>
      </c>
      <c r="B273" s="9" t="s">
        <v>490</v>
      </c>
      <c r="C273" s="9" t="s">
        <v>491</v>
      </c>
      <c r="D273" s="9" t="s">
        <v>491</v>
      </c>
      <c r="E273" s="10">
        <v>8269.4500000000007</v>
      </c>
      <c r="F273" s="10">
        <v>8280.1200000000008</v>
      </c>
      <c r="G273" s="10">
        <v>6949.8050000000003</v>
      </c>
      <c r="H273" s="5" t="str">
        <f t="shared" si="4"/>
        <v>Ranipet_ARAKONAM_ARAKONAM</v>
      </c>
    </row>
    <row r="274" spans="1:8">
      <c r="A274" s="8">
        <v>272</v>
      </c>
      <c r="B274" s="9" t="s">
        <v>490</v>
      </c>
      <c r="C274" s="9" t="s">
        <v>491</v>
      </c>
      <c r="D274" s="9" t="s">
        <v>492</v>
      </c>
      <c r="E274" s="10">
        <v>3832.0549999999998</v>
      </c>
      <c r="F274" s="10">
        <v>3909.1149999999998</v>
      </c>
      <c r="G274" s="10">
        <v>3647.7550000000001</v>
      </c>
      <c r="H274" s="5" t="str">
        <f t="shared" si="4"/>
        <v>Ranipet_ARAKONAM_NEMELI</v>
      </c>
    </row>
    <row r="275" spans="1:8">
      <c r="A275" s="8">
        <v>273</v>
      </c>
      <c r="B275" s="9" t="s">
        <v>490</v>
      </c>
      <c r="C275" s="9" t="s">
        <v>24</v>
      </c>
      <c r="D275" s="9" t="s">
        <v>24</v>
      </c>
      <c r="E275" s="10">
        <v>4810.42</v>
      </c>
      <c r="F275" s="10">
        <v>4504.1850000000004</v>
      </c>
      <c r="G275" s="10">
        <v>4115.8100000000004</v>
      </c>
      <c r="H275" s="5" t="str">
        <f t="shared" si="4"/>
        <v>Ranipet_ARCOT_ARCOT</v>
      </c>
    </row>
    <row r="276" spans="1:8">
      <c r="A276" s="8">
        <v>274</v>
      </c>
      <c r="B276" s="9" t="s">
        <v>490</v>
      </c>
      <c r="C276" s="9" t="s">
        <v>24</v>
      </c>
      <c r="D276" s="9" t="s">
        <v>493</v>
      </c>
      <c r="E276" s="10">
        <v>5062.3</v>
      </c>
      <c r="F276" s="10">
        <v>4209.6499999999996</v>
      </c>
      <c r="G276" s="10">
        <v>4763.08</v>
      </c>
      <c r="H276" s="5" t="str">
        <f t="shared" si="4"/>
        <v>Ranipet_ARCOT_THIMIRI</v>
      </c>
    </row>
    <row r="277" spans="1:8">
      <c r="A277" s="8">
        <v>275</v>
      </c>
      <c r="B277" s="9" t="s">
        <v>490</v>
      </c>
      <c r="C277" s="9" t="s">
        <v>494</v>
      </c>
      <c r="D277" s="9" t="s">
        <v>493</v>
      </c>
      <c r="E277" s="10">
        <v>12930.39</v>
      </c>
      <c r="F277" s="10">
        <v>11122.16</v>
      </c>
      <c r="G277" s="10">
        <v>9455.2099999999991</v>
      </c>
      <c r="H277" s="5" t="str">
        <f t="shared" si="4"/>
        <v>Ranipet_KALAVAI_THIMIRI</v>
      </c>
    </row>
    <row r="278" spans="1:8">
      <c r="A278" s="8">
        <v>276</v>
      </c>
      <c r="B278" s="9" t="s">
        <v>490</v>
      </c>
      <c r="C278" s="9" t="s">
        <v>492</v>
      </c>
      <c r="D278" s="9" t="s">
        <v>16</v>
      </c>
      <c r="E278" s="10">
        <v>7710.56</v>
      </c>
      <c r="F278" s="10">
        <v>7394.25</v>
      </c>
      <c r="G278" s="10">
        <v>7044.37</v>
      </c>
      <c r="H278" s="5" t="str">
        <f t="shared" si="4"/>
        <v>Ranipet_NEMELI_KAVERIPAKKAM</v>
      </c>
    </row>
    <row r="279" spans="1:8">
      <c r="A279" s="8">
        <v>277</v>
      </c>
      <c r="B279" s="9" t="s">
        <v>490</v>
      </c>
      <c r="C279" s="9" t="s">
        <v>492</v>
      </c>
      <c r="D279" s="9" t="s">
        <v>492</v>
      </c>
      <c r="E279" s="10">
        <v>13105.135</v>
      </c>
      <c r="F279" s="10">
        <v>12779.665000000001</v>
      </c>
      <c r="G279" s="10">
        <v>12033.965</v>
      </c>
      <c r="H279" s="5" t="str">
        <f t="shared" si="4"/>
        <v>Ranipet_NEMELI_NEMELI</v>
      </c>
    </row>
    <row r="280" spans="1:8">
      <c r="A280" s="8">
        <v>278</v>
      </c>
      <c r="B280" s="9" t="s">
        <v>490</v>
      </c>
      <c r="C280" s="9" t="s">
        <v>495</v>
      </c>
      <c r="D280" s="9" t="s">
        <v>16</v>
      </c>
      <c r="E280" s="10">
        <v>1374.2</v>
      </c>
      <c r="F280" s="10">
        <v>1306.7</v>
      </c>
      <c r="G280" s="10">
        <v>1379.22</v>
      </c>
      <c r="H280" s="5" t="str">
        <f t="shared" si="4"/>
        <v>Ranipet_SHOLINGHUR_KAVERIPAKKAM</v>
      </c>
    </row>
    <row r="281" spans="1:8">
      <c r="A281" s="8">
        <v>279</v>
      </c>
      <c r="B281" s="9" t="s">
        <v>490</v>
      </c>
      <c r="C281" s="9" t="s">
        <v>495</v>
      </c>
      <c r="D281" s="9" t="s">
        <v>21</v>
      </c>
      <c r="E281" s="10">
        <v>12556.8</v>
      </c>
      <c r="F281" s="10">
        <v>12370.15</v>
      </c>
      <c r="G281" s="10">
        <v>11680.184999999999</v>
      </c>
      <c r="H281" s="5" t="str">
        <f t="shared" si="4"/>
        <v>Ranipet_SHOLINGHUR_SHOLINGAR</v>
      </c>
    </row>
    <row r="282" spans="1:8">
      <c r="A282" s="8">
        <v>280</v>
      </c>
      <c r="B282" s="9" t="s">
        <v>490</v>
      </c>
      <c r="C282" s="9" t="s">
        <v>496</v>
      </c>
      <c r="D282" s="9" t="s">
        <v>24</v>
      </c>
      <c r="E282" s="10">
        <v>2587.15</v>
      </c>
      <c r="F282" s="10">
        <v>2502.7600000000002</v>
      </c>
      <c r="G282" s="10">
        <v>2227.0500000000002</v>
      </c>
      <c r="H282" s="5" t="str">
        <f t="shared" si="4"/>
        <v>Ranipet_WALAJAH_ARCOT</v>
      </c>
    </row>
    <row r="283" spans="1:8">
      <c r="A283" s="8">
        <v>281</v>
      </c>
      <c r="B283" s="9" t="s">
        <v>490</v>
      </c>
      <c r="C283" s="9" t="s">
        <v>496</v>
      </c>
      <c r="D283" s="9" t="s">
        <v>496</v>
      </c>
      <c r="E283" s="10">
        <v>6843.3</v>
      </c>
      <c r="F283" s="10">
        <v>6051.21</v>
      </c>
      <c r="G283" s="10">
        <v>6123.8850000000002</v>
      </c>
      <c r="H283" s="5" t="str">
        <f t="shared" si="4"/>
        <v>Ranipet_WALAJAH_WALAJAH</v>
      </c>
    </row>
    <row r="284" spans="1:8">
      <c r="A284" s="8">
        <v>282</v>
      </c>
      <c r="B284" s="9" t="s">
        <v>233</v>
      </c>
      <c r="C284" s="9" t="s">
        <v>292</v>
      </c>
      <c r="D284" s="9" t="s">
        <v>292</v>
      </c>
      <c r="E284" s="10">
        <v>18276.419999999998</v>
      </c>
      <c r="F284" s="10">
        <v>18458.599999999999</v>
      </c>
      <c r="G284" s="10">
        <v>17424.71</v>
      </c>
      <c r="H284" s="5" t="str">
        <f t="shared" si="4"/>
        <v>Salem_ATTUR_ATTUR</v>
      </c>
    </row>
    <row r="285" spans="1:8">
      <c r="A285" s="8">
        <v>283</v>
      </c>
      <c r="B285" s="9" t="s">
        <v>233</v>
      </c>
      <c r="C285" s="9" t="s">
        <v>293</v>
      </c>
      <c r="D285" s="9" t="s">
        <v>293</v>
      </c>
      <c r="E285" s="10">
        <v>18551.505000000001</v>
      </c>
      <c r="F285" s="10">
        <v>18154.68</v>
      </c>
      <c r="G285" s="10">
        <v>17668.922999999999</v>
      </c>
      <c r="H285" s="5" t="str">
        <f t="shared" si="4"/>
        <v>Salem_EDAPPADI_EDAPPADI</v>
      </c>
    </row>
    <row r="286" spans="1:8">
      <c r="A286" s="8">
        <v>284</v>
      </c>
      <c r="B286" s="9" t="s">
        <v>233</v>
      </c>
      <c r="C286" s="9" t="s">
        <v>293</v>
      </c>
      <c r="D286" s="9" t="s">
        <v>106</v>
      </c>
      <c r="E286" s="10">
        <v>11821.51</v>
      </c>
      <c r="F286" s="10">
        <v>11550.63</v>
      </c>
      <c r="G286" s="10">
        <v>11892.13</v>
      </c>
      <c r="H286" s="5" t="str">
        <f t="shared" si="4"/>
        <v>Salem_EDAPPADI_KONGANAPURAM</v>
      </c>
    </row>
    <row r="287" spans="1:8">
      <c r="A287" s="8">
        <v>285</v>
      </c>
      <c r="B287" s="9" t="s">
        <v>233</v>
      </c>
      <c r="C287" s="9" t="s">
        <v>294</v>
      </c>
      <c r="D287" s="9" t="s">
        <v>294</v>
      </c>
      <c r="E287" s="10">
        <v>23435.13</v>
      </c>
      <c r="F287" s="10">
        <v>22650.48</v>
      </c>
      <c r="G287" s="10">
        <v>22197.68</v>
      </c>
      <c r="H287" s="5" t="str">
        <f t="shared" si="4"/>
        <v>Salem_GANGAVALLI_GANGAVALLI</v>
      </c>
    </row>
    <row r="288" spans="1:8">
      <c r="A288" s="8">
        <v>286</v>
      </c>
      <c r="B288" s="9" t="s">
        <v>233</v>
      </c>
      <c r="C288" s="9" t="s">
        <v>295</v>
      </c>
      <c r="D288" s="9" t="s">
        <v>295</v>
      </c>
      <c r="E288" s="10">
        <v>16983.8</v>
      </c>
      <c r="F288" s="10">
        <v>17424.400000000001</v>
      </c>
      <c r="G288" s="10">
        <v>17883.099999999999</v>
      </c>
      <c r="H288" s="5" t="str">
        <f t="shared" si="4"/>
        <v>Salem_KADAYAMPATTI_KADAYAMPATTI</v>
      </c>
    </row>
    <row r="289" spans="1:8">
      <c r="A289" s="8">
        <v>287</v>
      </c>
      <c r="B289" s="9" t="s">
        <v>233</v>
      </c>
      <c r="C289" s="9" t="s">
        <v>295</v>
      </c>
      <c r="D289" s="9" t="s">
        <v>104</v>
      </c>
      <c r="E289" s="10">
        <v>2209.5</v>
      </c>
      <c r="F289" s="10">
        <v>2391.1999999999998</v>
      </c>
      <c r="G289" s="10">
        <v>2604.41</v>
      </c>
      <c r="H289" s="5" t="str">
        <f t="shared" si="4"/>
        <v>Salem_KADAYAMPATTI_OMALUR</v>
      </c>
    </row>
    <row r="290" spans="1:8">
      <c r="A290" s="8">
        <v>288</v>
      </c>
      <c r="B290" s="9" t="s">
        <v>233</v>
      </c>
      <c r="C290" s="9" t="s">
        <v>296</v>
      </c>
      <c r="D290" s="9" t="s">
        <v>103</v>
      </c>
      <c r="E290" s="10">
        <v>15999.34</v>
      </c>
      <c r="F290" s="10">
        <v>17640.14</v>
      </c>
      <c r="G290" s="10">
        <v>18293.509999999998</v>
      </c>
      <c r="H290" s="5" t="str">
        <f t="shared" si="4"/>
        <v>Salem_METTUR_KOLATHUR</v>
      </c>
    </row>
    <row r="291" spans="1:8">
      <c r="A291" s="8">
        <v>289</v>
      </c>
      <c r="B291" s="9" t="s">
        <v>233</v>
      </c>
      <c r="C291" s="9" t="s">
        <v>296</v>
      </c>
      <c r="D291" s="9" t="s">
        <v>101</v>
      </c>
      <c r="E291" s="10">
        <v>14688.3</v>
      </c>
      <c r="F291" s="10">
        <v>14634.4</v>
      </c>
      <c r="G291" s="10">
        <v>15820.865</v>
      </c>
      <c r="H291" s="5" t="str">
        <f t="shared" si="4"/>
        <v>Salem_METTUR_MECHERI</v>
      </c>
    </row>
    <row r="292" spans="1:8">
      <c r="A292" s="8">
        <v>290</v>
      </c>
      <c r="B292" s="9" t="s">
        <v>233</v>
      </c>
      <c r="C292" s="9" t="s">
        <v>296</v>
      </c>
      <c r="D292" s="9" t="s">
        <v>102</v>
      </c>
      <c r="E292" s="10">
        <v>11666.82</v>
      </c>
      <c r="F292" s="10">
        <v>11846.3</v>
      </c>
      <c r="G292" s="10">
        <v>12253.32</v>
      </c>
      <c r="H292" s="5" t="str">
        <f t="shared" si="4"/>
        <v>Salem_METTUR_NANGAVALLI</v>
      </c>
    </row>
    <row r="293" spans="1:8">
      <c r="A293" s="8">
        <v>291</v>
      </c>
      <c r="B293" s="9" t="s">
        <v>233</v>
      </c>
      <c r="C293" s="9" t="s">
        <v>104</v>
      </c>
      <c r="D293" s="9" t="s">
        <v>104</v>
      </c>
      <c r="E293" s="10">
        <v>13862.84</v>
      </c>
      <c r="F293" s="10">
        <v>13278.3</v>
      </c>
      <c r="G293" s="10">
        <v>13761.125</v>
      </c>
      <c r="H293" s="5" t="str">
        <f t="shared" si="4"/>
        <v>Salem_OMALUR_OMALUR</v>
      </c>
    </row>
    <row r="294" spans="1:8">
      <c r="A294" s="8">
        <v>292</v>
      </c>
      <c r="B294" s="9" t="s">
        <v>233</v>
      </c>
      <c r="C294" s="9" t="s">
        <v>104</v>
      </c>
      <c r="D294" s="9" t="s">
        <v>105</v>
      </c>
      <c r="E294" s="10">
        <v>12545.92</v>
      </c>
      <c r="F294" s="10">
        <v>12404.53</v>
      </c>
      <c r="G294" s="10">
        <v>11885.6</v>
      </c>
      <c r="H294" s="5" t="str">
        <f t="shared" si="4"/>
        <v>Salem_OMALUR_THARAMANGALAM</v>
      </c>
    </row>
    <row r="295" spans="1:8">
      <c r="A295" s="8">
        <v>293</v>
      </c>
      <c r="B295" s="9" t="s">
        <v>233</v>
      </c>
      <c r="C295" s="9" t="s">
        <v>297</v>
      </c>
      <c r="D295" s="9" t="s">
        <v>297</v>
      </c>
      <c r="E295" s="10">
        <v>26405.360000000001</v>
      </c>
      <c r="F295" s="10">
        <v>24134.45</v>
      </c>
      <c r="G295" s="10">
        <v>23951.85</v>
      </c>
      <c r="H295" s="5" t="str">
        <f t="shared" si="4"/>
        <v>Salem_PETHANAICKANPALAYAM_PETHANAICKANPALAYAM</v>
      </c>
    </row>
    <row r="296" spans="1:8">
      <c r="A296" s="8">
        <v>294</v>
      </c>
      <c r="B296" s="9" t="s">
        <v>233</v>
      </c>
      <c r="C296" s="9" t="s">
        <v>97</v>
      </c>
      <c r="D296" s="9" t="s">
        <v>298</v>
      </c>
      <c r="E296" s="10">
        <v>5489.3</v>
      </c>
      <c r="F296" s="10">
        <v>5656.09</v>
      </c>
      <c r="G296" s="10">
        <v>5211.17</v>
      </c>
      <c r="H296" s="5" t="str">
        <f t="shared" si="4"/>
        <v>Salem_SALEM_AYOTHIYAPPATTINAM</v>
      </c>
    </row>
    <row r="297" spans="1:8">
      <c r="A297" s="8">
        <v>295</v>
      </c>
      <c r="B297" s="9" t="s">
        <v>233</v>
      </c>
      <c r="C297" s="9" t="s">
        <v>97</v>
      </c>
      <c r="D297" s="9" t="s">
        <v>299</v>
      </c>
      <c r="E297" s="10">
        <v>7241.98</v>
      </c>
      <c r="F297" s="10">
        <v>7477.17</v>
      </c>
      <c r="G297" s="10">
        <v>6635.64</v>
      </c>
      <c r="H297" s="5" t="str">
        <f t="shared" si="4"/>
        <v>Salem_SALEM_PANAMARATHUPPATTI</v>
      </c>
    </row>
    <row r="298" spans="1:8">
      <c r="A298" s="8">
        <v>296</v>
      </c>
      <c r="B298" s="9" t="s">
        <v>233</v>
      </c>
      <c r="C298" s="9" t="s">
        <v>97</v>
      </c>
      <c r="D298" s="9" t="s">
        <v>97</v>
      </c>
      <c r="E298" s="10">
        <v>909.84500000000003</v>
      </c>
      <c r="F298" s="10">
        <v>900.06500000000005</v>
      </c>
      <c r="G298" s="10">
        <v>916.77499999999998</v>
      </c>
      <c r="H298" s="5" t="str">
        <f t="shared" si="4"/>
        <v>Salem_SALEM_SALEM</v>
      </c>
    </row>
    <row r="299" spans="1:8">
      <c r="A299" s="8">
        <v>297</v>
      </c>
      <c r="B299" s="9" t="s">
        <v>233</v>
      </c>
      <c r="C299" s="9" t="s">
        <v>300</v>
      </c>
      <c r="D299" s="9" t="s">
        <v>299</v>
      </c>
      <c r="E299" s="10">
        <v>1753.89</v>
      </c>
      <c r="F299" s="10">
        <v>1680.87</v>
      </c>
      <c r="G299" s="10">
        <v>1697.18</v>
      </c>
      <c r="H299" s="5" t="str">
        <f t="shared" si="4"/>
        <v>Salem_SALEM SOUTH_PANAMARATHUPPATTI</v>
      </c>
    </row>
    <row r="300" spans="1:8">
      <c r="A300" s="8">
        <v>298</v>
      </c>
      <c r="B300" s="9" t="s">
        <v>233</v>
      </c>
      <c r="C300" s="9" t="s">
        <v>300</v>
      </c>
      <c r="D300" s="9" t="s">
        <v>97</v>
      </c>
      <c r="E300" s="10">
        <v>64.905000000000001</v>
      </c>
      <c r="F300" s="10">
        <v>29.5</v>
      </c>
      <c r="G300" s="10">
        <v>31</v>
      </c>
      <c r="H300" s="5" t="str">
        <f t="shared" si="4"/>
        <v>Salem_SALEM SOUTH_SALEM</v>
      </c>
    </row>
    <row r="301" spans="1:8">
      <c r="A301" s="8">
        <v>299</v>
      </c>
      <c r="B301" s="9" t="s">
        <v>233</v>
      </c>
      <c r="C301" s="9" t="s">
        <v>300</v>
      </c>
      <c r="D301" s="9" t="s">
        <v>98</v>
      </c>
      <c r="E301" s="10">
        <v>6182.98</v>
      </c>
      <c r="F301" s="10">
        <v>6464.69</v>
      </c>
      <c r="G301" s="10">
        <v>6357.585</v>
      </c>
      <c r="H301" s="5" t="str">
        <f t="shared" si="4"/>
        <v>Salem_SALEM SOUTH_VEERAPANDI</v>
      </c>
    </row>
    <row r="302" spans="1:8">
      <c r="A302" s="8">
        <v>300</v>
      </c>
      <c r="B302" s="9" t="s">
        <v>233</v>
      </c>
      <c r="C302" s="9" t="s">
        <v>301</v>
      </c>
      <c r="D302" s="9" t="s">
        <v>97</v>
      </c>
      <c r="E302" s="10">
        <v>1953.865</v>
      </c>
      <c r="F302" s="10">
        <v>1927.575</v>
      </c>
      <c r="G302" s="10">
        <v>2068.87</v>
      </c>
      <c r="H302" s="5" t="str">
        <f t="shared" si="4"/>
        <v>Salem_SALEM WEST_SALEM</v>
      </c>
    </row>
    <row r="303" spans="1:8">
      <c r="A303" s="8">
        <v>301</v>
      </c>
      <c r="B303" s="9" t="s">
        <v>233</v>
      </c>
      <c r="C303" s="9" t="s">
        <v>301</v>
      </c>
      <c r="D303" s="9" t="s">
        <v>98</v>
      </c>
      <c r="E303" s="10">
        <v>1778.395</v>
      </c>
      <c r="F303" s="10">
        <v>2161.94</v>
      </c>
      <c r="G303" s="10">
        <v>2229.4499999999998</v>
      </c>
      <c r="H303" s="5" t="str">
        <f t="shared" si="4"/>
        <v>Salem_SALEM WEST_VEERAPANDI</v>
      </c>
    </row>
    <row r="304" spans="1:8">
      <c r="A304" s="8">
        <v>302</v>
      </c>
      <c r="B304" s="9" t="s">
        <v>233</v>
      </c>
      <c r="C304" s="9" t="s">
        <v>302</v>
      </c>
      <c r="D304" s="9" t="s">
        <v>107</v>
      </c>
      <c r="E304" s="10">
        <v>11294.99</v>
      </c>
      <c r="F304" s="10">
        <v>11501.08</v>
      </c>
      <c r="G304" s="10">
        <v>11641.014999999999</v>
      </c>
      <c r="H304" s="5" t="str">
        <f t="shared" si="4"/>
        <v>Salem_SANKARI_MAGUDANCHAVADI</v>
      </c>
    </row>
    <row r="305" spans="1:8">
      <c r="A305" s="8">
        <v>303</v>
      </c>
      <c r="B305" s="9" t="s">
        <v>233</v>
      </c>
      <c r="C305" s="9" t="s">
        <v>302</v>
      </c>
      <c r="D305" s="9" t="s">
        <v>302</v>
      </c>
      <c r="E305" s="10">
        <v>21029.31</v>
      </c>
      <c r="F305" s="10">
        <v>21053.81</v>
      </c>
      <c r="G305" s="10">
        <v>24085.485000000001</v>
      </c>
      <c r="H305" s="5" t="str">
        <f t="shared" si="4"/>
        <v>Salem_SANKARI_SANKARI</v>
      </c>
    </row>
    <row r="306" spans="1:8">
      <c r="A306" s="8">
        <v>304</v>
      </c>
      <c r="B306" s="9" t="s">
        <v>233</v>
      </c>
      <c r="C306" s="9" t="s">
        <v>100</v>
      </c>
      <c r="D306" s="9" t="s">
        <v>100</v>
      </c>
      <c r="E306" s="10">
        <v>26465.01</v>
      </c>
      <c r="F306" s="10">
        <v>24212.799999999999</v>
      </c>
      <c r="G306" s="10">
        <v>25568.7</v>
      </c>
      <c r="H306" s="5" t="str">
        <f t="shared" si="4"/>
        <v>Salem_THALAIVASAL_THALAIVASAL</v>
      </c>
    </row>
    <row r="307" spans="1:8">
      <c r="A307" s="8">
        <v>305</v>
      </c>
      <c r="B307" s="9" t="s">
        <v>233</v>
      </c>
      <c r="C307" s="9" t="s">
        <v>303</v>
      </c>
      <c r="D307" s="9" t="s">
        <v>298</v>
      </c>
      <c r="E307" s="10">
        <v>9779.5</v>
      </c>
      <c r="F307" s="10">
        <v>10161.9</v>
      </c>
      <c r="G307" s="10">
        <v>10590.7</v>
      </c>
      <c r="H307" s="5" t="str">
        <f t="shared" si="4"/>
        <v>Salem_VAZHAPPADI_AYOTHIYAPPATTINAM</v>
      </c>
    </row>
    <row r="308" spans="1:8">
      <c r="A308" s="8">
        <v>306</v>
      </c>
      <c r="B308" s="9" t="s">
        <v>233</v>
      </c>
      <c r="C308" s="9" t="s">
        <v>303</v>
      </c>
      <c r="D308" s="9" t="s">
        <v>303</v>
      </c>
      <c r="E308" s="10">
        <v>14840.49</v>
      </c>
      <c r="F308" s="10">
        <v>13071.5</v>
      </c>
      <c r="G308" s="10">
        <v>13154.91</v>
      </c>
      <c r="H308" s="5" t="str">
        <f t="shared" si="4"/>
        <v>Salem_VAZHAPPADI_VAZHAPPADI</v>
      </c>
    </row>
    <row r="309" spans="1:8">
      <c r="A309" s="8">
        <v>307</v>
      </c>
      <c r="B309" s="9" t="s">
        <v>233</v>
      </c>
      <c r="C309" s="9" t="s">
        <v>99</v>
      </c>
      <c r="D309" s="9" t="s">
        <v>99</v>
      </c>
      <c r="E309" s="10">
        <v>17066.400000000001</v>
      </c>
      <c r="F309" s="10">
        <v>17531</v>
      </c>
      <c r="G309" s="10">
        <v>17664.3</v>
      </c>
      <c r="H309" s="5" t="str">
        <f t="shared" si="4"/>
        <v>Salem_YERCAUD_YERCAUD</v>
      </c>
    </row>
    <row r="310" spans="1:8">
      <c r="A310" s="8">
        <v>308</v>
      </c>
      <c r="B310" s="9" t="s">
        <v>247</v>
      </c>
      <c r="C310" s="9" t="s">
        <v>207</v>
      </c>
      <c r="D310" s="9" t="s">
        <v>207</v>
      </c>
      <c r="E310" s="10">
        <v>13739.362999999999</v>
      </c>
      <c r="F310" s="10">
        <v>14095.355</v>
      </c>
      <c r="G310" s="10">
        <v>14144.828</v>
      </c>
      <c r="H310" s="5" t="str">
        <f t="shared" si="4"/>
        <v>Sivagangai_DEVAKOTTAI_DEVAKOTTAI</v>
      </c>
    </row>
    <row r="311" spans="1:8">
      <c r="A311" s="8">
        <v>309</v>
      </c>
      <c r="B311" s="9" t="s">
        <v>247</v>
      </c>
      <c r="C311" s="9" t="s">
        <v>207</v>
      </c>
      <c r="D311" s="9" t="s">
        <v>410</v>
      </c>
      <c r="E311" s="10">
        <v>7323.8950000000004</v>
      </c>
      <c r="F311" s="10">
        <v>7292.375</v>
      </c>
      <c r="G311" s="10">
        <v>7337.835</v>
      </c>
      <c r="H311" s="5" t="str">
        <f t="shared" si="4"/>
        <v>Sivagangai_DEVAKOTTAI_KANNANGUDI</v>
      </c>
    </row>
    <row r="312" spans="1:8">
      <c r="A312" s="8">
        <v>310</v>
      </c>
      <c r="B312" s="9" t="s">
        <v>247</v>
      </c>
      <c r="C312" s="9" t="s">
        <v>411</v>
      </c>
      <c r="D312" s="9" t="s">
        <v>411</v>
      </c>
      <c r="E312" s="10">
        <v>22210.008000000002</v>
      </c>
      <c r="F312" s="10">
        <v>22075.054</v>
      </c>
      <c r="G312" s="10">
        <v>21963.969000000001</v>
      </c>
      <c r="H312" s="5" t="str">
        <f t="shared" si="4"/>
        <v>Sivagangai_ILAYANGUDI_ILAYANGUDI</v>
      </c>
    </row>
    <row r="313" spans="1:8">
      <c r="A313" s="8">
        <v>311</v>
      </c>
      <c r="B313" s="9" t="s">
        <v>247</v>
      </c>
      <c r="C313" s="9" t="s">
        <v>205</v>
      </c>
      <c r="D313" s="9" t="s">
        <v>411</v>
      </c>
      <c r="E313" s="10">
        <v>353.21499999999997</v>
      </c>
      <c r="F313" s="10">
        <v>358.92</v>
      </c>
      <c r="G313" s="10">
        <v>363.05500000000001</v>
      </c>
      <c r="H313" s="5" t="str">
        <f t="shared" si="4"/>
        <v>Sivagangai_KALAYARKOIL_ILAYANGUDI</v>
      </c>
    </row>
    <row r="314" spans="1:8">
      <c r="A314" s="8">
        <v>312</v>
      </c>
      <c r="B314" s="9" t="s">
        <v>247</v>
      </c>
      <c r="C314" s="9" t="s">
        <v>205</v>
      </c>
      <c r="D314" s="9" t="s">
        <v>205</v>
      </c>
      <c r="E314" s="10">
        <v>15599.15</v>
      </c>
      <c r="F314" s="10">
        <v>15569.045</v>
      </c>
      <c r="G314" s="10">
        <v>15639.116</v>
      </c>
      <c r="H314" s="5" t="str">
        <f t="shared" si="4"/>
        <v>Sivagangai_KALAYARKOIL_KALAYARKOIL</v>
      </c>
    </row>
    <row r="315" spans="1:8">
      <c r="A315" s="8">
        <v>313</v>
      </c>
      <c r="B315" s="9" t="s">
        <v>247</v>
      </c>
      <c r="C315" s="9" t="s">
        <v>205</v>
      </c>
      <c r="D315" s="9" t="s">
        <v>202</v>
      </c>
      <c r="E315" s="10">
        <v>199.01499999999999</v>
      </c>
      <c r="F315" s="10">
        <v>202.72</v>
      </c>
      <c r="G315" s="10">
        <v>217.73</v>
      </c>
      <c r="H315" s="5" t="str">
        <f t="shared" si="4"/>
        <v>Sivagangai_KALAYARKOIL_KALLAL</v>
      </c>
    </row>
    <row r="316" spans="1:8">
      <c r="A316" s="8">
        <v>314</v>
      </c>
      <c r="B316" s="9" t="s">
        <v>247</v>
      </c>
      <c r="C316" s="9" t="s">
        <v>205</v>
      </c>
      <c r="D316" s="9" t="s">
        <v>412</v>
      </c>
      <c r="E316" s="10">
        <v>456.73</v>
      </c>
      <c r="F316" s="10">
        <v>451.76499999999999</v>
      </c>
      <c r="G316" s="10">
        <v>450.505</v>
      </c>
      <c r="H316" s="5" t="str">
        <f t="shared" si="4"/>
        <v>Sivagangai_KALAYARKOIL_MANAMADURAI</v>
      </c>
    </row>
    <row r="317" spans="1:8">
      <c r="A317" s="8">
        <v>315</v>
      </c>
      <c r="B317" s="9" t="s">
        <v>247</v>
      </c>
      <c r="C317" s="9" t="s">
        <v>413</v>
      </c>
      <c r="D317" s="9" t="s">
        <v>205</v>
      </c>
      <c r="E317" s="10">
        <v>40.121000000000002</v>
      </c>
      <c r="F317" s="10">
        <v>60.17</v>
      </c>
      <c r="G317" s="10">
        <v>70.814999999999998</v>
      </c>
      <c r="H317" s="5" t="str">
        <f t="shared" si="4"/>
        <v>Sivagangai_KARAIKUDI_KALAYARKOIL</v>
      </c>
    </row>
    <row r="318" spans="1:8">
      <c r="A318" s="8">
        <v>316</v>
      </c>
      <c r="B318" s="9" t="s">
        <v>247</v>
      </c>
      <c r="C318" s="9" t="s">
        <v>413</v>
      </c>
      <c r="D318" s="9" t="s">
        <v>202</v>
      </c>
      <c r="E318" s="10">
        <v>3538.8</v>
      </c>
      <c r="F318" s="10">
        <v>3503.99</v>
      </c>
      <c r="G318" s="10">
        <v>3426.3150000000001</v>
      </c>
      <c r="H318" s="5" t="str">
        <f t="shared" si="4"/>
        <v>Sivagangai_KARAIKUDI_KALLAL</v>
      </c>
    </row>
    <row r="319" spans="1:8">
      <c r="A319" s="8">
        <v>317</v>
      </c>
      <c r="B319" s="9" t="s">
        <v>247</v>
      </c>
      <c r="C319" s="9" t="s">
        <v>413</v>
      </c>
      <c r="D319" s="9" t="s">
        <v>203</v>
      </c>
      <c r="E319" s="10">
        <v>6239.24</v>
      </c>
      <c r="F319" s="10">
        <v>6698.3149999999996</v>
      </c>
      <c r="G319" s="10">
        <v>6838.6949999999997</v>
      </c>
      <c r="H319" s="5" t="str">
        <f t="shared" si="4"/>
        <v>Sivagangai_KARAIKUDI_SAKKOTTAI</v>
      </c>
    </row>
    <row r="320" spans="1:8">
      <c r="A320" s="8">
        <v>318</v>
      </c>
      <c r="B320" s="9" t="s">
        <v>247</v>
      </c>
      <c r="C320" s="9" t="s">
        <v>412</v>
      </c>
      <c r="D320" s="9" t="s">
        <v>411</v>
      </c>
      <c r="E320" s="10">
        <v>508.63</v>
      </c>
      <c r="F320" s="10">
        <v>512.38499999999999</v>
      </c>
      <c r="G320" s="10">
        <v>535.57000000000005</v>
      </c>
      <c r="H320" s="5" t="str">
        <f t="shared" si="4"/>
        <v>Sivagangai_MANAMADURAI_ILAYANGUDI</v>
      </c>
    </row>
    <row r="321" spans="1:8">
      <c r="A321" s="8">
        <v>319</v>
      </c>
      <c r="B321" s="9" t="s">
        <v>247</v>
      </c>
      <c r="C321" s="9" t="s">
        <v>412</v>
      </c>
      <c r="D321" s="9" t="s">
        <v>412</v>
      </c>
      <c r="E321" s="10">
        <v>7415.9650000000001</v>
      </c>
      <c r="F321" s="10">
        <v>7234.4</v>
      </c>
      <c r="G321" s="10">
        <v>6960.53</v>
      </c>
      <c r="H321" s="5" t="str">
        <f t="shared" si="4"/>
        <v>Sivagangai_MANAMADURAI_MANAMADURAI</v>
      </c>
    </row>
    <row r="322" spans="1:8">
      <c r="A322" s="8">
        <v>320</v>
      </c>
      <c r="B322" s="9" t="s">
        <v>247</v>
      </c>
      <c r="C322" s="9" t="s">
        <v>412</v>
      </c>
      <c r="D322" s="9" t="s">
        <v>414</v>
      </c>
      <c r="E322" s="10">
        <v>414.88</v>
      </c>
      <c r="F322" s="10">
        <v>451.67500000000001</v>
      </c>
      <c r="G322" s="10">
        <v>410.85500000000002</v>
      </c>
      <c r="H322" s="5" t="str">
        <f t="shared" si="4"/>
        <v>Sivagangai_MANAMADURAI_THIRUPPUVANAM</v>
      </c>
    </row>
    <row r="323" spans="1:8">
      <c r="A323" s="8">
        <v>321</v>
      </c>
      <c r="B323" s="9" t="s">
        <v>247</v>
      </c>
      <c r="C323" s="9" t="s">
        <v>415</v>
      </c>
      <c r="D323" s="9" t="s">
        <v>416</v>
      </c>
      <c r="E323" s="10">
        <v>4426.67</v>
      </c>
      <c r="F323" s="10">
        <v>4388.5600000000004</v>
      </c>
      <c r="G323" s="10">
        <v>4215.835</v>
      </c>
      <c r="H323" s="5" t="str">
        <f t="shared" si="4"/>
        <v>Sivagangai_SINGAMPUNARI_S.PUDHUR</v>
      </c>
    </row>
    <row r="324" spans="1:8">
      <c r="A324" s="8">
        <v>322</v>
      </c>
      <c r="B324" s="9" t="s">
        <v>247</v>
      </c>
      <c r="C324" s="9" t="s">
        <v>415</v>
      </c>
      <c r="D324" s="9" t="s">
        <v>415</v>
      </c>
      <c r="E324" s="10">
        <v>4830.9799999999996</v>
      </c>
      <c r="F324" s="10">
        <v>3883.9949999999999</v>
      </c>
      <c r="G324" s="10">
        <v>4683.67</v>
      </c>
      <c r="H324" s="5" t="str">
        <f t="shared" ref="H324:H387" si="5">CONCATENATE(B324,"_",C324,"_",D324)</f>
        <v>Sivagangai_SINGAMPUNARI_SINGAMPUNARI</v>
      </c>
    </row>
    <row r="325" spans="1:8">
      <c r="A325" s="8">
        <v>323</v>
      </c>
      <c r="B325" s="9" t="s">
        <v>247</v>
      </c>
      <c r="C325" s="9" t="s">
        <v>206</v>
      </c>
      <c r="D325" s="9" t="s">
        <v>205</v>
      </c>
      <c r="E325" s="10">
        <v>1168.3820000000001</v>
      </c>
      <c r="F325" s="10">
        <v>1026.8399999999999</v>
      </c>
      <c r="G325" s="10">
        <v>1192.27</v>
      </c>
      <c r="H325" s="5" t="str">
        <f t="shared" si="5"/>
        <v>Sivagangai_SIVAGANGAI_KALAYARKOIL</v>
      </c>
    </row>
    <row r="326" spans="1:8">
      <c r="A326" s="8">
        <v>324</v>
      </c>
      <c r="B326" s="9" t="s">
        <v>247</v>
      </c>
      <c r="C326" s="9" t="s">
        <v>206</v>
      </c>
      <c r="D326" s="9" t="s">
        <v>202</v>
      </c>
      <c r="E326" s="10">
        <v>65.66</v>
      </c>
      <c r="F326" s="10">
        <v>64.59</v>
      </c>
      <c r="G326" s="10">
        <v>126.27</v>
      </c>
      <c r="H326" s="5" t="str">
        <f t="shared" si="5"/>
        <v>Sivagangai_SIVAGANGAI_KALLAL</v>
      </c>
    </row>
    <row r="327" spans="1:8">
      <c r="A327" s="8">
        <v>325</v>
      </c>
      <c r="B327" s="9" t="s">
        <v>247</v>
      </c>
      <c r="C327" s="9" t="s">
        <v>206</v>
      </c>
      <c r="D327" s="9" t="s">
        <v>412</v>
      </c>
      <c r="E327" s="10">
        <v>1037.375</v>
      </c>
      <c r="F327" s="10">
        <v>976.88499999999999</v>
      </c>
      <c r="G327" s="10">
        <v>1003.54</v>
      </c>
      <c r="H327" s="5" t="str">
        <f t="shared" si="5"/>
        <v>Sivagangai_SIVAGANGAI_MANAMADURAI</v>
      </c>
    </row>
    <row r="328" spans="1:8">
      <c r="A328" s="8">
        <v>326</v>
      </c>
      <c r="B328" s="9" t="s">
        <v>247</v>
      </c>
      <c r="C328" s="9" t="s">
        <v>206</v>
      </c>
      <c r="D328" s="9" t="s">
        <v>206</v>
      </c>
      <c r="E328" s="10">
        <v>5973.8950000000004</v>
      </c>
      <c r="F328" s="10">
        <v>5081.6000000000004</v>
      </c>
      <c r="G328" s="10">
        <v>6143.23</v>
      </c>
      <c r="H328" s="5" t="str">
        <f t="shared" si="5"/>
        <v>Sivagangai_SIVAGANGAI_SIVAGANGAI</v>
      </c>
    </row>
    <row r="329" spans="1:8">
      <c r="A329" s="8">
        <v>327</v>
      </c>
      <c r="B329" s="9" t="s">
        <v>247</v>
      </c>
      <c r="C329" s="9" t="s">
        <v>206</v>
      </c>
      <c r="D329" s="9" t="s">
        <v>414</v>
      </c>
      <c r="E329" s="10">
        <v>658.34500000000003</v>
      </c>
      <c r="F329" s="10">
        <v>674.35500000000002</v>
      </c>
      <c r="G329" s="10">
        <v>665.89</v>
      </c>
      <c r="H329" s="5" t="str">
        <f t="shared" si="5"/>
        <v>Sivagangai_SIVAGANGAI_THIRUPPUVANAM</v>
      </c>
    </row>
    <row r="330" spans="1:8">
      <c r="A330" s="8">
        <v>328</v>
      </c>
      <c r="B330" s="9" t="s">
        <v>247</v>
      </c>
      <c r="C330" s="9" t="s">
        <v>417</v>
      </c>
      <c r="D330" s="9" t="s">
        <v>202</v>
      </c>
      <c r="E330" s="10">
        <v>1606.7650000000001</v>
      </c>
      <c r="F330" s="10">
        <v>1416.9</v>
      </c>
      <c r="G330" s="10">
        <v>1785.54</v>
      </c>
      <c r="H330" s="5" t="str">
        <f t="shared" si="5"/>
        <v>Sivagangai_THIRUPPATHUR_KALLAL</v>
      </c>
    </row>
    <row r="331" spans="1:8">
      <c r="A331" s="8">
        <v>329</v>
      </c>
      <c r="B331" s="9" t="s">
        <v>247</v>
      </c>
      <c r="C331" s="9" t="s">
        <v>417</v>
      </c>
      <c r="D331" s="9" t="s">
        <v>203</v>
      </c>
      <c r="E331" s="10">
        <v>51.18</v>
      </c>
      <c r="F331" s="10">
        <v>49.935000000000002</v>
      </c>
      <c r="G331" s="10">
        <v>62.52</v>
      </c>
      <c r="H331" s="5" t="str">
        <f t="shared" si="5"/>
        <v>Sivagangai_THIRUPPATHUR_SAKKOTTAI</v>
      </c>
    </row>
    <row r="332" spans="1:8">
      <c r="A332" s="8">
        <v>330</v>
      </c>
      <c r="B332" s="9" t="s">
        <v>247</v>
      </c>
      <c r="C332" s="9" t="s">
        <v>417</v>
      </c>
      <c r="D332" s="9" t="s">
        <v>204</v>
      </c>
      <c r="E332" s="10">
        <v>5045.2749999999996</v>
      </c>
      <c r="F332" s="10">
        <v>4168.8249999999998</v>
      </c>
      <c r="G332" s="10">
        <v>5252.24</v>
      </c>
      <c r="H332" s="5" t="str">
        <f t="shared" si="5"/>
        <v>Sivagangai_THIRUPPATHUR_THIRUPATHUR</v>
      </c>
    </row>
    <row r="333" spans="1:8">
      <c r="A333" s="8">
        <v>331</v>
      </c>
      <c r="B333" s="9" t="s">
        <v>247</v>
      </c>
      <c r="C333" s="9" t="s">
        <v>414</v>
      </c>
      <c r="D333" s="9" t="s">
        <v>206</v>
      </c>
      <c r="E333" s="10">
        <v>42.64</v>
      </c>
      <c r="F333" s="10">
        <v>18.984999999999999</v>
      </c>
      <c r="G333" s="10">
        <v>24.625</v>
      </c>
      <c r="H333" s="5" t="str">
        <f t="shared" si="5"/>
        <v>Sivagangai_THIRUPPUVANAM_SIVAGANGAI</v>
      </c>
    </row>
    <row r="334" spans="1:8">
      <c r="A334" s="8">
        <v>332</v>
      </c>
      <c r="B334" s="9" t="s">
        <v>247</v>
      </c>
      <c r="C334" s="9" t="s">
        <v>414</v>
      </c>
      <c r="D334" s="9" t="s">
        <v>414</v>
      </c>
      <c r="E334" s="10">
        <v>7232.6540000000005</v>
      </c>
      <c r="F334" s="10">
        <v>6753.125</v>
      </c>
      <c r="G334" s="10">
        <v>6951.415</v>
      </c>
      <c r="H334" s="5" t="str">
        <f t="shared" si="5"/>
        <v>Sivagangai_THIRUPPUVANAM_THIRUPPUVANAM</v>
      </c>
    </row>
    <row r="335" spans="1:8">
      <c r="A335" s="8">
        <v>333</v>
      </c>
      <c r="B335" s="9" t="s">
        <v>246</v>
      </c>
      <c r="C335" s="9" t="s">
        <v>187</v>
      </c>
      <c r="D335" s="9" t="s">
        <v>187</v>
      </c>
      <c r="E335" s="10">
        <v>6205.55</v>
      </c>
      <c r="F335" s="10">
        <v>5965.01</v>
      </c>
      <c r="G335" s="10">
        <v>4063.875</v>
      </c>
      <c r="H335" s="5" t="str">
        <f t="shared" si="5"/>
        <v>Tenkasi_ALANKULAM_ALANKULAM</v>
      </c>
    </row>
    <row r="336" spans="1:8">
      <c r="A336" s="8">
        <v>334</v>
      </c>
      <c r="B336" s="9" t="s">
        <v>246</v>
      </c>
      <c r="C336" s="9" t="s">
        <v>187</v>
      </c>
      <c r="D336" s="9" t="s">
        <v>191</v>
      </c>
      <c r="E336" s="10">
        <v>1786.6</v>
      </c>
      <c r="F336" s="10">
        <v>1555.155</v>
      </c>
      <c r="G336" s="10">
        <v>1182.1199999999999</v>
      </c>
      <c r="H336" s="5" t="str">
        <f t="shared" si="5"/>
        <v>Tenkasi_ALANKULAM_KADAYAM</v>
      </c>
    </row>
    <row r="337" spans="1:8">
      <c r="A337" s="8">
        <v>335</v>
      </c>
      <c r="B337" s="9" t="s">
        <v>246</v>
      </c>
      <c r="C337" s="9" t="s">
        <v>187</v>
      </c>
      <c r="D337" s="9" t="s">
        <v>503</v>
      </c>
      <c r="E337" s="10">
        <v>3260.23</v>
      </c>
      <c r="F337" s="10">
        <v>3095.75</v>
      </c>
      <c r="G337" s="10">
        <v>2307.41</v>
      </c>
      <c r="H337" s="5" t="str">
        <f t="shared" si="5"/>
        <v>Tenkasi_ALANKULAM_KEELPAVOOR</v>
      </c>
    </row>
    <row r="338" spans="1:8">
      <c r="A338" s="8">
        <v>336</v>
      </c>
      <c r="B338" s="9" t="s">
        <v>246</v>
      </c>
      <c r="C338" s="9" t="s">
        <v>186</v>
      </c>
      <c r="D338" s="9" t="s">
        <v>186</v>
      </c>
      <c r="E338" s="10">
        <v>9162.2150000000001</v>
      </c>
      <c r="F338" s="10">
        <v>9050.3700000000008</v>
      </c>
      <c r="G338" s="10">
        <v>8620.9950000000008</v>
      </c>
      <c r="H338" s="5" t="str">
        <f t="shared" si="5"/>
        <v>Tenkasi_KADAYANALLUR_KADAYANALLUR</v>
      </c>
    </row>
    <row r="339" spans="1:8">
      <c r="A339" s="8">
        <v>337</v>
      </c>
      <c r="B339" s="9" t="s">
        <v>246</v>
      </c>
      <c r="C339" s="9" t="s">
        <v>186</v>
      </c>
      <c r="D339" s="9" t="s">
        <v>196</v>
      </c>
      <c r="E339" s="10">
        <v>1460.42</v>
      </c>
      <c r="F339" s="10">
        <v>922.92</v>
      </c>
      <c r="G339" s="10">
        <v>874.245</v>
      </c>
      <c r="H339" s="5" t="str">
        <f t="shared" si="5"/>
        <v>Tenkasi_KADAYANALLUR_MELANEELITHANALLUR</v>
      </c>
    </row>
    <row r="340" spans="1:8">
      <c r="A340" s="8">
        <v>338</v>
      </c>
      <c r="B340" s="9" t="s">
        <v>246</v>
      </c>
      <c r="C340" s="9" t="s">
        <v>186</v>
      </c>
      <c r="D340" s="9" t="s">
        <v>194</v>
      </c>
      <c r="E340" s="10">
        <v>1069.22</v>
      </c>
      <c r="F340" s="10">
        <v>1042.075</v>
      </c>
      <c r="G340" s="10">
        <v>1373.5250000000001</v>
      </c>
      <c r="H340" s="5" t="str">
        <f t="shared" si="5"/>
        <v>Tenkasi_KADAYANALLUR_SANKARANKOIL</v>
      </c>
    </row>
    <row r="341" spans="1:8">
      <c r="A341" s="8">
        <v>339</v>
      </c>
      <c r="B341" s="9" t="s">
        <v>246</v>
      </c>
      <c r="C341" s="9" t="s">
        <v>186</v>
      </c>
      <c r="D341" s="9" t="s">
        <v>188</v>
      </c>
      <c r="E341" s="10">
        <v>2708.46</v>
      </c>
      <c r="F341" s="10">
        <v>2364.9499999999998</v>
      </c>
      <c r="G341" s="10">
        <v>2284.7150000000001</v>
      </c>
      <c r="H341" s="5" t="str">
        <f t="shared" si="5"/>
        <v>Tenkasi_KADAYANALLUR_SHENKOTTAI</v>
      </c>
    </row>
    <row r="342" spans="1:8">
      <c r="A342" s="8">
        <v>340</v>
      </c>
      <c r="B342" s="9" t="s">
        <v>246</v>
      </c>
      <c r="C342" s="9" t="s">
        <v>186</v>
      </c>
      <c r="D342" s="9" t="s">
        <v>197</v>
      </c>
      <c r="E342" s="10">
        <v>6268.67</v>
      </c>
      <c r="F342" s="10">
        <v>5984.34</v>
      </c>
      <c r="G342" s="10">
        <v>5885.4949999999999</v>
      </c>
      <c r="H342" s="5" t="str">
        <f t="shared" si="5"/>
        <v>Tenkasi_KADAYANALLUR_VASUDEVANALLUR</v>
      </c>
    </row>
    <row r="343" spans="1:8">
      <c r="A343" s="8">
        <v>341</v>
      </c>
      <c r="B343" s="9" t="s">
        <v>246</v>
      </c>
      <c r="C343" s="9" t="s">
        <v>504</v>
      </c>
      <c r="D343" s="9" t="s">
        <v>196</v>
      </c>
      <c r="E343" s="10">
        <v>9578.1049999999996</v>
      </c>
      <c r="F343" s="10">
        <v>8516.89</v>
      </c>
      <c r="G343" s="10">
        <v>8749.52</v>
      </c>
      <c r="H343" s="5" t="str">
        <f t="shared" si="5"/>
        <v>Tenkasi_SANKARANKOVIL_MELANEELITHANALLUR</v>
      </c>
    </row>
    <row r="344" spans="1:8">
      <c r="A344" s="8">
        <v>342</v>
      </c>
      <c r="B344" s="9" t="s">
        <v>246</v>
      </c>
      <c r="C344" s="9" t="s">
        <v>504</v>
      </c>
      <c r="D344" s="9" t="s">
        <v>194</v>
      </c>
      <c r="E344" s="10">
        <v>13126.58</v>
      </c>
      <c r="F344" s="10">
        <v>12239.254999999999</v>
      </c>
      <c r="G344" s="10">
        <v>11420.388000000001</v>
      </c>
      <c r="H344" s="5" t="str">
        <f t="shared" si="5"/>
        <v>Tenkasi_SANKARANKOVIL_SANKARANKOIL</v>
      </c>
    </row>
    <row r="345" spans="1:8">
      <c r="A345" s="8">
        <v>343</v>
      </c>
      <c r="B345" s="9" t="s">
        <v>246</v>
      </c>
      <c r="C345" s="9" t="s">
        <v>505</v>
      </c>
      <c r="D345" s="9" t="s">
        <v>186</v>
      </c>
      <c r="E345" s="10">
        <v>293.91500000000002</v>
      </c>
      <c r="F345" s="10">
        <v>265.94</v>
      </c>
      <c r="G345" s="10">
        <v>230.89500000000001</v>
      </c>
      <c r="H345" s="5" t="str">
        <f t="shared" si="5"/>
        <v>Tenkasi_SENKOTTAI_KADAYANALLUR</v>
      </c>
    </row>
    <row r="346" spans="1:8">
      <c r="A346" s="8">
        <v>344</v>
      </c>
      <c r="B346" s="9" t="s">
        <v>246</v>
      </c>
      <c r="C346" s="9" t="s">
        <v>505</v>
      </c>
      <c r="D346" s="9" t="s">
        <v>188</v>
      </c>
      <c r="E346" s="10">
        <v>5398.76</v>
      </c>
      <c r="F346" s="10">
        <v>4736.7</v>
      </c>
      <c r="G346" s="10">
        <v>4960.5</v>
      </c>
      <c r="H346" s="5" t="str">
        <f t="shared" si="5"/>
        <v>Tenkasi_SENKOTTAI_SHENKOTTAI</v>
      </c>
    </row>
    <row r="347" spans="1:8">
      <c r="A347" s="8">
        <v>345</v>
      </c>
      <c r="B347" s="9" t="s">
        <v>246</v>
      </c>
      <c r="C347" s="9" t="s">
        <v>505</v>
      </c>
      <c r="D347" s="9" t="s">
        <v>185</v>
      </c>
      <c r="E347" s="10">
        <v>4791.55</v>
      </c>
      <c r="F347" s="10">
        <v>4295.8500000000004</v>
      </c>
      <c r="G347" s="10">
        <v>4144.5810000000001</v>
      </c>
      <c r="H347" s="5" t="str">
        <f t="shared" si="5"/>
        <v>Tenkasi_SENKOTTAI_TENKASI</v>
      </c>
    </row>
    <row r="348" spans="1:8">
      <c r="A348" s="8">
        <v>346</v>
      </c>
      <c r="B348" s="9" t="s">
        <v>246</v>
      </c>
      <c r="C348" s="9" t="s">
        <v>506</v>
      </c>
      <c r="D348" s="9" t="s">
        <v>197</v>
      </c>
      <c r="E348" s="10">
        <v>17611.564999999999</v>
      </c>
      <c r="F348" s="10">
        <v>15818.6</v>
      </c>
      <c r="G348" s="10">
        <v>15050.215</v>
      </c>
      <c r="H348" s="5" t="str">
        <f t="shared" si="5"/>
        <v>Tenkasi_SIVAGIRI_VASUDEVANALLUR</v>
      </c>
    </row>
    <row r="349" spans="1:8">
      <c r="A349" s="8">
        <v>347</v>
      </c>
      <c r="B349" s="9" t="s">
        <v>246</v>
      </c>
      <c r="C349" s="9" t="s">
        <v>507</v>
      </c>
      <c r="D349" s="9" t="s">
        <v>191</v>
      </c>
      <c r="E349" s="10">
        <v>6712.8850000000002</v>
      </c>
      <c r="F349" s="10">
        <v>5712.9449999999997</v>
      </c>
      <c r="G349" s="10">
        <v>5762.54</v>
      </c>
      <c r="H349" s="5" t="str">
        <f t="shared" si="5"/>
        <v>Tenkasi_THENKASI_KADAYAM</v>
      </c>
    </row>
    <row r="350" spans="1:8">
      <c r="A350" s="8">
        <v>348</v>
      </c>
      <c r="B350" s="9" t="s">
        <v>246</v>
      </c>
      <c r="C350" s="9" t="s">
        <v>507</v>
      </c>
      <c r="D350" s="9" t="s">
        <v>503</v>
      </c>
      <c r="E350" s="10">
        <v>2286.2249999999999</v>
      </c>
      <c r="F350" s="10">
        <v>2269.46</v>
      </c>
      <c r="G350" s="10">
        <v>2192.52</v>
      </c>
      <c r="H350" s="5" t="str">
        <f t="shared" si="5"/>
        <v>Tenkasi_THENKASI_KEELPAVOOR</v>
      </c>
    </row>
    <row r="351" spans="1:8">
      <c r="A351" s="8">
        <v>349</v>
      </c>
      <c r="B351" s="9" t="s">
        <v>246</v>
      </c>
      <c r="C351" s="9" t="s">
        <v>507</v>
      </c>
      <c r="D351" s="9" t="s">
        <v>185</v>
      </c>
      <c r="E351" s="10">
        <v>4795.5749999999998</v>
      </c>
      <c r="F351" s="10">
        <v>4562.12</v>
      </c>
      <c r="G351" s="10">
        <v>4527.49</v>
      </c>
      <c r="H351" s="5" t="str">
        <f t="shared" si="5"/>
        <v>Tenkasi_THENKASI_TENKASI</v>
      </c>
    </row>
    <row r="352" spans="1:8">
      <c r="A352" s="8">
        <v>350</v>
      </c>
      <c r="B352" s="9" t="s">
        <v>246</v>
      </c>
      <c r="C352" s="9" t="s">
        <v>508</v>
      </c>
      <c r="D352" s="9" t="s">
        <v>195</v>
      </c>
      <c r="E352" s="10">
        <v>21735.125</v>
      </c>
      <c r="F352" s="10">
        <v>21660.15</v>
      </c>
      <c r="G352" s="10">
        <v>21912.637999999999</v>
      </c>
      <c r="H352" s="5" t="str">
        <f t="shared" si="5"/>
        <v>Tenkasi_THIRUVENGADAM_KURUVIKULAM</v>
      </c>
    </row>
    <row r="353" spans="1:8">
      <c r="A353" s="8">
        <v>351</v>
      </c>
      <c r="B353" s="9" t="s">
        <v>246</v>
      </c>
      <c r="C353" s="9" t="s">
        <v>508</v>
      </c>
      <c r="D353" s="9" t="s">
        <v>196</v>
      </c>
      <c r="E353" s="10">
        <v>2365.1</v>
      </c>
      <c r="F353" s="10">
        <v>2476.8049999999998</v>
      </c>
      <c r="G353" s="10">
        <v>2388.9050000000002</v>
      </c>
      <c r="H353" s="5" t="str">
        <f t="shared" si="5"/>
        <v>Tenkasi_THIRUVENGADAM_MELANEELITHANALLUR</v>
      </c>
    </row>
    <row r="354" spans="1:8">
      <c r="A354" s="8">
        <v>352</v>
      </c>
      <c r="B354" s="9" t="s">
        <v>246</v>
      </c>
      <c r="C354" s="9" t="s">
        <v>509</v>
      </c>
      <c r="D354" s="9" t="s">
        <v>187</v>
      </c>
      <c r="E354" s="10">
        <v>11404.44</v>
      </c>
      <c r="F354" s="10">
        <v>10601.305</v>
      </c>
      <c r="G354" s="10">
        <v>10264.67</v>
      </c>
      <c r="H354" s="5" t="str">
        <f t="shared" si="5"/>
        <v>Tenkasi_VEERAKERALAMPUDUR_ALANKULAM</v>
      </c>
    </row>
    <row r="355" spans="1:8">
      <c r="A355" s="8">
        <v>353</v>
      </c>
      <c r="B355" s="9" t="s">
        <v>246</v>
      </c>
      <c r="C355" s="9" t="s">
        <v>509</v>
      </c>
      <c r="D355" s="9" t="s">
        <v>186</v>
      </c>
      <c r="E355" s="10">
        <v>944.04</v>
      </c>
      <c r="F355" s="10">
        <v>904.60500000000002</v>
      </c>
      <c r="G355" s="10">
        <v>756.57500000000005</v>
      </c>
      <c r="H355" s="5" t="str">
        <f t="shared" si="5"/>
        <v>Tenkasi_VEERAKERALAMPUDUR_KADAYANALLUR</v>
      </c>
    </row>
    <row r="356" spans="1:8">
      <c r="A356" s="8">
        <v>354</v>
      </c>
      <c r="B356" s="9" t="s">
        <v>246</v>
      </c>
      <c r="C356" s="9" t="s">
        <v>509</v>
      </c>
      <c r="D356" s="9" t="s">
        <v>503</v>
      </c>
      <c r="E356" s="10">
        <v>2813.87</v>
      </c>
      <c r="F356" s="10">
        <v>2492.9650000000001</v>
      </c>
      <c r="G356" s="10">
        <v>2669.36</v>
      </c>
      <c r="H356" s="5" t="str">
        <f t="shared" si="5"/>
        <v>Tenkasi_VEERAKERALAMPUDUR_KEELPAVOOR</v>
      </c>
    </row>
    <row r="357" spans="1:8">
      <c r="A357" s="8">
        <v>355</v>
      </c>
      <c r="B357" s="9" t="s">
        <v>241</v>
      </c>
      <c r="C357" s="9" t="s">
        <v>393</v>
      </c>
      <c r="D357" s="9" t="s">
        <v>393</v>
      </c>
      <c r="E357" s="10">
        <v>14819.633</v>
      </c>
      <c r="F357" s="10">
        <v>10894.695</v>
      </c>
      <c r="G357" s="10">
        <v>17661.238000000001</v>
      </c>
      <c r="H357" s="5" t="str">
        <f t="shared" si="5"/>
        <v>Thanjavur_BUDALUR_BUDALUR</v>
      </c>
    </row>
    <row r="358" spans="1:8">
      <c r="A358" s="8">
        <v>356</v>
      </c>
      <c r="B358" s="9" t="s">
        <v>241</v>
      </c>
      <c r="C358" s="9" t="s">
        <v>393</v>
      </c>
      <c r="D358" s="9" t="s">
        <v>160</v>
      </c>
      <c r="E358" s="10">
        <v>1326.9749999999999</v>
      </c>
      <c r="F358" s="10">
        <v>1317.11</v>
      </c>
      <c r="G358" s="10">
        <v>2160.4250000000002</v>
      </c>
      <c r="H358" s="5" t="str">
        <f t="shared" si="5"/>
        <v>Thanjavur_BUDALUR_THANJAVUR</v>
      </c>
    </row>
    <row r="359" spans="1:8">
      <c r="A359" s="8">
        <v>357</v>
      </c>
      <c r="B359" s="9" t="s">
        <v>241</v>
      </c>
      <c r="C359" s="9" t="s">
        <v>393</v>
      </c>
      <c r="D359" s="9" t="s">
        <v>394</v>
      </c>
      <c r="E359" s="10">
        <v>2429.2550000000001</v>
      </c>
      <c r="F359" s="10">
        <v>2551.83</v>
      </c>
      <c r="G359" s="10">
        <v>2863.05</v>
      </c>
      <c r="H359" s="5" t="str">
        <f t="shared" si="5"/>
        <v>Thanjavur_BUDALUR_THIRUVAIYARU</v>
      </c>
    </row>
    <row r="360" spans="1:8">
      <c r="A360" s="8">
        <v>358</v>
      </c>
      <c r="B360" s="9" t="s">
        <v>241</v>
      </c>
      <c r="C360" s="9" t="s">
        <v>164</v>
      </c>
      <c r="D360" s="9" t="s">
        <v>164</v>
      </c>
      <c r="E360" s="10">
        <v>14997.916999999999</v>
      </c>
      <c r="F360" s="10">
        <v>16054.391</v>
      </c>
      <c r="G360" s="10">
        <v>16816.490000000002</v>
      </c>
      <c r="H360" s="5" t="str">
        <f t="shared" si="5"/>
        <v>Thanjavur_KUMBAKONAM_KUMBAKONAM</v>
      </c>
    </row>
    <row r="361" spans="1:8">
      <c r="A361" s="8">
        <v>359</v>
      </c>
      <c r="B361" s="9" t="s">
        <v>241</v>
      </c>
      <c r="C361" s="9" t="s">
        <v>164</v>
      </c>
      <c r="D361" s="9" t="s">
        <v>395</v>
      </c>
      <c r="E361" s="10">
        <v>12729.602999999999</v>
      </c>
      <c r="F361" s="10">
        <v>14156.237999999999</v>
      </c>
      <c r="G361" s="10">
        <v>15249.829</v>
      </c>
      <c r="H361" s="5" t="str">
        <f t="shared" si="5"/>
        <v>Thanjavur_KUMBAKONAM_THIRUVIDAMARUDUR</v>
      </c>
    </row>
    <row r="362" spans="1:8">
      <c r="A362" s="8">
        <v>360</v>
      </c>
      <c r="B362" s="9" t="s">
        <v>241</v>
      </c>
      <c r="C362" s="9" t="s">
        <v>396</v>
      </c>
      <c r="D362" s="9" t="s">
        <v>163</v>
      </c>
      <c r="E362" s="10">
        <v>44042.184999999998</v>
      </c>
      <c r="F362" s="10">
        <v>45870.696000000004</v>
      </c>
      <c r="G362" s="10">
        <v>54557.457000000002</v>
      </c>
      <c r="H362" s="5" t="str">
        <f t="shared" si="5"/>
        <v>Thanjavur_ORATHANAD_ORATHANADU</v>
      </c>
    </row>
    <row r="363" spans="1:8">
      <c r="A363" s="8">
        <v>361</v>
      </c>
      <c r="B363" s="9" t="s">
        <v>241</v>
      </c>
      <c r="C363" s="9" t="s">
        <v>396</v>
      </c>
      <c r="D363" s="9" t="s">
        <v>397</v>
      </c>
      <c r="E363" s="10">
        <v>3391.4749999999999</v>
      </c>
      <c r="F363" s="10">
        <v>16235.42</v>
      </c>
      <c r="G363" s="10">
        <v>19098.758999999998</v>
      </c>
      <c r="H363" s="5" t="str">
        <f t="shared" si="5"/>
        <v>Thanjavur_ORATHANAD_THIRUVONAM</v>
      </c>
    </row>
    <row r="364" spans="1:8">
      <c r="A364" s="8">
        <v>362</v>
      </c>
      <c r="B364" s="9" t="s">
        <v>241</v>
      </c>
      <c r="C364" s="9" t="s">
        <v>159</v>
      </c>
      <c r="D364" s="9" t="s">
        <v>63</v>
      </c>
      <c r="E364" s="10">
        <v>34341.33</v>
      </c>
      <c r="F364" s="10">
        <v>34824.269</v>
      </c>
      <c r="G364" s="10">
        <v>38217.232000000004</v>
      </c>
      <c r="H364" s="5" t="str">
        <f t="shared" si="5"/>
        <v>Thanjavur_PAPANASAM_AMMAPETTAI</v>
      </c>
    </row>
    <row r="365" spans="1:8">
      <c r="A365" s="8">
        <v>363</v>
      </c>
      <c r="B365" s="9" t="s">
        <v>241</v>
      </c>
      <c r="C365" s="9" t="s">
        <v>159</v>
      </c>
      <c r="D365" s="9" t="s">
        <v>159</v>
      </c>
      <c r="E365" s="10">
        <v>10960.079</v>
      </c>
      <c r="F365" s="10">
        <v>11366.47</v>
      </c>
      <c r="G365" s="10">
        <v>11030.868</v>
      </c>
      <c r="H365" s="5" t="str">
        <f t="shared" si="5"/>
        <v>Thanjavur_PAPANASAM_PAPANASAM</v>
      </c>
    </row>
    <row r="366" spans="1:8">
      <c r="A366" s="8">
        <v>364</v>
      </c>
      <c r="B366" s="9" t="s">
        <v>241</v>
      </c>
      <c r="C366" s="9" t="s">
        <v>161</v>
      </c>
      <c r="D366" s="9" t="s">
        <v>162</v>
      </c>
      <c r="E366" s="10">
        <v>14287.815000000001</v>
      </c>
      <c r="F366" s="10">
        <v>15105.763999999999</v>
      </c>
      <c r="G366" s="10">
        <v>15443.382</v>
      </c>
      <c r="H366" s="5" t="str">
        <f t="shared" si="5"/>
        <v>Thanjavur_PATTUKOTTAI_MADUKKUR</v>
      </c>
    </row>
    <row r="367" spans="1:8">
      <c r="A367" s="8">
        <v>365</v>
      </c>
      <c r="B367" s="9" t="s">
        <v>241</v>
      </c>
      <c r="C367" s="9" t="s">
        <v>161</v>
      </c>
      <c r="D367" s="9" t="s">
        <v>398</v>
      </c>
      <c r="E367" s="10">
        <v>18870.2</v>
      </c>
      <c r="F367" s="10">
        <v>19065.388999999999</v>
      </c>
      <c r="G367" s="10">
        <v>19977.21</v>
      </c>
      <c r="H367" s="5" t="str">
        <f t="shared" si="5"/>
        <v>Thanjavur_PATTUKOTTAI_PATTUKKOTTAI</v>
      </c>
    </row>
    <row r="368" spans="1:8">
      <c r="A368" s="8">
        <v>366</v>
      </c>
      <c r="B368" s="9" t="s">
        <v>241</v>
      </c>
      <c r="C368" s="9" t="s">
        <v>161</v>
      </c>
      <c r="D368" s="9" t="s">
        <v>399</v>
      </c>
      <c r="E368" s="10">
        <v>7385.9160000000002</v>
      </c>
      <c r="F368" s="10">
        <v>8753.9050000000007</v>
      </c>
      <c r="G368" s="10">
        <v>9278.2999999999993</v>
      </c>
      <c r="H368" s="5" t="str">
        <f t="shared" si="5"/>
        <v>Thanjavur_PATTUKOTTAI_PERAVURANI</v>
      </c>
    </row>
    <row r="369" spans="1:8">
      <c r="A369" s="8">
        <v>367</v>
      </c>
      <c r="B369" s="9" t="s">
        <v>241</v>
      </c>
      <c r="C369" s="9" t="s">
        <v>161</v>
      </c>
      <c r="D369" s="9" t="s">
        <v>400</v>
      </c>
      <c r="E369" s="10">
        <v>4506.3999999999996</v>
      </c>
      <c r="F369" s="10">
        <v>4371.5069999999996</v>
      </c>
      <c r="G369" s="10">
        <v>4669.4549999999999</v>
      </c>
      <c r="H369" s="5" t="str">
        <f t="shared" si="5"/>
        <v>Thanjavur_PATTUKOTTAI_SETHUBAVACHATRAM</v>
      </c>
    </row>
    <row r="370" spans="1:8">
      <c r="A370" s="8">
        <v>368</v>
      </c>
      <c r="B370" s="9" t="s">
        <v>241</v>
      </c>
      <c r="C370" s="9" t="s">
        <v>161</v>
      </c>
      <c r="D370" s="9" t="s">
        <v>397</v>
      </c>
      <c r="E370" s="10">
        <v>1712.44</v>
      </c>
      <c r="F370" s="10">
        <v>3081.6350000000002</v>
      </c>
      <c r="G370" s="10">
        <v>3439.78</v>
      </c>
      <c r="H370" s="5" t="str">
        <f t="shared" si="5"/>
        <v>Thanjavur_PATTUKOTTAI_THIRUVONAM</v>
      </c>
    </row>
    <row r="371" spans="1:8">
      <c r="A371" s="8">
        <v>369</v>
      </c>
      <c r="B371" s="9" t="s">
        <v>241</v>
      </c>
      <c r="C371" s="9" t="s">
        <v>399</v>
      </c>
      <c r="D371" s="9" t="s">
        <v>399</v>
      </c>
      <c r="E371" s="10">
        <v>7648.5010000000002</v>
      </c>
      <c r="F371" s="10">
        <v>7274.5360000000001</v>
      </c>
      <c r="G371" s="10">
        <v>7707.09</v>
      </c>
      <c r="H371" s="5" t="str">
        <f t="shared" si="5"/>
        <v>Thanjavur_PERAVURANI_PERAVURANI</v>
      </c>
    </row>
    <row r="372" spans="1:8">
      <c r="A372" s="8">
        <v>370</v>
      </c>
      <c r="B372" s="9" t="s">
        <v>241</v>
      </c>
      <c r="C372" s="9" t="s">
        <v>399</v>
      </c>
      <c r="D372" s="9" t="s">
        <v>400</v>
      </c>
      <c r="E372" s="10">
        <v>10096.055</v>
      </c>
      <c r="F372" s="10">
        <v>9270.1790000000001</v>
      </c>
      <c r="G372" s="10">
        <v>10262.805</v>
      </c>
      <c r="H372" s="5" t="str">
        <f t="shared" si="5"/>
        <v>Thanjavur_PERAVURANI_SETHUBAVACHATRAM</v>
      </c>
    </row>
    <row r="373" spans="1:8">
      <c r="A373" s="8">
        <v>371</v>
      </c>
      <c r="B373" s="9" t="s">
        <v>241</v>
      </c>
      <c r="C373" s="9" t="s">
        <v>160</v>
      </c>
      <c r="D373" s="9" t="s">
        <v>160</v>
      </c>
      <c r="E373" s="10">
        <v>29433.324000000001</v>
      </c>
      <c r="F373" s="10">
        <v>31116.641</v>
      </c>
      <c r="G373" s="10">
        <v>34697.315999999999</v>
      </c>
      <c r="H373" s="5" t="str">
        <f t="shared" si="5"/>
        <v>Thanjavur_THANJAVUR_THANJAVUR</v>
      </c>
    </row>
    <row r="374" spans="1:8">
      <c r="A374" s="8">
        <v>372</v>
      </c>
      <c r="B374" s="9" t="s">
        <v>241</v>
      </c>
      <c r="C374" s="9" t="s">
        <v>394</v>
      </c>
      <c r="D374" s="9" t="s">
        <v>160</v>
      </c>
      <c r="E374" s="10">
        <v>2082.7170000000001</v>
      </c>
      <c r="F374" s="10">
        <v>2094.8069999999998</v>
      </c>
      <c r="G374" s="10">
        <v>2150.0459999999998</v>
      </c>
      <c r="H374" s="5" t="str">
        <f t="shared" si="5"/>
        <v>Thanjavur_THIRUVAIYARU_THANJAVUR</v>
      </c>
    </row>
    <row r="375" spans="1:8">
      <c r="A375" s="8">
        <v>373</v>
      </c>
      <c r="B375" s="9" t="s">
        <v>241</v>
      </c>
      <c r="C375" s="9" t="s">
        <v>394</v>
      </c>
      <c r="D375" s="9" t="s">
        <v>394</v>
      </c>
      <c r="E375" s="10">
        <v>13766.11</v>
      </c>
      <c r="F375" s="10">
        <v>14807.824000000001</v>
      </c>
      <c r="G375" s="10">
        <v>14527.375</v>
      </c>
      <c r="H375" s="5" t="str">
        <f t="shared" si="5"/>
        <v>Thanjavur_THIRUVAIYARU_THIRUVAIYARU</v>
      </c>
    </row>
    <row r="376" spans="1:8">
      <c r="A376" s="8">
        <v>374</v>
      </c>
      <c r="B376" s="9" t="s">
        <v>241</v>
      </c>
      <c r="C376" s="9" t="s">
        <v>401</v>
      </c>
      <c r="D376" s="9" t="s">
        <v>164</v>
      </c>
      <c r="E376" s="10">
        <v>2155.9749999999999</v>
      </c>
      <c r="F376" s="10">
        <v>2280</v>
      </c>
      <c r="G376" s="10">
        <v>2189.85</v>
      </c>
      <c r="H376" s="5" t="str">
        <f t="shared" si="5"/>
        <v>Thanjavur_THIRUVIDAIMARUTHUR_KUMBAKONAM</v>
      </c>
    </row>
    <row r="377" spans="1:8">
      <c r="A377" s="8">
        <v>375</v>
      </c>
      <c r="B377" s="9" t="s">
        <v>241</v>
      </c>
      <c r="C377" s="9" t="s">
        <v>401</v>
      </c>
      <c r="D377" s="9" t="s">
        <v>395</v>
      </c>
      <c r="E377" s="10">
        <v>8911.7549999999992</v>
      </c>
      <c r="F377" s="10">
        <v>9494.2250000000004</v>
      </c>
      <c r="G377" s="10">
        <v>10301.512000000001</v>
      </c>
      <c r="H377" s="5" t="str">
        <f t="shared" si="5"/>
        <v>Thanjavur_THIRUVIDAIMARUTHUR_THIRUVIDAMARUDUR</v>
      </c>
    </row>
    <row r="378" spans="1:8">
      <c r="A378" s="8">
        <v>376</v>
      </c>
      <c r="B378" s="9" t="s">
        <v>241</v>
      </c>
      <c r="C378" s="9" t="s">
        <v>401</v>
      </c>
      <c r="D378" s="9" t="s">
        <v>402</v>
      </c>
      <c r="E378" s="10">
        <v>21903.325000000001</v>
      </c>
      <c r="F378" s="10">
        <v>22807.09</v>
      </c>
      <c r="G378" s="10">
        <v>25034.904999999999</v>
      </c>
      <c r="H378" s="5" t="str">
        <f t="shared" si="5"/>
        <v>Thanjavur_THIRUVIDAIMARUTHUR_TIRUPPANANDAL</v>
      </c>
    </row>
    <row r="379" spans="1:8">
      <c r="A379" s="8">
        <v>377</v>
      </c>
      <c r="B379" s="9" t="s">
        <v>320</v>
      </c>
      <c r="C379" s="9" t="s">
        <v>321</v>
      </c>
      <c r="D379" s="9" t="s">
        <v>321</v>
      </c>
      <c r="E379" s="10">
        <v>13031.92</v>
      </c>
      <c r="F379" s="10">
        <v>12779.968000000001</v>
      </c>
      <c r="G379" s="10">
        <v>12566.936</v>
      </c>
      <c r="H379" s="5" t="str">
        <f t="shared" si="5"/>
        <v>The Nilgiris_COONOOR_COONOOR</v>
      </c>
    </row>
    <row r="380" spans="1:8">
      <c r="A380" s="8">
        <v>378</v>
      </c>
      <c r="B380" s="9" t="s">
        <v>320</v>
      </c>
      <c r="C380" s="9" t="s">
        <v>69</v>
      </c>
      <c r="D380" s="9" t="s">
        <v>69</v>
      </c>
      <c r="E380" s="10">
        <v>14061.047</v>
      </c>
      <c r="F380" s="10">
        <v>14069.272000000001</v>
      </c>
      <c r="G380" s="10">
        <v>14280.78</v>
      </c>
      <c r="H380" s="5" t="str">
        <f t="shared" si="5"/>
        <v>The Nilgiris_GUDALUR_GUDALUR</v>
      </c>
    </row>
    <row r="381" spans="1:8">
      <c r="A381" s="8">
        <v>379</v>
      </c>
      <c r="B381" s="9" t="s">
        <v>320</v>
      </c>
      <c r="C381" s="9" t="s">
        <v>322</v>
      </c>
      <c r="D381" s="9" t="s">
        <v>321</v>
      </c>
      <c r="E381" s="10">
        <v>754.14499999999998</v>
      </c>
      <c r="F381" s="10">
        <v>747.76199999999994</v>
      </c>
      <c r="G381" s="10">
        <v>770.23900000000003</v>
      </c>
      <c r="H381" s="5" t="str">
        <f t="shared" si="5"/>
        <v>The Nilgiris_KOTAGIRI_COONOOR</v>
      </c>
    </row>
    <row r="382" spans="1:8">
      <c r="A382" s="8">
        <v>380</v>
      </c>
      <c r="B382" s="9" t="s">
        <v>320</v>
      </c>
      <c r="C382" s="9" t="s">
        <v>322</v>
      </c>
      <c r="D382" s="9" t="s">
        <v>322</v>
      </c>
      <c r="E382" s="10">
        <v>12144.999</v>
      </c>
      <c r="F382" s="10">
        <v>12148.339</v>
      </c>
      <c r="G382" s="10">
        <v>12362.475</v>
      </c>
      <c r="H382" s="5" t="str">
        <f t="shared" si="5"/>
        <v>The Nilgiris_KOTAGIRI_KOTAGIRI</v>
      </c>
    </row>
    <row r="383" spans="1:8">
      <c r="A383" s="8">
        <v>381</v>
      </c>
      <c r="B383" s="9" t="s">
        <v>320</v>
      </c>
      <c r="C383" s="9" t="s">
        <v>323</v>
      </c>
      <c r="D383" s="9" t="s">
        <v>324</v>
      </c>
      <c r="E383" s="10">
        <v>7799.2979999999998</v>
      </c>
      <c r="F383" s="10">
        <v>7805.9279999999999</v>
      </c>
      <c r="G383" s="10">
        <v>7634.6289999999999</v>
      </c>
      <c r="H383" s="5" t="str">
        <f t="shared" si="5"/>
        <v>The Nilgiris_KUNDAH_UDHAGAMANDALAM</v>
      </c>
    </row>
    <row r="384" spans="1:8">
      <c r="A384" s="8">
        <v>382</v>
      </c>
      <c r="B384" s="9" t="s">
        <v>320</v>
      </c>
      <c r="C384" s="9" t="s">
        <v>325</v>
      </c>
      <c r="D384" s="9" t="s">
        <v>69</v>
      </c>
      <c r="E384" s="10">
        <v>12207.626</v>
      </c>
      <c r="F384" s="10">
        <v>12233.434999999999</v>
      </c>
      <c r="G384" s="10">
        <v>12338.904</v>
      </c>
      <c r="H384" s="5" t="str">
        <f t="shared" si="5"/>
        <v>The Nilgiris_PANDALUR_GUDALUR</v>
      </c>
    </row>
    <row r="385" spans="1:8">
      <c r="A385" s="8">
        <v>383</v>
      </c>
      <c r="B385" s="9" t="s">
        <v>320</v>
      </c>
      <c r="C385" s="9" t="s">
        <v>324</v>
      </c>
      <c r="D385" s="9" t="s">
        <v>69</v>
      </c>
      <c r="E385" s="10">
        <v>740.505</v>
      </c>
      <c r="F385" s="10">
        <v>751.72500000000002</v>
      </c>
      <c r="G385" s="10">
        <v>751.22</v>
      </c>
      <c r="H385" s="5" t="str">
        <f t="shared" si="5"/>
        <v>The Nilgiris_UDHAGAMANDALAM_GUDALUR</v>
      </c>
    </row>
    <row r="386" spans="1:8">
      <c r="A386" s="8">
        <v>384</v>
      </c>
      <c r="B386" s="9" t="s">
        <v>320</v>
      </c>
      <c r="C386" s="9" t="s">
        <v>324</v>
      </c>
      <c r="D386" s="9" t="s">
        <v>324</v>
      </c>
      <c r="E386" s="10">
        <v>14980.885</v>
      </c>
      <c r="F386" s="10">
        <v>14912.145</v>
      </c>
      <c r="G386" s="10">
        <v>15230.735000000001</v>
      </c>
      <c r="H386" s="5" t="str">
        <f t="shared" si="5"/>
        <v>The Nilgiris_UDHAGAMANDALAM_UDHAGAMANDALAM</v>
      </c>
    </row>
    <row r="387" spans="1:8">
      <c r="A387" s="8">
        <v>385</v>
      </c>
      <c r="B387" s="9" t="s">
        <v>240</v>
      </c>
      <c r="C387" s="9" t="s">
        <v>157</v>
      </c>
      <c r="D387" s="9" t="s">
        <v>157</v>
      </c>
      <c r="E387" s="10">
        <v>13682.555</v>
      </c>
      <c r="F387" s="10">
        <v>13900.516</v>
      </c>
      <c r="G387" s="10">
        <v>14255.826999999999</v>
      </c>
      <c r="H387" s="5" t="str">
        <f t="shared" si="5"/>
        <v>Theni_ANDIPATTI_ANDIPATTI</v>
      </c>
    </row>
    <row r="388" spans="1:8">
      <c r="A388" s="8">
        <v>386</v>
      </c>
      <c r="B388" s="9" t="s">
        <v>240</v>
      </c>
      <c r="C388" s="9" t="s">
        <v>157</v>
      </c>
      <c r="D388" s="9" t="s">
        <v>428</v>
      </c>
      <c r="E388" s="10">
        <v>14262.597</v>
      </c>
      <c r="F388" s="10">
        <v>14063.056</v>
      </c>
      <c r="G388" s="10">
        <v>14283.165000000001</v>
      </c>
      <c r="H388" s="5" t="str">
        <f t="shared" ref="H388:H451" si="6">CONCATENATE(B388,"_",C388,"_",D388)</f>
        <v>Theni_ANDIPATTI_K.MYLADUMPARAI</v>
      </c>
    </row>
    <row r="389" spans="1:8">
      <c r="A389" s="8">
        <v>387</v>
      </c>
      <c r="B389" s="9" t="s">
        <v>240</v>
      </c>
      <c r="C389" s="9" t="s">
        <v>429</v>
      </c>
      <c r="D389" s="9" t="s">
        <v>429</v>
      </c>
      <c r="E389" s="10">
        <v>17999.625</v>
      </c>
      <c r="F389" s="10">
        <v>18040.544999999998</v>
      </c>
      <c r="G389" s="10">
        <v>18694.474999999999</v>
      </c>
      <c r="H389" s="5" t="str">
        <f t="shared" si="6"/>
        <v>Theni_BODINAYAKANUR_BODINAYAKANUR</v>
      </c>
    </row>
    <row r="390" spans="1:8">
      <c r="A390" s="8">
        <v>388</v>
      </c>
      <c r="B390" s="9" t="s">
        <v>240</v>
      </c>
      <c r="C390" s="9" t="s">
        <v>430</v>
      </c>
      <c r="D390" s="9" t="s">
        <v>430</v>
      </c>
      <c r="E390" s="10">
        <v>17103.516</v>
      </c>
      <c r="F390" s="10">
        <v>17492.564999999999</v>
      </c>
      <c r="G390" s="10">
        <v>17892.86</v>
      </c>
      <c r="H390" s="5" t="str">
        <f t="shared" si="6"/>
        <v>Theni_PERIYAKULAM_PERIYAKULAM</v>
      </c>
    </row>
    <row r="391" spans="1:8">
      <c r="A391" s="8">
        <v>389</v>
      </c>
      <c r="B391" s="9" t="s">
        <v>240</v>
      </c>
      <c r="C391" s="9" t="s">
        <v>158</v>
      </c>
      <c r="D391" s="9" t="s">
        <v>158</v>
      </c>
      <c r="E391" s="10">
        <v>9438.7569999999996</v>
      </c>
      <c r="F391" s="10">
        <v>9621.1409999999996</v>
      </c>
      <c r="G391" s="10">
        <v>9437.4069999999992</v>
      </c>
      <c r="H391" s="5" t="str">
        <f t="shared" si="6"/>
        <v>Theni_THENI_THENI</v>
      </c>
    </row>
    <row r="392" spans="1:8">
      <c r="A392" s="8">
        <v>390</v>
      </c>
      <c r="B392" s="9" t="s">
        <v>240</v>
      </c>
      <c r="C392" s="9" t="s">
        <v>431</v>
      </c>
      <c r="D392" s="9" t="s">
        <v>432</v>
      </c>
      <c r="E392" s="10">
        <v>12169.53</v>
      </c>
      <c r="F392" s="10">
        <v>12948.59</v>
      </c>
      <c r="G392" s="10">
        <v>13224.8</v>
      </c>
      <c r="H392" s="5" t="str">
        <f t="shared" si="6"/>
        <v>Theni_UTHAMAPALAYAM_CHINNAMANUR</v>
      </c>
    </row>
    <row r="393" spans="1:8">
      <c r="A393" s="8">
        <v>391</v>
      </c>
      <c r="B393" s="9" t="s">
        <v>240</v>
      </c>
      <c r="C393" s="9" t="s">
        <v>431</v>
      </c>
      <c r="D393" s="9" t="s">
        <v>433</v>
      </c>
      <c r="E393" s="10">
        <v>16704.349999999999</v>
      </c>
      <c r="F393" s="10">
        <v>16192.43</v>
      </c>
      <c r="G393" s="10">
        <v>16233.385</v>
      </c>
      <c r="H393" s="5" t="str">
        <f t="shared" si="6"/>
        <v>Theni_UTHAMAPALAYAM_CUMBUM</v>
      </c>
    </row>
    <row r="394" spans="1:8">
      <c r="A394" s="8">
        <v>392</v>
      </c>
      <c r="B394" s="9" t="s">
        <v>240</v>
      </c>
      <c r="C394" s="9" t="s">
        <v>431</v>
      </c>
      <c r="D394" s="9" t="s">
        <v>431</v>
      </c>
      <c r="E394" s="10">
        <v>11979.42</v>
      </c>
      <c r="F394" s="10">
        <v>12192.385</v>
      </c>
      <c r="G394" s="10">
        <v>12046.975</v>
      </c>
      <c r="H394" s="5" t="str">
        <f t="shared" si="6"/>
        <v>Theni_UTHAMAPALAYAM_UTHAMAPALAYAM</v>
      </c>
    </row>
    <row r="395" spans="1:8">
      <c r="A395" s="8">
        <v>393</v>
      </c>
      <c r="B395" s="9" t="s">
        <v>470</v>
      </c>
      <c r="C395" s="9" t="s">
        <v>74</v>
      </c>
      <c r="D395" s="9" t="s">
        <v>74</v>
      </c>
      <c r="E395" s="10">
        <v>15500.834999999999</v>
      </c>
      <c r="F395" s="10">
        <v>15963.215</v>
      </c>
      <c r="G395" s="10">
        <v>15941.84</v>
      </c>
      <c r="H395" s="5" t="str">
        <f t="shared" si="6"/>
        <v>Thiruppur_AVINASHI_AVINASHI</v>
      </c>
    </row>
    <row r="396" spans="1:8">
      <c r="A396" s="8">
        <v>394</v>
      </c>
      <c r="B396" s="9" t="s">
        <v>470</v>
      </c>
      <c r="C396" s="9" t="s">
        <v>74</v>
      </c>
      <c r="D396" s="9" t="s">
        <v>471</v>
      </c>
      <c r="E396" s="10">
        <v>2957.84</v>
      </c>
      <c r="F396" s="10">
        <v>2945.9450000000002</v>
      </c>
      <c r="G396" s="10">
        <v>3211.79</v>
      </c>
      <c r="H396" s="5" t="str">
        <f t="shared" si="6"/>
        <v>Thiruppur_AVINASHI_THIRUPPUR</v>
      </c>
    </row>
    <row r="397" spans="1:8">
      <c r="A397" s="8">
        <v>395</v>
      </c>
      <c r="B397" s="9" t="s">
        <v>470</v>
      </c>
      <c r="C397" s="9" t="s">
        <v>57</v>
      </c>
      <c r="D397" s="9" t="s">
        <v>57</v>
      </c>
      <c r="E397" s="10">
        <v>20431.805</v>
      </c>
      <c r="F397" s="10">
        <v>19617.547999999999</v>
      </c>
      <c r="G397" s="10">
        <v>20677.282999999999</v>
      </c>
      <c r="H397" s="5" t="str">
        <f t="shared" si="6"/>
        <v>Thiruppur_DHARAPURAM_DHARAPURAM</v>
      </c>
    </row>
    <row r="398" spans="1:8">
      <c r="A398" s="8">
        <v>396</v>
      </c>
      <c r="B398" s="9" t="s">
        <v>470</v>
      </c>
      <c r="C398" s="9" t="s">
        <v>57</v>
      </c>
      <c r="D398" s="9" t="s">
        <v>58</v>
      </c>
      <c r="E398" s="10">
        <v>17837.400000000001</v>
      </c>
      <c r="F398" s="10">
        <v>18063.974999999999</v>
      </c>
      <c r="G398" s="10">
        <v>17031.02</v>
      </c>
      <c r="H398" s="5" t="str">
        <f t="shared" si="6"/>
        <v>Thiruppur_DHARAPURAM_KUNDADAM</v>
      </c>
    </row>
    <row r="399" spans="1:8">
      <c r="A399" s="8">
        <v>397</v>
      </c>
      <c r="B399" s="9" t="s">
        <v>470</v>
      </c>
      <c r="C399" s="9" t="s">
        <v>57</v>
      </c>
      <c r="D399" s="9" t="s">
        <v>472</v>
      </c>
      <c r="E399" s="10">
        <v>15770.22</v>
      </c>
      <c r="F399" s="10">
        <v>15358.53</v>
      </c>
      <c r="G399" s="10">
        <v>15312.92</v>
      </c>
      <c r="H399" s="5" t="str">
        <f t="shared" si="6"/>
        <v>Thiruppur_DHARAPURAM_MULANUR</v>
      </c>
    </row>
    <row r="400" spans="1:8">
      <c r="A400" s="8">
        <v>398</v>
      </c>
      <c r="B400" s="9" t="s">
        <v>470</v>
      </c>
      <c r="C400" s="9" t="s">
        <v>57</v>
      </c>
      <c r="D400" s="9" t="s">
        <v>67</v>
      </c>
      <c r="E400" s="10">
        <v>451.4</v>
      </c>
      <c r="F400" s="10">
        <v>442.76</v>
      </c>
      <c r="G400" s="10">
        <v>488.25</v>
      </c>
      <c r="H400" s="5" t="str">
        <f t="shared" si="6"/>
        <v>Thiruppur_DHARAPURAM_VELLAKOIL</v>
      </c>
    </row>
    <row r="401" spans="1:8">
      <c r="A401" s="8">
        <v>399</v>
      </c>
      <c r="B401" s="9" t="s">
        <v>470</v>
      </c>
      <c r="C401" s="9" t="s">
        <v>473</v>
      </c>
      <c r="D401" s="9" t="s">
        <v>68</v>
      </c>
      <c r="E401" s="10">
        <v>9086.7860000000001</v>
      </c>
      <c r="F401" s="10">
        <v>9192.67</v>
      </c>
      <c r="G401" s="10">
        <v>8977.3150000000005</v>
      </c>
      <c r="H401" s="5" t="str">
        <f t="shared" si="6"/>
        <v>Thiruppur_KANGAYAM_KANGEYAM</v>
      </c>
    </row>
    <row r="402" spans="1:8">
      <c r="A402" s="8">
        <v>400</v>
      </c>
      <c r="B402" s="9" t="s">
        <v>470</v>
      </c>
      <c r="C402" s="9" t="s">
        <v>473</v>
      </c>
      <c r="D402" s="9" t="s">
        <v>58</v>
      </c>
      <c r="E402" s="10">
        <v>3946.61</v>
      </c>
      <c r="F402" s="10">
        <v>4001.835</v>
      </c>
      <c r="G402" s="10">
        <v>3872.36</v>
      </c>
      <c r="H402" s="5" t="str">
        <f t="shared" si="6"/>
        <v>Thiruppur_KANGAYAM_KUNDADAM</v>
      </c>
    </row>
    <row r="403" spans="1:8">
      <c r="A403" s="8">
        <v>401</v>
      </c>
      <c r="B403" s="9" t="s">
        <v>470</v>
      </c>
      <c r="C403" s="9" t="s">
        <v>473</v>
      </c>
      <c r="D403" s="9" t="s">
        <v>67</v>
      </c>
      <c r="E403" s="10">
        <v>9618.31</v>
      </c>
      <c r="F403" s="10">
        <v>9360.1049999999996</v>
      </c>
      <c r="G403" s="10">
        <v>8438.0849999999991</v>
      </c>
      <c r="H403" s="5" t="str">
        <f t="shared" si="6"/>
        <v>Thiruppur_KANGAYAM_VELLAKOIL</v>
      </c>
    </row>
    <row r="404" spans="1:8">
      <c r="A404" s="8">
        <v>402</v>
      </c>
      <c r="B404" s="9" t="s">
        <v>470</v>
      </c>
      <c r="C404" s="9" t="s">
        <v>80</v>
      </c>
      <c r="D404" s="9" t="s">
        <v>80</v>
      </c>
      <c r="E404" s="10">
        <v>14813.525</v>
      </c>
      <c r="F404" s="10">
        <v>14374.36</v>
      </c>
      <c r="G404" s="10">
        <v>14691.315000000001</v>
      </c>
      <c r="H404" s="5" t="str">
        <f t="shared" si="6"/>
        <v>Thiruppur_MADATHUKULAM_MADATHUKULAM</v>
      </c>
    </row>
    <row r="405" spans="1:8">
      <c r="A405" s="8">
        <v>403</v>
      </c>
      <c r="B405" s="9" t="s">
        <v>470</v>
      </c>
      <c r="C405" s="9" t="s">
        <v>75</v>
      </c>
      <c r="D405" s="9" t="s">
        <v>75</v>
      </c>
      <c r="E405" s="10">
        <v>8234.4</v>
      </c>
      <c r="F405" s="10">
        <v>8070.79</v>
      </c>
      <c r="G405" s="10">
        <v>8197.07</v>
      </c>
      <c r="H405" s="5" t="str">
        <f t="shared" si="6"/>
        <v>Thiruppur_PALLADAM_PALLADAM</v>
      </c>
    </row>
    <row r="406" spans="1:8">
      <c r="A406" s="8">
        <v>404</v>
      </c>
      <c r="B406" s="9" t="s">
        <v>470</v>
      </c>
      <c r="C406" s="9" t="s">
        <v>75</v>
      </c>
      <c r="D406" s="9" t="s">
        <v>76</v>
      </c>
      <c r="E406" s="10">
        <v>8104.18</v>
      </c>
      <c r="F406" s="10">
        <v>7607.6450000000004</v>
      </c>
      <c r="G406" s="10">
        <v>7189.8249999999998</v>
      </c>
      <c r="H406" s="5" t="str">
        <f t="shared" si="6"/>
        <v>Thiruppur_PALLADAM_PONGALUR</v>
      </c>
    </row>
    <row r="407" spans="1:8">
      <c r="A407" s="8">
        <v>405</v>
      </c>
      <c r="B407" s="9" t="s">
        <v>470</v>
      </c>
      <c r="C407" s="9" t="s">
        <v>474</v>
      </c>
      <c r="D407" s="9" t="s">
        <v>471</v>
      </c>
      <c r="E407" s="10">
        <v>1077.0450000000001</v>
      </c>
      <c r="F407" s="10">
        <v>1095.855</v>
      </c>
      <c r="G407" s="10">
        <v>1092.78</v>
      </c>
      <c r="H407" s="5" t="str">
        <f t="shared" si="6"/>
        <v>Thiruppur_THIRUPPUR NORTH_THIRUPPUR</v>
      </c>
    </row>
    <row r="408" spans="1:8">
      <c r="A408" s="8">
        <v>406</v>
      </c>
      <c r="B408" s="9" t="s">
        <v>470</v>
      </c>
      <c r="C408" s="9" t="s">
        <v>475</v>
      </c>
      <c r="D408" s="9" t="s">
        <v>76</v>
      </c>
      <c r="E408" s="10">
        <v>5806.88</v>
      </c>
      <c r="F408" s="10">
        <v>5769.01</v>
      </c>
      <c r="G408" s="10">
        <v>5766.6750000000002</v>
      </c>
      <c r="H408" s="5" t="str">
        <f t="shared" si="6"/>
        <v>Thiruppur_THIRUPPUR SOUTH_PONGALUR</v>
      </c>
    </row>
    <row r="409" spans="1:8">
      <c r="A409" s="8">
        <v>407</v>
      </c>
      <c r="B409" s="9" t="s">
        <v>470</v>
      </c>
      <c r="C409" s="9" t="s">
        <v>475</v>
      </c>
      <c r="D409" s="9" t="s">
        <v>471</v>
      </c>
      <c r="E409" s="10">
        <v>1878.11</v>
      </c>
      <c r="F409" s="10">
        <v>1824.9849999999999</v>
      </c>
      <c r="G409" s="10">
        <v>1875.7249999999999</v>
      </c>
      <c r="H409" s="5" t="str">
        <f t="shared" si="6"/>
        <v>Thiruppur_THIRUPPUR SOUTH_THIRUPPUR</v>
      </c>
    </row>
    <row r="410" spans="1:8">
      <c r="A410" s="8">
        <v>408</v>
      </c>
      <c r="B410" s="9" t="s">
        <v>470</v>
      </c>
      <c r="C410" s="9" t="s">
        <v>78</v>
      </c>
      <c r="D410" s="9" t="s">
        <v>79</v>
      </c>
      <c r="E410" s="10">
        <v>20445.187000000002</v>
      </c>
      <c r="F410" s="10">
        <v>20028.045999999998</v>
      </c>
      <c r="G410" s="10">
        <v>20324.891</v>
      </c>
      <c r="H410" s="5" t="str">
        <f t="shared" si="6"/>
        <v>Thiruppur_UDUMALPETTAI_GUDIMANGALAM</v>
      </c>
    </row>
    <row r="411" spans="1:8">
      <c r="A411" s="8">
        <v>409</v>
      </c>
      <c r="B411" s="9" t="s">
        <v>470</v>
      </c>
      <c r="C411" s="9" t="s">
        <v>78</v>
      </c>
      <c r="D411" s="9" t="s">
        <v>78</v>
      </c>
      <c r="E411" s="10">
        <v>28521.531999999999</v>
      </c>
      <c r="F411" s="10">
        <v>28300.472000000002</v>
      </c>
      <c r="G411" s="10">
        <v>27646.87</v>
      </c>
      <c r="H411" s="5" t="str">
        <f t="shared" si="6"/>
        <v>Thiruppur_UDUMALPETTAI_UDUMALPETTAI</v>
      </c>
    </row>
    <row r="412" spans="1:8">
      <c r="A412" s="8">
        <v>410</v>
      </c>
      <c r="B412" s="9" t="s">
        <v>470</v>
      </c>
      <c r="C412" s="9" t="s">
        <v>64</v>
      </c>
      <c r="D412" s="9" t="s">
        <v>64</v>
      </c>
      <c r="E412" s="10">
        <v>10490.02</v>
      </c>
      <c r="F412" s="10">
        <v>10921.514999999999</v>
      </c>
      <c r="G412" s="10">
        <v>10510.32</v>
      </c>
      <c r="H412" s="5" t="str">
        <f t="shared" si="6"/>
        <v>Thiruppur_UTHUKULI_UTHUKULI</v>
      </c>
    </row>
    <row r="413" spans="1:8">
      <c r="A413" s="8">
        <v>411</v>
      </c>
      <c r="B413" s="9" t="s">
        <v>223</v>
      </c>
      <c r="C413" s="9" t="s">
        <v>250</v>
      </c>
      <c r="D413" s="9" t="s">
        <v>11</v>
      </c>
      <c r="E413" s="10">
        <v>558.65499999999997</v>
      </c>
      <c r="F413" s="10">
        <v>543.48</v>
      </c>
      <c r="G413" s="10">
        <v>583.26499999999999</v>
      </c>
      <c r="H413" s="5" t="str">
        <f t="shared" si="6"/>
        <v>Thiruvallur_AVADI_POONAMALLEE</v>
      </c>
    </row>
    <row r="414" spans="1:8">
      <c r="A414" s="8">
        <v>412</v>
      </c>
      <c r="B414" s="9" t="s">
        <v>223</v>
      </c>
      <c r="C414" s="9" t="s">
        <v>250</v>
      </c>
      <c r="D414" s="9" t="s">
        <v>6</v>
      </c>
      <c r="E414" s="10">
        <v>2275.1770000000001</v>
      </c>
      <c r="F414" s="10">
        <v>2184.15</v>
      </c>
      <c r="G414" s="10">
        <v>2493.4899999999998</v>
      </c>
      <c r="H414" s="5" t="str">
        <f t="shared" si="6"/>
        <v>Thiruvallur_AVADI_VILLIVAKKAM</v>
      </c>
    </row>
    <row r="415" spans="1:8">
      <c r="A415" s="8">
        <v>413</v>
      </c>
      <c r="B415" s="9" t="s">
        <v>223</v>
      </c>
      <c r="C415" s="9" t="s">
        <v>251</v>
      </c>
      <c r="D415" s="9" t="s">
        <v>251</v>
      </c>
      <c r="E415" s="10">
        <v>26233.42</v>
      </c>
      <c r="F415" s="10">
        <v>25219.361000000001</v>
      </c>
      <c r="G415" s="10">
        <v>25455.412</v>
      </c>
      <c r="H415" s="5" t="str">
        <f t="shared" si="6"/>
        <v>Thiruvallur_GUMMIDIPOONDI_GUMMIDIPOONDI</v>
      </c>
    </row>
    <row r="416" spans="1:8">
      <c r="A416" s="8">
        <v>414</v>
      </c>
      <c r="B416" s="9" t="s">
        <v>223</v>
      </c>
      <c r="C416" s="9" t="s">
        <v>252</v>
      </c>
      <c r="D416" s="9" t="s">
        <v>13</v>
      </c>
      <c r="E416" s="10">
        <v>6760.625</v>
      </c>
      <c r="F416" s="10">
        <v>6153.585</v>
      </c>
      <c r="G416" s="10">
        <v>5948.8249999999998</v>
      </c>
      <c r="H416" s="5" t="str">
        <f t="shared" si="6"/>
        <v>Thiruvallur_PALLIPET_PALLIPATTU</v>
      </c>
    </row>
    <row r="417" spans="1:8">
      <c r="A417" s="8">
        <v>415</v>
      </c>
      <c r="B417" s="9" t="s">
        <v>223</v>
      </c>
      <c r="C417" s="9" t="s">
        <v>253</v>
      </c>
      <c r="D417" s="9" t="s">
        <v>254</v>
      </c>
      <c r="E417" s="10">
        <v>24446.615000000002</v>
      </c>
      <c r="F417" s="10">
        <v>23998.564999999999</v>
      </c>
      <c r="G417" s="10">
        <v>24371.25</v>
      </c>
      <c r="H417" s="5" t="str">
        <f t="shared" si="6"/>
        <v>Thiruvallur_PONNERI_MINJUR</v>
      </c>
    </row>
    <row r="418" spans="1:8">
      <c r="A418" s="8">
        <v>416</v>
      </c>
      <c r="B418" s="9" t="s">
        <v>223</v>
      </c>
      <c r="C418" s="9" t="s">
        <v>253</v>
      </c>
      <c r="D418" s="9" t="s">
        <v>7</v>
      </c>
      <c r="E418" s="10">
        <v>85.2</v>
      </c>
      <c r="F418" s="10">
        <v>113.63</v>
      </c>
      <c r="G418" s="10">
        <v>119.63</v>
      </c>
      <c r="H418" s="5" t="str">
        <f t="shared" si="6"/>
        <v>Thiruvallur_PONNERI_PUZHAL</v>
      </c>
    </row>
    <row r="419" spans="1:8">
      <c r="A419" s="8">
        <v>417</v>
      </c>
      <c r="B419" s="9" t="s">
        <v>223</v>
      </c>
      <c r="C419" s="9" t="s">
        <v>253</v>
      </c>
      <c r="D419" s="9" t="s">
        <v>255</v>
      </c>
      <c r="E419" s="10">
        <v>17636.490000000002</v>
      </c>
      <c r="F419" s="10">
        <v>17692.7</v>
      </c>
      <c r="G419" s="10">
        <v>18360.240000000002</v>
      </c>
      <c r="H419" s="5" t="str">
        <f t="shared" si="6"/>
        <v>Thiruvallur_PONNERI_SHOLAVARAM</v>
      </c>
    </row>
    <row r="420" spans="1:8">
      <c r="A420" s="8">
        <v>418</v>
      </c>
      <c r="B420" s="9" t="s">
        <v>223</v>
      </c>
      <c r="C420" s="9" t="s">
        <v>11</v>
      </c>
      <c r="D420" s="9" t="s">
        <v>11</v>
      </c>
      <c r="E420" s="10">
        <v>2241.665</v>
      </c>
      <c r="F420" s="10">
        <v>2052.6799999999998</v>
      </c>
      <c r="G420" s="10">
        <v>2230.047</v>
      </c>
      <c r="H420" s="5" t="str">
        <f t="shared" si="6"/>
        <v>Thiruvallur_POONAMALLEE_POONAMALLEE</v>
      </c>
    </row>
    <row r="421" spans="1:8">
      <c r="A421" s="8">
        <v>419</v>
      </c>
      <c r="B421" s="9" t="s">
        <v>223</v>
      </c>
      <c r="C421" s="9" t="s">
        <v>11</v>
      </c>
      <c r="D421" s="9" t="s">
        <v>6</v>
      </c>
      <c r="E421" s="10">
        <v>7.4450000000000003</v>
      </c>
      <c r="F421" s="10">
        <v>9.4649999999999999</v>
      </c>
      <c r="G421" s="10">
        <v>7.84</v>
      </c>
      <c r="H421" s="5" t="str">
        <f t="shared" si="6"/>
        <v>Thiruvallur_POONAMALLEE_VILLIVAKKAM</v>
      </c>
    </row>
    <row r="422" spans="1:8">
      <c r="A422" s="8">
        <v>420</v>
      </c>
      <c r="B422" s="9" t="s">
        <v>223</v>
      </c>
      <c r="C422" s="9" t="s">
        <v>256</v>
      </c>
      <c r="D422" s="9" t="s">
        <v>256</v>
      </c>
      <c r="E422" s="10">
        <v>4948.6899999999996</v>
      </c>
      <c r="F422" s="10">
        <v>4584.3180000000002</v>
      </c>
      <c r="G422" s="10">
        <v>4427.5649999999996</v>
      </c>
      <c r="H422" s="5" t="str">
        <f t="shared" si="6"/>
        <v>Thiruvallur_R.K.PET_R.K.PET</v>
      </c>
    </row>
    <row r="423" spans="1:8">
      <c r="A423" s="8">
        <v>421</v>
      </c>
      <c r="B423" s="9" t="s">
        <v>223</v>
      </c>
      <c r="C423" s="9" t="s">
        <v>257</v>
      </c>
      <c r="D423" s="9" t="s">
        <v>10</v>
      </c>
      <c r="E423" s="10">
        <v>2520.5349999999999</v>
      </c>
      <c r="F423" s="10">
        <v>2618.58</v>
      </c>
      <c r="G423" s="10">
        <v>2671.45</v>
      </c>
      <c r="H423" s="5" t="str">
        <f t="shared" si="6"/>
        <v>Thiruvallur_THIRUVALLUR_ELLAPURAM</v>
      </c>
    </row>
    <row r="424" spans="1:8">
      <c r="A424" s="8">
        <v>422</v>
      </c>
      <c r="B424" s="9" t="s">
        <v>223</v>
      </c>
      <c r="C424" s="9" t="s">
        <v>257</v>
      </c>
      <c r="D424" s="9" t="s">
        <v>8</v>
      </c>
      <c r="E424" s="10">
        <v>11113.362999999999</v>
      </c>
      <c r="F424" s="10">
        <v>10829.763999999999</v>
      </c>
      <c r="G424" s="10">
        <v>11222.968999999999</v>
      </c>
      <c r="H424" s="5" t="str">
        <f t="shared" si="6"/>
        <v>Thiruvallur_THIRUVALLUR_KADAMBATHUR</v>
      </c>
    </row>
    <row r="425" spans="1:8">
      <c r="A425" s="8">
        <v>423</v>
      </c>
      <c r="B425" s="9" t="s">
        <v>223</v>
      </c>
      <c r="C425" s="9" t="s">
        <v>257</v>
      </c>
      <c r="D425" s="9" t="s">
        <v>9</v>
      </c>
      <c r="E425" s="10">
        <v>5107.0910000000003</v>
      </c>
      <c r="F425" s="10">
        <v>5507.23</v>
      </c>
      <c r="G425" s="10">
        <v>5498.4719999999998</v>
      </c>
      <c r="H425" s="5" t="str">
        <f t="shared" si="6"/>
        <v>Thiruvallur_THIRUVALLUR_POONDI</v>
      </c>
    </row>
    <row r="426" spans="1:8">
      <c r="A426" s="8">
        <v>424</v>
      </c>
      <c r="B426" s="9" t="s">
        <v>223</v>
      </c>
      <c r="C426" s="9" t="s">
        <v>257</v>
      </c>
      <c r="D426" s="9" t="s">
        <v>257</v>
      </c>
      <c r="E426" s="10">
        <v>9076.8340000000007</v>
      </c>
      <c r="F426" s="10">
        <v>8882.5969999999998</v>
      </c>
      <c r="G426" s="10">
        <v>9125.59</v>
      </c>
      <c r="H426" s="5" t="str">
        <f t="shared" si="6"/>
        <v>Thiruvallur_THIRUVALLUR_THIRUVALLUR</v>
      </c>
    </row>
    <row r="427" spans="1:8">
      <c r="A427" s="8">
        <v>425</v>
      </c>
      <c r="B427" s="9" t="s">
        <v>223</v>
      </c>
      <c r="C427" s="9" t="s">
        <v>258</v>
      </c>
      <c r="D427" s="9" t="s">
        <v>12</v>
      </c>
      <c r="E427" s="10">
        <v>8601.4240000000009</v>
      </c>
      <c r="F427" s="10">
        <v>8279.9539999999997</v>
      </c>
      <c r="G427" s="10">
        <v>8109.49</v>
      </c>
      <c r="H427" s="5" t="str">
        <f t="shared" si="6"/>
        <v>Thiruvallur_TIRUTTANI_THIRUVALANGADU</v>
      </c>
    </row>
    <row r="428" spans="1:8">
      <c r="A428" s="8">
        <v>426</v>
      </c>
      <c r="B428" s="9" t="s">
        <v>223</v>
      </c>
      <c r="C428" s="9" t="s">
        <v>258</v>
      </c>
      <c r="D428" s="9" t="s">
        <v>258</v>
      </c>
      <c r="E428" s="10">
        <v>5979.5110000000004</v>
      </c>
      <c r="F428" s="10">
        <v>5831.4059999999999</v>
      </c>
      <c r="G428" s="10">
        <v>5447.13</v>
      </c>
      <c r="H428" s="5" t="str">
        <f t="shared" si="6"/>
        <v>Thiruvallur_TIRUTTANI_TIRUTTANI</v>
      </c>
    </row>
    <row r="429" spans="1:8">
      <c r="A429" s="8">
        <v>427</v>
      </c>
      <c r="B429" s="9" t="s">
        <v>223</v>
      </c>
      <c r="C429" s="9" t="s">
        <v>259</v>
      </c>
      <c r="D429" s="9" t="s">
        <v>10</v>
      </c>
      <c r="E429" s="10">
        <v>15432.775</v>
      </c>
      <c r="F429" s="10">
        <v>15120.825000000001</v>
      </c>
      <c r="G429" s="10">
        <v>15186.47</v>
      </c>
      <c r="H429" s="5" t="str">
        <f t="shared" si="6"/>
        <v>Thiruvallur_UTHUKOTTAI_ELLAPURAM</v>
      </c>
    </row>
    <row r="430" spans="1:8">
      <c r="A430" s="8">
        <v>428</v>
      </c>
      <c r="B430" s="9" t="s">
        <v>223</v>
      </c>
      <c r="C430" s="9" t="s">
        <v>259</v>
      </c>
      <c r="D430" s="9" t="s">
        <v>9</v>
      </c>
      <c r="E430" s="10">
        <v>8534.4950000000008</v>
      </c>
      <c r="F430" s="10">
        <v>8667.9599999999991</v>
      </c>
      <c r="G430" s="10">
        <v>8630.36</v>
      </c>
      <c r="H430" s="5" t="str">
        <f t="shared" si="6"/>
        <v>Thiruvallur_UTHUKOTTAI_POONDI</v>
      </c>
    </row>
    <row r="431" spans="1:8">
      <c r="A431" s="8">
        <v>429</v>
      </c>
      <c r="B431" s="9" t="s">
        <v>243</v>
      </c>
      <c r="C431" s="9" t="s">
        <v>174</v>
      </c>
      <c r="D431" s="9" t="s">
        <v>174</v>
      </c>
      <c r="E431" s="10">
        <v>18895.54</v>
      </c>
      <c r="F431" s="10">
        <v>20038.264999999999</v>
      </c>
      <c r="G431" s="10">
        <v>24237.4</v>
      </c>
      <c r="H431" s="5" t="str">
        <f t="shared" si="6"/>
        <v>Thiruvarur_KODAVASAL_KODAVASAL</v>
      </c>
    </row>
    <row r="432" spans="1:8">
      <c r="A432" s="8">
        <v>430</v>
      </c>
      <c r="B432" s="9" t="s">
        <v>243</v>
      </c>
      <c r="C432" s="9" t="s">
        <v>174</v>
      </c>
      <c r="D432" s="9" t="s">
        <v>175</v>
      </c>
      <c r="E432" s="10">
        <v>3927.65</v>
      </c>
      <c r="F432" s="10">
        <v>3960.75</v>
      </c>
      <c r="G432" s="10">
        <v>4944.2950000000001</v>
      </c>
      <c r="H432" s="5" t="str">
        <f t="shared" si="6"/>
        <v>Thiruvarur_KODAVASAL_KORADACHERI</v>
      </c>
    </row>
    <row r="433" spans="1:8">
      <c r="A433" s="8">
        <v>431</v>
      </c>
      <c r="B433" s="9" t="s">
        <v>243</v>
      </c>
      <c r="C433" s="9" t="s">
        <v>388</v>
      </c>
      <c r="D433" s="9" t="s">
        <v>175</v>
      </c>
      <c r="E433" s="10">
        <v>6109.61</v>
      </c>
      <c r="F433" s="10">
        <v>5891.65</v>
      </c>
      <c r="G433" s="10">
        <v>7268.0150000000003</v>
      </c>
      <c r="H433" s="5" t="str">
        <f t="shared" si="6"/>
        <v>Thiruvarur_KOOTHANALLUR_KORADACHERI</v>
      </c>
    </row>
    <row r="434" spans="1:8">
      <c r="A434" s="8">
        <v>432</v>
      </c>
      <c r="B434" s="9" t="s">
        <v>243</v>
      </c>
      <c r="C434" s="9" t="s">
        <v>388</v>
      </c>
      <c r="D434" s="9" t="s">
        <v>389</v>
      </c>
      <c r="E434" s="10">
        <v>2707.13</v>
      </c>
      <c r="F434" s="10">
        <v>3295.67</v>
      </c>
      <c r="G434" s="10">
        <v>3278.8850000000002</v>
      </c>
      <c r="H434" s="5" t="str">
        <f t="shared" si="6"/>
        <v>Thiruvarur_KOOTHANALLUR_KOTTUR</v>
      </c>
    </row>
    <row r="435" spans="1:8">
      <c r="A435" s="8">
        <v>433</v>
      </c>
      <c r="B435" s="9" t="s">
        <v>243</v>
      </c>
      <c r="C435" s="9" t="s">
        <v>388</v>
      </c>
      <c r="D435" s="9" t="s">
        <v>170</v>
      </c>
      <c r="E435" s="10">
        <v>13118.88</v>
      </c>
      <c r="F435" s="10">
        <v>15226.23</v>
      </c>
      <c r="G435" s="10">
        <v>15662.49</v>
      </c>
      <c r="H435" s="5" t="str">
        <f t="shared" si="6"/>
        <v>Thiruvarur_KOOTHANALLUR_MANNARGUDI</v>
      </c>
    </row>
    <row r="436" spans="1:8">
      <c r="A436" s="8">
        <v>434</v>
      </c>
      <c r="B436" s="9" t="s">
        <v>243</v>
      </c>
      <c r="C436" s="9" t="s">
        <v>388</v>
      </c>
      <c r="D436" s="9" t="s">
        <v>390</v>
      </c>
      <c r="E436" s="10">
        <v>1811.44</v>
      </c>
      <c r="F436" s="10">
        <v>2403.9899999999998</v>
      </c>
      <c r="G436" s="10">
        <v>2426.4</v>
      </c>
      <c r="H436" s="5" t="str">
        <f t="shared" si="6"/>
        <v>Thiruvarur_KOOTHANALLUR_NIDAMANGALAM</v>
      </c>
    </row>
    <row r="437" spans="1:8">
      <c r="A437" s="8">
        <v>435</v>
      </c>
      <c r="B437" s="9" t="s">
        <v>243</v>
      </c>
      <c r="C437" s="9" t="s">
        <v>170</v>
      </c>
      <c r="D437" s="9" t="s">
        <v>389</v>
      </c>
      <c r="E437" s="10">
        <v>18950.055</v>
      </c>
      <c r="F437" s="10">
        <v>22949.605</v>
      </c>
      <c r="G437" s="10">
        <v>22017.605</v>
      </c>
      <c r="H437" s="5" t="str">
        <f t="shared" si="6"/>
        <v>Thiruvarur_MANNARGUDI_KOTTUR</v>
      </c>
    </row>
    <row r="438" spans="1:8">
      <c r="A438" s="8">
        <v>436</v>
      </c>
      <c r="B438" s="9" t="s">
        <v>243</v>
      </c>
      <c r="C438" s="9" t="s">
        <v>170</v>
      </c>
      <c r="D438" s="9" t="s">
        <v>170</v>
      </c>
      <c r="E438" s="10">
        <v>24007.436000000002</v>
      </c>
      <c r="F438" s="10">
        <v>22824.77</v>
      </c>
      <c r="G438" s="10">
        <v>23780.76</v>
      </c>
      <c r="H438" s="5" t="str">
        <f t="shared" si="6"/>
        <v>Thiruvarur_MANNARGUDI_MANNARGUDI</v>
      </c>
    </row>
    <row r="439" spans="1:8">
      <c r="A439" s="8">
        <v>437</v>
      </c>
      <c r="B439" s="9" t="s">
        <v>243</v>
      </c>
      <c r="C439" s="9" t="s">
        <v>170</v>
      </c>
      <c r="D439" s="9" t="s">
        <v>390</v>
      </c>
      <c r="E439" s="10">
        <v>7820.1149999999998</v>
      </c>
      <c r="F439" s="10">
        <v>8024.585</v>
      </c>
      <c r="G439" s="10">
        <v>8579.5239999999994</v>
      </c>
      <c r="H439" s="5" t="str">
        <f t="shared" si="6"/>
        <v>Thiruvarur_MANNARGUDI_NIDAMANGALAM</v>
      </c>
    </row>
    <row r="440" spans="1:8" s="39" customFormat="1" ht="13.8">
      <c r="A440" s="8">
        <v>438</v>
      </c>
      <c r="B440" s="9" t="s">
        <v>243</v>
      </c>
      <c r="C440" s="42" t="s">
        <v>391</v>
      </c>
      <c r="D440" s="42" t="s">
        <v>389</v>
      </c>
      <c r="E440" s="10">
        <v>9923.4009999999998</v>
      </c>
      <c r="F440" s="10">
        <v>12621.594999999999</v>
      </c>
      <c r="G440" s="10">
        <v>11947.157999999999</v>
      </c>
      <c r="H440" s="5" t="str">
        <f t="shared" si="6"/>
        <v>Thiruvarur_MUTHUPET_KOTTUR</v>
      </c>
    </row>
    <row r="441" spans="1:8" s="39" customFormat="1" ht="13.8">
      <c r="A441" s="8">
        <v>439</v>
      </c>
      <c r="B441" s="9" t="s">
        <v>243</v>
      </c>
      <c r="C441" s="42" t="s">
        <v>391</v>
      </c>
      <c r="D441" s="42" t="s">
        <v>391</v>
      </c>
      <c r="E441" s="10">
        <v>11158.995000000001</v>
      </c>
      <c r="F441" s="10">
        <v>12673.1</v>
      </c>
      <c r="G441" s="10">
        <v>11487.764999999999</v>
      </c>
      <c r="H441" s="5" t="str">
        <f t="shared" si="6"/>
        <v>Thiruvarur_MUTHUPET_MUTHUPET</v>
      </c>
    </row>
    <row r="442" spans="1:8">
      <c r="A442" s="8">
        <v>440</v>
      </c>
      <c r="B442" s="9" t="s">
        <v>243</v>
      </c>
      <c r="C442" s="9" t="s">
        <v>173</v>
      </c>
      <c r="D442" s="9" t="s">
        <v>174</v>
      </c>
      <c r="E442" s="10">
        <v>4609.33</v>
      </c>
      <c r="F442" s="10">
        <v>4445.88</v>
      </c>
      <c r="G442" s="10">
        <v>4907.68</v>
      </c>
      <c r="H442" s="5" t="str">
        <f t="shared" si="6"/>
        <v>Thiruvarur_NANNILAM_KODAVASAL</v>
      </c>
    </row>
    <row r="443" spans="1:8">
      <c r="A443" s="8">
        <v>441</v>
      </c>
      <c r="B443" s="9" t="s">
        <v>243</v>
      </c>
      <c r="C443" s="9" t="s">
        <v>173</v>
      </c>
      <c r="D443" s="9" t="s">
        <v>175</v>
      </c>
      <c r="E443" s="10">
        <v>1903.25</v>
      </c>
      <c r="F443" s="10">
        <v>1877.105</v>
      </c>
      <c r="G443" s="10">
        <v>1773.9849999999999</v>
      </c>
      <c r="H443" s="5" t="str">
        <f t="shared" si="6"/>
        <v>Thiruvarur_NANNILAM_KORADACHERI</v>
      </c>
    </row>
    <row r="444" spans="1:8">
      <c r="A444" s="8">
        <v>442</v>
      </c>
      <c r="B444" s="9" t="s">
        <v>243</v>
      </c>
      <c r="C444" s="9" t="s">
        <v>173</v>
      </c>
      <c r="D444" s="9" t="s">
        <v>173</v>
      </c>
      <c r="E444" s="10">
        <v>31828.21</v>
      </c>
      <c r="F444" s="10">
        <v>33664.544999999998</v>
      </c>
      <c r="G444" s="10">
        <v>36153.105000000003</v>
      </c>
      <c r="H444" s="5" t="str">
        <f t="shared" si="6"/>
        <v>Thiruvarur_NANNILAM_NANNILAM</v>
      </c>
    </row>
    <row r="445" spans="1:8">
      <c r="A445" s="8">
        <v>443</v>
      </c>
      <c r="B445" s="9" t="s">
        <v>243</v>
      </c>
      <c r="C445" s="9" t="s">
        <v>390</v>
      </c>
      <c r="D445" s="9" t="s">
        <v>175</v>
      </c>
      <c r="E445" s="10">
        <v>6081.67</v>
      </c>
      <c r="F445" s="10">
        <v>5930.62</v>
      </c>
      <c r="G445" s="10">
        <v>6179.84</v>
      </c>
      <c r="H445" s="5" t="str">
        <f t="shared" si="6"/>
        <v>Thiruvarur_NIDAMANGALAM_KORADACHERI</v>
      </c>
    </row>
    <row r="446" spans="1:8">
      <c r="A446" s="8">
        <v>444</v>
      </c>
      <c r="B446" s="9" t="s">
        <v>243</v>
      </c>
      <c r="C446" s="9" t="s">
        <v>390</v>
      </c>
      <c r="D446" s="9" t="s">
        <v>390</v>
      </c>
      <c r="E446" s="10">
        <v>32859.040000000001</v>
      </c>
      <c r="F446" s="10">
        <v>34479.160000000003</v>
      </c>
      <c r="G446" s="10">
        <v>36676.339999999997</v>
      </c>
      <c r="H446" s="5" t="str">
        <f t="shared" si="6"/>
        <v>Thiruvarur_NIDAMANGALAM_NIDAMANGALAM</v>
      </c>
    </row>
    <row r="447" spans="1:8">
      <c r="A447" s="8">
        <v>445</v>
      </c>
      <c r="B447" s="9" t="s">
        <v>243</v>
      </c>
      <c r="C447" s="9" t="s">
        <v>171</v>
      </c>
      <c r="D447" s="9" t="s">
        <v>391</v>
      </c>
      <c r="E447" s="10">
        <v>7046.6049999999996</v>
      </c>
      <c r="F447" s="10">
        <v>9653.81</v>
      </c>
      <c r="G447" s="10">
        <v>8089.82</v>
      </c>
      <c r="H447" s="5" t="str">
        <f t="shared" si="6"/>
        <v>Thiruvarur_THIRUTHURAIPOONDI_MUTHUPET</v>
      </c>
    </row>
    <row r="448" spans="1:8">
      <c r="A448" s="8">
        <v>446</v>
      </c>
      <c r="B448" s="9" t="s">
        <v>243</v>
      </c>
      <c r="C448" s="9" t="s">
        <v>171</v>
      </c>
      <c r="D448" s="9" t="s">
        <v>171</v>
      </c>
      <c r="E448" s="10">
        <v>24276.264999999999</v>
      </c>
      <c r="F448" s="10">
        <v>28508.855</v>
      </c>
      <c r="G448" s="10">
        <v>29224.134999999998</v>
      </c>
      <c r="H448" s="5" t="str">
        <f t="shared" si="6"/>
        <v>Thiruvarur_THIRUTHURAIPOONDI_THIRUTHURAIPOONDI</v>
      </c>
    </row>
    <row r="449" spans="1:8">
      <c r="A449" s="8">
        <v>447</v>
      </c>
      <c r="B449" s="9" t="s">
        <v>243</v>
      </c>
      <c r="C449" s="9" t="s">
        <v>172</v>
      </c>
      <c r="D449" s="9" t="s">
        <v>174</v>
      </c>
      <c r="E449" s="10">
        <v>662.65</v>
      </c>
      <c r="F449" s="10">
        <v>754.98</v>
      </c>
      <c r="G449" s="10">
        <v>829.5</v>
      </c>
      <c r="H449" s="5" t="str">
        <f t="shared" si="6"/>
        <v>Thiruvarur_TIRUVARUR_KODAVASAL</v>
      </c>
    </row>
    <row r="450" spans="1:8">
      <c r="A450" s="8">
        <v>448</v>
      </c>
      <c r="B450" s="9" t="s">
        <v>243</v>
      </c>
      <c r="C450" s="9" t="s">
        <v>172</v>
      </c>
      <c r="D450" s="9" t="s">
        <v>175</v>
      </c>
      <c r="E450" s="10">
        <v>7659.53</v>
      </c>
      <c r="F450" s="10">
        <v>7781.28</v>
      </c>
      <c r="G450" s="10">
        <v>9160.1</v>
      </c>
      <c r="H450" s="5" t="str">
        <f t="shared" si="6"/>
        <v>Thiruvarur_TIRUVARUR_KORADACHERI</v>
      </c>
    </row>
    <row r="451" spans="1:8">
      <c r="A451" s="8">
        <v>449</v>
      </c>
      <c r="B451" s="9" t="s">
        <v>243</v>
      </c>
      <c r="C451" s="9" t="s">
        <v>172</v>
      </c>
      <c r="D451" s="9" t="s">
        <v>172</v>
      </c>
      <c r="E451" s="10">
        <v>17376.574000000001</v>
      </c>
      <c r="F451" s="10">
        <v>18537.689999999999</v>
      </c>
      <c r="G451" s="10">
        <v>19832.608</v>
      </c>
      <c r="H451" s="5" t="str">
        <f t="shared" si="6"/>
        <v>Thiruvarur_TIRUVARUR_TIRUVARUR</v>
      </c>
    </row>
    <row r="452" spans="1:8">
      <c r="A452" s="8">
        <v>450</v>
      </c>
      <c r="B452" s="9" t="s">
        <v>243</v>
      </c>
      <c r="C452" s="9" t="s">
        <v>392</v>
      </c>
      <c r="D452" s="9" t="s">
        <v>392</v>
      </c>
      <c r="E452" s="10">
        <v>24675.584999999999</v>
      </c>
      <c r="F452" s="10">
        <v>24965.31</v>
      </c>
      <c r="G452" s="10">
        <v>28936.915000000001</v>
      </c>
      <c r="H452" s="5" t="str">
        <f t="shared" ref="H452:H515" si="7">CONCATENATE(B452,"_",C452,"_",D452)</f>
        <v>Thiruvarur_VALANGAIMAN_VALANGAIMAN</v>
      </c>
    </row>
    <row r="453" spans="1:8">
      <c r="A453" s="8">
        <v>451</v>
      </c>
      <c r="B453" s="9" t="s">
        <v>244</v>
      </c>
      <c r="C453" s="9" t="s">
        <v>445</v>
      </c>
      <c r="D453" s="9" t="s">
        <v>182</v>
      </c>
      <c r="E453" s="10">
        <v>4676.9250000000002</v>
      </c>
      <c r="F453" s="10">
        <v>5789.7</v>
      </c>
      <c r="G453" s="10">
        <v>5316.2349999999997</v>
      </c>
      <c r="H453" s="5" t="str">
        <f t="shared" si="7"/>
        <v>Thoothukudi_ERAL_ALWARTHIRUNAGARI</v>
      </c>
    </row>
    <row r="454" spans="1:8">
      <c r="A454" s="8">
        <v>452</v>
      </c>
      <c r="B454" s="9" t="s">
        <v>244</v>
      </c>
      <c r="C454" s="9" t="s">
        <v>445</v>
      </c>
      <c r="D454" s="9" t="s">
        <v>180</v>
      </c>
      <c r="E454" s="10">
        <v>4437.33</v>
      </c>
      <c r="F454" s="10">
        <v>4621.9750000000004</v>
      </c>
      <c r="G454" s="10">
        <v>4330.125</v>
      </c>
      <c r="H454" s="5" t="str">
        <f t="shared" si="7"/>
        <v>Thoothukudi_ERAL_SRIVAIKUNDAM</v>
      </c>
    </row>
    <row r="455" spans="1:8">
      <c r="A455" s="8">
        <v>453</v>
      </c>
      <c r="B455" s="9" t="s">
        <v>244</v>
      </c>
      <c r="C455" s="9" t="s">
        <v>446</v>
      </c>
      <c r="D455" s="9" t="s">
        <v>447</v>
      </c>
      <c r="E455" s="10">
        <v>1532.0250000000001</v>
      </c>
      <c r="F455" s="10">
        <v>1546.5150000000001</v>
      </c>
      <c r="G455" s="10">
        <v>1639.1949999999999</v>
      </c>
      <c r="H455" s="5" t="str">
        <f t="shared" si="7"/>
        <v>Thoothukudi_ETTAYAPURAM_KAYATHAR</v>
      </c>
    </row>
    <row r="456" spans="1:8">
      <c r="A456" s="8">
        <v>454</v>
      </c>
      <c r="B456" s="9" t="s">
        <v>244</v>
      </c>
      <c r="C456" s="9" t="s">
        <v>446</v>
      </c>
      <c r="D456" s="9" t="s">
        <v>176</v>
      </c>
      <c r="E456" s="10">
        <v>12218.373</v>
      </c>
      <c r="F456" s="10">
        <v>12143.82</v>
      </c>
      <c r="G456" s="10">
        <v>12223.64</v>
      </c>
      <c r="H456" s="5" t="str">
        <f t="shared" si="7"/>
        <v>Thoothukudi_ETTAYAPURAM_KOVILPATTI</v>
      </c>
    </row>
    <row r="457" spans="1:8">
      <c r="A457" s="8">
        <v>455</v>
      </c>
      <c r="B457" s="9" t="s">
        <v>244</v>
      </c>
      <c r="C457" s="9" t="s">
        <v>446</v>
      </c>
      <c r="D457" s="9" t="s">
        <v>178</v>
      </c>
      <c r="E457" s="10">
        <v>8291.6049999999996</v>
      </c>
      <c r="F457" s="10">
        <v>8175.96</v>
      </c>
      <c r="G457" s="10">
        <v>8495.4449999999997</v>
      </c>
      <c r="H457" s="5" t="str">
        <f t="shared" si="7"/>
        <v>Thoothukudi_ETTAYAPURAM_PUDUR</v>
      </c>
    </row>
    <row r="458" spans="1:8">
      <c r="A458" s="8">
        <v>456</v>
      </c>
      <c r="B458" s="9" t="s">
        <v>244</v>
      </c>
      <c r="C458" s="9" t="s">
        <v>446</v>
      </c>
      <c r="D458" s="9" t="s">
        <v>177</v>
      </c>
      <c r="E458" s="10">
        <v>5368.2910000000002</v>
      </c>
      <c r="F458" s="10">
        <v>5478.53</v>
      </c>
      <c r="G458" s="10">
        <v>5479.0950000000003</v>
      </c>
      <c r="H458" s="5" t="str">
        <f t="shared" si="7"/>
        <v>Thoothukudi_ETTAYAPURAM_VILATHIKULAM</v>
      </c>
    </row>
    <row r="459" spans="1:8">
      <c r="A459" s="8">
        <v>457</v>
      </c>
      <c r="B459" s="9" t="s">
        <v>244</v>
      </c>
      <c r="C459" s="9" t="s">
        <v>447</v>
      </c>
      <c r="D459" s="9" t="s">
        <v>447</v>
      </c>
      <c r="E459" s="10">
        <v>26665.415000000001</v>
      </c>
      <c r="F459" s="10">
        <v>27535.82</v>
      </c>
      <c r="G459" s="10">
        <v>28306.85</v>
      </c>
      <c r="H459" s="5" t="str">
        <f t="shared" si="7"/>
        <v>Thoothukudi_KAYATHAR_KAYATHAR</v>
      </c>
    </row>
    <row r="460" spans="1:8">
      <c r="A460" s="8">
        <v>458</v>
      </c>
      <c r="B460" s="9" t="s">
        <v>244</v>
      </c>
      <c r="C460" s="9" t="s">
        <v>447</v>
      </c>
      <c r="D460" s="9" t="s">
        <v>179</v>
      </c>
      <c r="E460" s="10">
        <v>5024.415</v>
      </c>
      <c r="F460" s="10">
        <v>5090.38</v>
      </c>
      <c r="G460" s="10">
        <v>5734.4449999999997</v>
      </c>
      <c r="H460" s="5" t="str">
        <f t="shared" si="7"/>
        <v>Thoothukudi_KAYATHAR_OTTAPIDARAM</v>
      </c>
    </row>
    <row r="461" spans="1:8">
      <c r="A461" s="8">
        <v>459</v>
      </c>
      <c r="B461" s="9" t="s">
        <v>244</v>
      </c>
      <c r="C461" s="9" t="s">
        <v>176</v>
      </c>
      <c r="D461" s="9" t="s">
        <v>447</v>
      </c>
      <c r="E461" s="10">
        <v>2414.4050000000002</v>
      </c>
      <c r="F461" s="10">
        <v>2494.1</v>
      </c>
      <c r="G461" s="10">
        <v>2512.25</v>
      </c>
      <c r="H461" s="5" t="str">
        <f t="shared" si="7"/>
        <v>Thoothukudi_KOVILPATTI_KAYATHAR</v>
      </c>
    </row>
    <row r="462" spans="1:8">
      <c r="A462" s="8">
        <v>460</v>
      </c>
      <c r="B462" s="9" t="s">
        <v>244</v>
      </c>
      <c r="C462" s="9" t="s">
        <v>176</v>
      </c>
      <c r="D462" s="9" t="s">
        <v>176</v>
      </c>
      <c r="E462" s="10">
        <v>16012.01</v>
      </c>
      <c r="F462" s="10">
        <v>16258.18</v>
      </c>
      <c r="G462" s="10">
        <v>16179.12</v>
      </c>
      <c r="H462" s="5" t="str">
        <f t="shared" si="7"/>
        <v>Thoothukudi_KOVILPATTI_KOVILPATTI</v>
      </c>
    </row>
    <row r="463" spans="1:8">
      <c r="A463" s="8">
        <v>461</v>
      </c>
      <c r="B463" s="9" t="s">
        <v>244</v>
      </c>
      <c r="C463" s="9" t="s">
        <v>179</v>
      </c>
      <c r="D463" s="9" t="s">
        <v>447</v>
      </c>
      <c r="E463" s="10">
        <v>118.14</v>
      </c>
      <c r="F463" s="10">
        <v>134.30000000000001</v>
      </c>
      <c r="G463" s="10">
        <v>140.125</v>
      </c>
      <c r="H463" s="5" t="str">
        <f t="shared" si="7"/>
        <v>Thoothukudi_OTTAPIDARAM_KAYATHAR</v>
      </c>
    </row>
    <row r="464" spans="1:8">
      <c r="A464" s="8">
        <v>462</v>
      </c>
      <c r="B464" s="9" t="s">
        <v>244</v>
      </c>
      <c r="C464" s="9" t="s">
        <v>179</v>
      </c>
      <c r="D464" s="9" t="s">
        <v>179</v>
      </c>
      <c r="E464" s="10">
        <v>31443.692999999999</v>
      </c>
      <c r="F464" s="10">
        <v>31235.78</v>
      </c>
      <c r="G464" s="10">
        <v>31242.415000000001</v>
      </c>
      <c r="H464" s="5" t="str">
        <f t="shared" si="7"/>
        <v>Thoothukudi_OTTAPIDARAM_OTTAPIDARAM</v>
      </c>
    </row>
    <row r="465" spans="1:8">
      <c r="A465" s="8">
        <v>463</v>
      </c>
      <c r="B465" s="9" t="s">
        <v>244</v>
      </c>
      <c r="C465" s="9" t="s">
        <v>448</v>
      </c>
      <c r="D465" s="9" t="s">
        <v>182</v>
      </c>
      <c r="E465" s="10">
        <v>919.2</v>
      </c>
      <c r="F465" s="10">
        <v>785.39</v>
      </c>
      <c r="G465" s="10">
        <v>885.74</v>
      </c>
      <c r="H465" s="5" t="str">
        <f t="shared" si="7"/>
        <v>Thoothukudi_SATTANKULAM_ALWARTHIRUNAGARI</v>
      </c>
    </row>
    <row r="466" spans="1:8">
      <c r="A466" s="8">
        <v>464</v>
      </c>
      <c r="B466" s="9" t="s">
        <v>244</v>
      </c>
      <c r="C466" s="9" t="s">
        <v>448</v>
      </c>
      <c r="D466" s="9" t="s">
        <v>448</v>
      </c>
      <c r="E466" s="10">
        <v>5919.96</v>
      </c>
      <c r="F466" s="10">
        <v>5906.0050000000001</v>
      </c>
      <c r="G466" s="10">
        <v>5506.9650000000001</v>
      </c>
      <c r="H466" s="5" t="str">
        <f t="shared" si="7"/>
        <v>Thoothukudi_SATTANKULAM_SATTANKULAM</v>
      </c>
    </row>
    <row r="467" spans="1:8">
      <c r="A467" s="8">
        <v>465</v>
      </c>
      <c r="B467" s="9" t="s">
        <v>244</v>
      </c>
      <c r="C467" s="9" t="s">
        <v>449</v>
      </c>
      <c r="D467" s="9" t="s">
        <v>181</v>
      </c>
      <c r="E467" s="10">
        <v>11971.749</v>
      </c>
      <c r="F467" s="10">
        <v>12401.95</v>
      </c>
      <c r="G467" s="10">
        <v>11592.465</v>
      </c>
      <c r="H467" s="5" t="str">
        <f t="shared" si="7"/>
        <v>Thoothukudi_SRIVAIKUNTAM_KARUNGULAM</v>
      </c>
    </row>
    <row r="468" spans="1:8">
      <c r="A468" s="8">
        <v>466</v>
      </c>
      <c r="B468" s="9" t="s">
        <v>244</v>
      </c>
      <c r="C468" s="9" t="s">
        <v>449</v>
      </c>
      <c r="D468" s="9" t="s">
        <v>180</v>
      </c>
      <c r="E468" s="10">
        <v>2364.3649999999998</v>
      </c>
      <c r="F468" s="10">
        <v>2933.3249999999998</v>
      </c>
      <c r="G468" s="10">
        <v>2552.8850000000002</v>
      </c>
      <c r="H468" s="5" t="str">
        <f t="shared" si="7"/>
        <v>Thoothukudi_SRIVAIKUNTAM_SRIVAIKUNDAM</v>
      </c>
    </row>
    <row r="469" spans="1:8">
      <c r="A469" s="8">
        <v>467</v>
      </c>
      <c r="B469" s="9" t="s">
        <v>244</v>
      </c>
      <c r="C469" s="9" t="s">
        <v>450</v>
      </c>
      <c r="D469" s="9" t="s">
        <v>450</v>
      </c>
      <c r="E469" s="10">
        <v>4721.9470000000001</v>
      </c>
      <c r="F469" s="10">
        <v>5163.0349999999999</v>
      </c>
      <c r="G469" s="10">
        <v>5032.6000000000004</v>
      </c>
      <c r="H469" s="5" t="str">
        <f t="shared" si="7"/>
        <v>Thoothukudi_THOOTHUKUDI_THOOTHUKUDI</v>
      </c>
    </row>
    <row r="470" spans="1:8">
      <c r="A470" s="8">
        <v>468</v>
      </c>
      <c r="B470" s="9" t="s">
        <v>244</v>
      </c>
      <c r="C470" s="9" t="s">
        <v>451</v>
      </c>
      <c r="D470" s="9" t="s">
        <v>182</v>
      </c>
      <c r="E470" s="10">
        <v>1193.7950000000001</v>
      </c>
      <c r="F470" s="10">
        <v>961.99</v>
      </c>
      <c r="G470" s="10">
        <v>1141.885</v>
      </c>
      <c r="H470" s="5" t="str">
        <f t="shared" si="7"/>
        <v>Thoothukudi_TIRUCHENDUR_ALWARTHIRUNAGARI</v>
      </c>
    </row>
    <row r="471" spans="1:8">
      <c r="A471" s="8">
        <v>469</v>
      </c>
      <c r="B471" s="9" t="s">
        <v>244</v>
      </c>
      <c r="C471" s="9" t="s">
        <v>451</v>
      </c>
      <c r="D471" s="9" t="s">
        <v>451</v>
      </c>
      <c r="E471" s="10">
        <v>3843.36</v>
      </c>
      <c r="F471" s="10">
        <v>3814.55</v>
      </c>
      <c r="G471" s="10">
        <v>3889.2950000000001</v>
      </c>
      <c r="H471" s="5" t="str">
        <f t="shared" si="7"/>
        <v>Thoothukudi_TIRUCHENDUR_TIRUCHENDUR</v>
      </c>
    </row>
    <row r="472" spans="1:8">
      <c r="A472" s="8">
        <v>470</v>
      </c>
      <c r="B472" s="9" t="s">
        <v>244</v>
      </c>
      <c r="C472" s="9" t="s">
        <v>451</v>
      </c>
      <c r="D472" s="9" t="s">
        <v>183</v>
      </c>
      <c r="E472" s="10">
        <v>3923.43</v>
      </c>
      <c r="F472" s="10">
        <v>3979.36</v>
      </c>
      <c r="G472" s="10">
        <v>4003.29</v>
      </c>
      <c r="H472" s="5" t="str">
        <f t="shared" si="7"/>
        <v>Thoothukudi_TIRUCHENDUR_UDANGUDI</v>
      </c>
    </row>
    <row r="473" spans="1:8">
      <c r="A473" s="8">
        <v>471</v>
      </c>
      <c r="B473" s="9" t="s">
        <v>244</v>
      </c>
      <c r="C473" s="9" t="s">
        <v>177</v>
      </c>
      <c r="D473" s="9" t="s">
        <v>178</v>
      </c>
      <c r="E473" s="10">
        <v>25981.456999999999</v>
      </c>
      <c r="F473" s="10">
        <v>25696.14</v>
      </c>
      <c r="G473" s="10">
        <v>25550.235000000001</v>
      </c>
      <c r="H473" s="5" t="str">
        <f t="shared" si="7"/>
        <v>Thoothukudi_VILATHIKULAM_PUDUR</v>
      </c>
    </row>
    <row r="474" spans="1:8">
      <c r="A474" s="8">
        <v>472</v>
      </c>
      <c r="B474" s="9" t="s">
        <v>244</v>
      </c>
      <c r="C474" s="9" t="s">
        <v>177</v>
      </c>
      <c r="D474" s="9" t="s">
        <v>177</v>
      </c>
      <c r="E474" s="10">
        <v>33157.792000000001</v>
      </c>
      <c r="F474" s="10">
        <v>32693.775000000001</v>
      </c>
      <c r="G474" s="10">
        <v>32157.59</v>
      </c>
      <c r="H474" s="5" t="str">
        <f t="shared" si="7"/>
        <v>Thoothukudi_VILATHIKULAM_VILATHIKULAM</v>
      </c>
    </row>
    <row r="475" spans="1:8">
      <c r="A475" s="8">
        <v>473</v>
      </c>
      <c r="B475" s="9" t="s">
        <v>356</v>
      </c>
      <c r="C475" s="9" t="s">
        <v>117</v>
      </c>
      <c r="D475" s="9" t="s">
        <v>117</v>
      </c>
      <c r="E475" s="10">
        <v>18100.665000000001</v>
      </c>
      <c r="F475" s="10">
        <v>14915.58</v>
      </c>
      <c r="G475" s="10">
        <v>18892.38</v>
      </c>
      <c r="H475" s="5" t="str">
        <f t="shared" si="7"/>
        <v>Tiruchirapalli_LALGUDI_LALGUDI</v>
      </c>
    </row>
    <row r="476" spans="1:8">
      <c r="A476" s="8">
        <v>474</v>
      </c>
      <c r="B476" s="9" t="s">
        <v>356</v>
      </c>
      <c r="C476" s="9" t="s">
        <v>117</v>
      </c>
      <c r="D476" s="9" t="s">
        <v>357</v>
      </c>
      <c r="E476" s="10">
        <v>21594.401000000002</v>
      </c>
      <c r="F476" s="10">
        <v>18609.349999999999</v>
      </c>
      <c r="G476" s="10">
        <v>21577.822</v>
      </c>
      <c r="H476" s="5" t="str">
        <f t="shared" si="7"/>
        <v>Tiruchirapalli_LALGUDI_PULLAMBADI</v>
      </c>
    </row>
    <row r="477" spans="1:8">
      <c r="A477" s="8">
        <v>475</v>
      </c>
      <c r="B477" s="9" t="s">
        <v>356</v>
      </c>
      <c r="C477" s="9" t="s">
        <v>358</v>
      </c>
      <c r="D477" s="9" t="s">
        <v>358</v>
      </c>
      <c r="E477" s="10">
        <v>5595.5749999999998</v>
      </c>
      <c r="F477" s="10">
        <v>5267.6850000000004</v>
      </c>
      <c r="G477" s="10">
        <v>5849.69</v>
      </c>
      <c r="H477" s="5" t="str">
        <f t="shared" si="7"/>
        <v>Tiruchirapalli_MANAPPARAI_MANAPPARAI</v>
      </c>
    </row>
    <row r="478" spans="1:8">
      <c r="A478" s="8">
        <v>476</v>
      </c>
      <c r="B478" s="9" t="s">
        <v>356</v>
      </c>
      <c r="C478" s="9" t="s">
        <v>358</v>
      </c>
      <c r="D478" s="9" t="s">
        <v>122</v>
      </c>
      <c r="E478" s="10">
        <v>7227.9250000000002</v>
      </c>
      <c r="F478" s="10">
        <v>7690.3450000000003</v>
      </c>
      <c r="G478" s="10">
        <v>8451.9950000000008</v>
      </c>
      <c r="H478" s="5" t="str">
        <f t="shared" si="7"/>
        <v>Tiruchirapalli_MANAPPARAI_VAIYAMPATTI</v>
      </c>
    </row>
    <row r="479" spans="1:8">
      <c r="A479" s="8">
        <v>477</v>
      </c>
      <c r="B479" s="9" t="s">
        <v>356</v>
      </c>
      <c r="C479" s="9" t="s">
        <v>359</v>
      </c>
      <c r="D479" s="9" t="s">
        <v>359</v>
      </c>
      <c r="E479" s="10">
        <v>14319.605</v>
      </c>
      <c r="F479" s="10">
        <v>12911.965</v>
      </c>
      <c r="G479" s="10">
        <v>14595.594999999999</v>
      </c>
      <c r="H479" s="5" t="str">
        <f t="shared" si="7"/>
        <v>Tiruchirapalli_MANNACHANALLUR_MANNACHANALLUR</v>
      </c>
    </row>
    <row r="480" spans="1:8">
      <c r="A480" s="8">
        <v>478</v>
      </c>
      <c r="B480" s="9" t="s">
        <v>356</v>
      </c>
      <c r="C480" s="9" t="s">
        <v>123</v>
      </c>
      <c r="D480" s="9" t="s">
        <v>123</v>
      </c>
      <c r="E480" s="10">
        <v>9063.6049999999996</v>
      </c>
      <c r="F480" s="10">
        <v>8122.77</v>
      </c>
      <c r="G480" s="10">
        <v>9297.1049999999996</v>
      </c>
      <c r="H480" s="5" t="str">
        <f t="shared" si="7"/>
        <v>Tiruchirapalli_MARUNGAPURI_MARUNGAPURI</v>
      </c>
    </row>
    <row r="481" spans="1:8">
      <c r="A481" s="8">
        <v>479</v>
      </c>
      <c r="B481" s="9" t="s">
        <v>356</v>
      </c>
      <c r="C481" s="9" t="s">
        <v>118</v>
      </c>
      <c r="D481" s="9" t="s">
        <v>118</v>
      </c>
      <c r="E481" s="10">
        <v>12070.68</v>
      </c>
      <c r="F481" s="10">
        <v>11263.62</v>
      </c>
      <c r="G481" s="10">
        <v>14058.55</v>
      </c>
      <c r="H481" s="5" t="str">
        <f t="shared" si="7"/>
        <v>Tiruchirapalli_MUSIRI_MUSIRI</v>
      </c>
    </row>
    <row r="482" spans="1:8">
      <c r="A482" s="8">
        <v>480</v>
      </c>
      <c r="B482" s="9" t="s">
        <v>356</v>
      </c>
      <c r="C482" s="9" t="s">
        <v>118</v>
      </c>
      <c r="D482" s="9" t="s">
        <v>360</v>
      </c>
      <c r="E482" s="10">
        <v>12619.875</v>
      </c>
      <c r="F482" s="10">
        <v>12149.12</v>
      </c>
      <c r="G482" s="10">
        <v>13357.314</v>
      </c>
      <c r="H482" s="5" t="str">
        <f t="shared" si="7"/>
        <v>Tiruchirapalli_MUSIRI_THATHAIYANGARPETTAI</v>
      </c>
    </row>
    <row r="483" spans="1:8">
      <c r="A483" s="8">
        <v>481</v>
      </c>
      <c r="B483" s="9" t="s">
        <v>356</v>
      </c>
      <c r="C483" s="9" t="s">
        <v>361</v>
      </c>
      <c r="D483" s="9" t="s">
        <v>362</v>
      </c>
      <c r="E483" s="10">
        <v>7862.9579999999996</v>
      </c>
      <c r="F483" s="10">
        <v>4575.3019999999997</v>
      </c>
      <c r="G483" s="10">
        <v>8639.5560000000005</v>
      </c>
      <c r="H483" s="5" t="str">
        <f t="shared" si="7"/>
        <v>Tiruchirapalli_SRIRANGAM_ANDANALLUR</v>
      </c>
    </row>
    <row r="484" spans="1:8">
      <c r="A484" s="8">
        <v>482</v>
      </c>
      <c r="B484" s="9" t="s">
        <v>356</v>
      </c>
      <c r="C484" s="9" t="s">
        <v>361</v>
      </c>
      <c r="D484" s="9" t="s">
        <v>116</v>
      </c>
      <c r="E484" s="10">
        <v>7515.085</v>
      </c>
      <c r="F484" s="10">
        <v>5225.1970000000001</v>
      </c>
      <c r="G484" s="10">
        <v>7672.11</v>
      </c>
      <c r="H484" s="5" t="str">
        <f t="shared" si="7"/>
        <v>Tiruchirapalli_SRIRANGAM_MANIKANDAM</v>
      </c>
    </row>
    <row r="485" spans="1:8">
      <c r="A485" s="8">
        <v>483</v>
      </c>
      <c r="B485" s="9" t="s">
        <v>356</v>
      </c>
      <c r="C485" s="9" t="s">
        <v>363</v>
      </c>
      <c r="D485" s="9" t="s">
        <v>364</v>
      </c>
      <c r="E485" s="10">
        <v>8130.0029999999997</v>
      </c>
      <c r="F485" s="10">
        <v>1858.2929999999999</v>
      </c>
      <c r="G485" s="10">
        <v>7946.02</v>
      </c>
      <c r="H485" s="5" t="str">
        <f t="shared" si="7"/>
        <v>Tiruchirapalli_THIRUVERUMBUR_TIRUVERUMBUR</v>
      </c>
    </row>
    <row r="486" spans="1:8">
      <c r="A486" s="8">
        <v>484</v>
      </c>
      <c r="B486" s="9" t="s">
        <v>356</v>
      </c>
      <c r="C486" s="9" t="s">
        <v>119</v>
      </c>
      <c r="D486" s="9" t="s">
        <v>119</v>
      </c>
      <c r="E486" s="10">
        <v>13106.14</v>
      </c>
      <c r="F486" s="10">
        <v>11546.477000000001</v>
      </c>
      <c r="G486" s="10">
        <v>14034.458000000001</v>
      </c>
      <c r="H486" s="5" t="str">
        <f t="shared" si="7"/>
        <v>Tiruchirapalli_THOTTIYAM_THOTTIYAM</v>
      </c>
    </row>
    <row r="487" spans="1:8">
      <c r="A487" s="8">
        <v>485</v>
      </c>
      <c r="B487" s="9" t="s">
        <v>356</v>
      </c>
      <c r="C487" s="9" t="s">
        <v>120</v>
      </c>
      <c r="D487" s="9" t="s">
        <v>120</v>
      </c>
      <c r="E487" s="10">
        <v>17192.666000000001</v>
      </c>
      <c r="F487" s="10">
        <v>17869.005000000001</v>
      </c>
      <c r="G487" s="10">
        <v>17830.95</v>
      </c>
      <c r="H487" s="5" t="str">
        <f t="shared" si="7"/>
        <v>Tiruchirapalli_THURAIYUR_THURAIYUR</v>
      </c>
    </row>
    <row r="488" spans="1:8">
      <c r="A488" s="8">
        <v>486</v>
      </c>
      <c r="B488" s="9" t="s">
        <v>356</v>
      </c>
      <c r="C488" s="9" t="s">
        <v>120</v>
      </c>
      <c r="D488" s="9" t="s">
        <v>121</v>
      </c>
      <c r="E488" s="10">
        <v>18441.275000000001</v>
      </c>
      <c r="F488" s="10">
        <v>18493.14</v>
      </c>
      <c r="G488" s="10">
        <v>20262.924999999999</v>
      </c>
      <c r="H488" s="5" t="str">
        <f t="shared" si="7"/>
        <v>Tiruchirapalli_THURAIYUR_UPPILIYAPURAM</v>
      </c>
    </row>
    <row r="489" spans="1:8">
      <c r="A489" s="8">
        <v>487</v>
      </c>
      <c r="B489" s="9" t="s">
        <v>356</v>
      </c>
      <c r="C489" s="9" t="s">
        <v>365</v>
      </c>
      <c r="D489" s="9" t="s">
        <v>116</v>
      </c>
      <c r="E489" s="10">
        <v>477.85500000000002</v>
      </c>
      <c r="F489" s="10">
        <v>211.375</v>
      </c>
      <c r="G489" s="10">
        <v>439.09</v>
      </c>
      <c r="H489" s="5" t="str">
        <f t="shared" si="7"/>
        <v>Tiruchirapalli_TIRUCHIRAPALLI EAST_MANIKANDAM</v>
      </c>
    </row>
    <row r="490" spans="1:8">
      <c r="A490" s="8">
        <v>488</v>
      </c>
      <c r="B490" s="9" t="s">
        <v>356</v>
      </c>
      <c r="C490" s="9" t="s">
        <v>365</v>
      </c>
      <c r="D490" s="9" t="s">
        <v>364</v>
      </c>
      <c r="E490" s="10">
        <v>391.84399999999999</v>
      </c>
      <c r="F490" s="10">
        <v>224.89500000000001</v>
      </c>
      <c r="G490" s="10">
        <v>478.33</v>
      </c>
      <c r="H490" s="5" t="str">
        <f t="shared" si="7"/>
        <v>Tiruchirapalli_TIRUCHIRAPALLI EAST_TIRUVERUMBUR</v>
      </c>
    </row>
    <row r="491" spans="1:8">
      <c r="A491" s="8">
        <v>489</v>
      </c>
      <c r="B491" s="9" t="s">
        <v>356</v>
      </c>
      <c r="C491" s="9" t="s">
        <v>366</v>
      </c>
      <c r="D491" s="9" t="s">
        <v>116</v>
      </c>
      <c r="E491" s="10">
        <v>307.76499999999999</v>
      </c>
      <c r="F491" s="10">
        <v>148.93</v>
      </c>
      <c r="G491" s="10">
        <v>342.37</v>
      </c>
      <c r="H491" s="5" t="str">
        <f t="shared" si="7"/>
        <v>Tiruchirapalli_TIRUCHIRAPALLI WEST_MANIKANDAM</v>
      </c>
    </row>
    <row r="492" spans="1:8">
      <c r="A492" s="8">
        <v>490</v>
      </c>
      <c r="B492" s="9" t="s">
        <v>356</v>
      </c>
      <c r="C492" s="9" t="s">
        <v>366</v>
      </c>
      <c r="D492" s="9" t="s">
        <v>364</v>
      </c>
      <c r="E492" s="10">
        <v>67.400000000000006</v>
      </c>
      <c r="F492" s="10">
        <v>75.38</v>
      </c>
      <c r="G492" s="10">
        <v>90.65</v>
      </c>
      <c r="H492" s="5" t="str">
        <f t="shared" si="7"/>
        <v>Tiruchirapalli_TIRUCHIRAPALLI WEST_TIRUVERUMBUR</v>
      </c>
    </row>
    <row r="493" spans="1:8">
      <c r="A493" s="8">
        <v>491</v>
      </c>
      <c r="B493" s="9" t="s">
        <v>245</v>
      </c>
      <c r="C493" s="9" t="s">
        <v>189</v>
      </c>
      <c r="D493" s="9" t="s">
        <v>189</v>
      </c>
      <c r="E493" s="10">
        <v>8655.1849999999995</v>
      </c>
      <c r="F493" s="10">
        <v>6438.3549999999996</v>
      </c>
      <c r="G493" s="10">
        <v>8488.1200000000008</v>
      </c>
      <c r="H493" s="5" t="str">
        <f t="shared" si="7"/>
        <v>Tirunelveli_AMBASAMUDRAM_AMBASAMUDRAM</v>
      </c>
    </row>
    <row r="494" spans="1:8">
      <c r="A494" s="8">
        <v>492</v>
      </c>
      <c r="B494" s="9" t="s">
        <v>245</v>
      </c>
      <c r="C494" s="9" t="s">
        <v>189</v>
      </c>
      <c r="D494" s="9" t="s">
        <v>190</v>
      </c>
      <c r="E494" s="10">
        <v>1739.2249999999999</v>
      </c>
      <c r="F494" s="10">
        <v>1279.3050000000001</v>
      </c>
      <c r="G494" s="10">
        <v>1670.4449999999999</v>
      </c>
      <c r="H494" s="5" t="str">
        <f t="shared" si="7"/>
        <v>Tirunelveli_AMBASAMUDRAM_CHERANMAHADEVI</v>
      </c>
    </row>
    <row r="495" spans="1:8">
      <c r="A495" s="8">
        <v>493</v>
      </c>
      <c r="B495" s="9" t="s">
        <v>245</v>
      </c>
      <c r="C495" s="9" t="s">
        <v>189</v>
      </c>
      <c r="D495" s="9" t="s">
        <v>452</v>
      </c>
      <c r="E495" s="10">
        <v>1286.5650000000001</v>
      </c>
      <c r="F495" s="10">
        <v>1406.4649999999999</v>
      </c>
      <c r="G495" s="10">
        <v>1344.43</v>
      </c>
      <c r="H495" s="5" t="str">
        <f t="shared" si="7"/>
        <v>Tirunelveli_AMBASAMUDRAM_PAPPAKUDI</v>
      </c>
    </row>
    <row r="496" spans="1:8">
      <c r="A496" s="8">
        <v>494</v>
      </c>
      <c r="B496" s="9" t="s">
        <v>245</v>
      </c>
      <c r="C496" s="9" t="s">
        <v>190</v>
      </c>
      <c r="D496" s="9" t="s">
        <v>190</v>
      </c>
      <c r="E496" s="10">
        <v>8335.75</v>
      </c>
      <c r="F496" s="10">
        <v>6737.7349999999997</v>
      </c>
      <c r="G496" s="10">
        <v>7464.67</v>
      </c>
      <c r="H496" s="5" t="str">
        <f t="shared" si="7"/>
        <v>Tirunelveli_CHERANMAHADEVI_CHERANMAHADEVI</v>
      </c>
    </row>
    <row r="497" spans="1:8">
      <c r="A497" s="8">
        <v>495</v>
      </c>
      <c r="B497" s="9" t="s">
        <v>245</v>
      </c>
      <c r="C497" s="9" t="s">
        <v>190</v>
      </c>
      <c r="D497" s="9" t="s">
        <v>452</v>
      </c>
      <c r="E497" s="10">
        <v>3314.085</v>
      </c>
      <c r="F497" s="10">
        <v>3301.24</v>
      </c>
      <c r="G497" s="10">
        <v>3211.55</v>
      </c>
      <c r="H497" s="5" t="str">
        <f t="shared" si="7"/>
        <v>Tirunelveli_CHERANMAHADEVI_PAPPAKUDI</v>
      </c>
    </row>
    <row r="498" spans="1:8">
      <c r="A498" s="8">
        <v>496</v>
      </c>
      <c r="B498" s="9" t="s">
        <v>245</v>
      </c>
      <c r="C498" s="9" t="s">
        <v>453</v>
      </c>
      <c r="D498" s="9" t="s">
        <v>453</v>
      </c>
      <c r="E498" s="10">
        <v>13160.209000000001</v>
      </c>
      <c r="F498" s="10">
        <v>12528.32</v>
      </c>
      <c r="G498" s="10">
        <v>10784.948</v>
      </c>
      <c r="H498" s="5" t="str">
        <f t="shared" si="7"/>
        <v>Tirunelveli_MANUR_MANUR</v>
      </c>
    </row>
    <row r="499" spans="1:8">
      <c r="A499" s="8">
        <v>497</v>
      </c>
      <c r="B499" s="9" t="s">
        <v>245</v>
      </c>
      <c r="C499" s="9" t="s">
        <v>192</v>
      </c>
      <c r="D499" s="9" t="s">
        <v>454</v>
      </c>
      <c r="E499" s="10">
        <v>8527.8850000000002</v>
      </c>
      <c r="F499" s="10">
        <v>7905.3770000000004</v>
      </c>
      <c r="G499" s="10">
        <v>7409.55</v>
      </c>
      <c r="H499" s="5" t="str">
        <f t="shared" si="7"/>
        <v>Tirunelveli_NANGUNERI_KALAKAD</v>
      </c>
    </row>
    <row r="500" spans="1:8">
      <c r="A500" s="8">
        <v>498</v>
      </c>
      <c r="B500" s="9" t="s">
        <v>245</v>
      </c>
      <c r="C500" s="9" t="s">
        <v>192</v>
      </c>
      <c r="D500" s="9" t="s">
        <v>192</v>
      </c>
      <c r="E500" s="10">
        <v>6275.6</v>
      </c>
      <c r="F500" s="10">
        <v>7339.5349999999999</v>
      </c>
      <c r="G500" s="10">
        <v>5114.2640000000001</v>
      </c>
      <c r="H500" s="5" t="str">
        <f t="shared" si="7"/>
        <v>Tirunelveli_NANGUNERI_NANGUNERI</v>
      </c>
    </row>
    <row r="501" spans="1:8">
      <c r="A501" s="8">
        <v>499</v>
      </c>
      <c r="B501" s="9" t="s">
        <v>245</v>
      </c>
      <c r="C501" s="9" t="s">
        <v>184</v>
      </c>
      <c r="D501" s="9" t="s">
        <v>184</v>
      </c>
      <c r="E501" s="10">
        <v>7389.14</v>
      </c>
      <c r="F501" s="10">
        <v>6735.2920000000004</v>
      </c>
      <c r="G501" s="10">
        <v>5343.9430000000002</v>
      </c>
      <c r="H501" s="5" t="str">
        <f t="shared" si="7"/>
        <v>Tirunelveli_PALAYAMKOTTAI_PALAYAMKOTTAI</v>
      </c>
    </row>
    <row r="502" spans="1:8">
      <c r="A502" s="8">
        <v>500</v>
      </c>
      <c r="B502" s="9" t="s">
        <v>245</v>
      </c>
      <c r="C502" s="9" t="s">
        <v>193</v>
      </c>
      <c r="D502" s="9" t="s">
        <v>193</v>
      </c>
      <c r="E502" s="10">
        <v>1608.66</v>
      </c>
      <c r="F502" s="10">
        <v>1865.02</v>
      </c>
      <c r="G502" s="10">
        <v>1714.54</v>
      </c>
      <c r="H502" s="5" t="str">
        <f t="shared" si="7"/>
        <v>Tirunelveli_RADHAPURAM_RADHAPURAM</v>
      </c>
    </row>
    <row r="503" spans="1:8">
      <c r="A503" s="8">
        <v>501</v>
      </c>
      <c r="B503" s="9" t="s">
        <v>245</v>
      </c>
      <c r="C503" s="9" t="s">
        <v>193</v>
      </c>
      <c r="D503" s="9" t="s">
        <v>455</v>
      </c>
      <c r="E503" s="10">
        <v>4903.3779999999997</v>
      </c>
      <c r="F503" s="10">
        <v>5083.0559999999996</v>
      </c>
      <c r="G503" s="10">
        <v>4898.5050000000001</v>
      </c>
      <c r="H503" s="5" t="str">
        <f t="shared" si="7"/>
        <v>Tirunelveli_RADHAPURAM_VALLIYOOR</v>
      </c>
    </row>
    <row r="504" spans="1:8">
      <c r="A504" s="8">
        <v>502</v>
      </c>
      <c r="B504" s="9" t="s">
        <v>245</v>
      </c>
      <c r="C504" s="9" t="s">
        <v>456</v>
      </c>
      <c r="D504" s="9" t="s">
        <v>453</v>
      </c>
      <c r="E504" s="10">
        <v>4864.5219999999999</v>
      </c>
      <c r="F504" s="10">
        <v>4186.3850000000002</v>
      </c>
      <c r="G504" s="10">
        <v>3470.5030000000002</v>
      </c>
      <c r="H504" s="5" t="str">
        <f t="shared" si="7"/>
        <v>Tirunelveli_THIRUNELVELI_MANUR</v>
      </c>
    </row>
    <row r="505" spans="1:8">
      <c r="A505" s="8">
        <v>503</v>
      </c>
      <c r="B505" s="9" t="s">
        <v>245</v>
      </c>
      <c r="C505" s="9" t="s">
        <v>456</v>
      </c>
      <c r="D505" s="9" t="s">
        <v>184</v>
      </c>
      <c r="E505" s="10">
        <v>1290.4949999999999</v>
      </c>
      <c r="F505" s="10">
        <v>1286.5260000000001</v>
      </c>
      <c r="G505" s="10">
        <v>1133.68</v>
      </c>
      <c r="H505" s="5" t="str">
        <f t="shared" si="7"/>
        <v>Tirunelveli_THIRUNELVELI_PALAYAMKOTTAI</v>
      </c>
    </row>
    <row r="506" spans="1:8">
      <c r="A506" s="8">
        <v>504</v>
      </c>
      <c r="B506" s="9" t="s">
        <v>245</v>
      </c>
      <c r="C506" s="9" t="s">
        <v>456</v>
      </c>
      <c r="D506" s="9" t="s">
        <v>452</v>
      </c>
      <c r="E506" s="10">
        <v>2279.42</v>
      </c>
      <c r="F506" s="10">
        <v>1754.405</v>
      </c>
      <c r="G506" s="10">
        <v>2175.2550000000001</v>
      </c>
      <c r="H506" s="5" t="str">
        <f t="shared" si="7"/>
        <v>Tirunelveli_THIRUNELVELI_PAPPAKUDI</v>
      </c>
    </row>
    <row r="507" spans="1:8">
      <c r="A507" s="8">
        <v>505</v>
      </c>
      <c r="B507" s="9" t="s">
        <v>245</v>
      </c>
      <c r="C507" s="9" t="s">
        <v>457</v>
      </c>
      <c r="D507" s="9" t="s">
        <v>192</v>
      </c>
      <c r="E507" s="10">
        <v>1462.7349999999999</v>
      </c>
      <c r="F507" s="10">
        <v>1841.78</v>
      </c>
      <c r="G507" s="10">
        <v>1779.655</v>
      </c>
      <c r="H507" s="5" t="str">
        <f t="shared" si="7"/>
        <v>Tirunelveli_TISAYANVILAI_NANGUNERI</v>
      </c>
    </row>
    <row r="508" spans="1:8">
      <c r="A508" s="8">
        <v>506</v>
      </c>
      <c r="B508" s="9" t="s">
        <v>245</v>
      </c>
      <c r="C508" s="9" t="s">
        <v>457</v>
      </c>
      <c r="D508" s="9" t="s">
        <v>193</v>
      </c>
      <c r="E508" s="10">
        <v>3549.085</v>
      </c>
      <c r="F508" s="10">
        <v>3670.9549999999999</v>
      </c>
      <c r="G508" s="10">
        <v>3348.4650000000001</v>
      </c>
      <c r="H508" s="5" t="str">
        <f t="shared" si="7"/>
        <v>Tirunelveli_TISAYANVILAI_RADHAPURAM</v>
      </c>
    </row>
    <row r="509" spans="1:8">
      <c r="A509" s="8">
        <v>507</v>
      </c>
      <c r="B509" s="9" t="s">
        <v>245</v>
      </c>
      <c r="C509" s="9" t="s">
        <v>457</v>
      </c>
      <c r="D509" s="9" t="s">
        <v>455</v>
      </c>
      <c r="E509" s="10">
        <v>525.66</v>
      </c>
      <c r="F509" s="10">
        <v>515.26499999999999</v>
      </c>
      <c r="G509" s="10">
        <v>572.96500000000003</v>
      </c>
      <c r="H509" s="5" t="str">
        <f t="shared" si="7"/>
        <v>Tirunelveli_TISAYANVILAI_VALLIYOOR</v>
      </c>
    </row>
    <row r="510" spans="1:8">
      <c r="A510" s="8">
        <v>508</v>
      </c>
      <c r="B510" s="9" t="s">
        <v>497</v>
      </c>
      <c r="C510" s="9" t="s">
        <v>498</v>
      </c>
      <c r="D510" s="9" t="s">
        <v>499</v>
      </c>
      <c r="E510" s="10">
        <v>9637.5550000000003</v>
      </c>
      <c r="F510" s="10">
        <v>9848.92</v>
      </c>
      <c r="G510" s="10">
        <v>9089.52</v>
      </c>
      <c r="H510" s="5" t="str">
        <f t="shared" si="7"/>
        <v>Tirupathur_AMBUR_MADHANUR</v>
      </c>
    </row>
    <row r="511" spans="1:8">
      <c r="A511" s="8">
        <v>509</v>
      </c>
      <c r="B511" s="9" t="s">
        <v>497</v>
      </c>
      <c r="C511" s="9" t="s">
        <v>15</v>
      </c>
      <c r="D511" s="9" t="s">
        <v>14</v>
      </c>
      <c r="E511" s="10">
        <v>8250.2450000000008</v>
      </c>
      <c r="F511" s="10">
        <v>7264.2449999999999</v>
      </c>
      <c r="G511" s="10">
        <v>7556.77</v>
      </c>
      <c r="H511" s="5" t="str">
        <f t="shared" si="7"/>
        <v>Tirupathur_NATRAMPALLI_JOLARPETTAI</v>
      </c>
    </row>
    <row r="512" spans="1:8">
      <c r="A512" s="8">
        <v>510</v>
      </c>
      <c r="B512" s="9" t="s">
        <v>497</v>
      </c>
      <c r="C512" s="9" t="s">
        <v>15</v>
      </c>
      <c r="D512" s="9" t="s">
        <v>15</v>
      </c>
      <c r="E512" s="10">
        <v>10010.5</v>
      </c>
      <c r="F512" s="10">
        <v>9432.66</v>
      </c>
      <c r="G512" s="10">
        <v>8689.1350000000002</v>
      </c>
      <c r="H512" s="5" t="str">
        <f t="shared" si="7"/>
        <v>Tirupathur_NATRAMPALLI_NATRAMPALLI</v>
      </c>
    </row>
    <row r="513" spans="1:8">
      <c r="A513" s="8">
        <v>511</v>
      </c>
      <c r="B513" s="9" t="s">
        <v>497</v>
      </c>
      <c r="C513" s="9" t="s">
        <v>204</v>
      </c>
      <c r="D513" s="9" t="s">
        <v>500</v>
      </c>
      <c r="E513" s="10">
        <v>3531.08</v>
      </c>
      <c r="F513" s="10">
        <v>3149.42</v>
      </c>
      <c r="G513" s="10">
        <v>3779.6149999999998</v>
      </c>
      <c r="H513" s="5" t="str">
        <f t="shared" si="7"/>
        <v>Tirupathur_THIRUPATHUR_ALANGAYAM</v>
      </c>
    </row>
    <row r="514" spans="1:8">
      <c r="A514" s="8">
        <v>512</v>
      </c>
      <c r="B514" s="9" t="s">
        <v>497</v>
      </c>
      <c r="C514" s="9" t="s">
        <v>204</v>
      </c>
      <c r="D514" s="9" t="s">
        <v>14</v>
      </c>
      <c r="E514" s="10">
        <v>4390.2250000000004</v>
      </c>
      <c r="F514" s="10">
        <v>3774.07</v>
      </c>
      <c r="G514" s="10">
        <v>4216.4250000000002</v>
      </c>
      <c r="H514" s="5" t="str">
        <f t="shared" si="7"/>
        <v>Tirupathur_THIRUPATHUR_JOLARPETTAI</v>
      </c>
    </row>
    <row r="515" spans="1:8">
      <c r="A515" s="8">
        <v>513</v>
      </c>
      <c r="B515" s="9" t="s">
        <v>497</v>
      </c>
      <c r="C515" s="9" t="s">
        <v>204</v>
      </c>
      <c r="D515" s="9" t="s">
        <v>501</v>
      </c>
      <c r="E515" s="10">
        <v>16405.57</v>
      </c>
      <c r="F515" s="10">
        <v>17180.91</v>
      </c>
      <c r="G515" s="10">
        <v>16238.715</v>
      </c>
      <c r="H515" s="5" t="str">
        <f t="shared" si="7"/>
        <v>Tirupathur_THIRUPATHUR_KANDHILI</v>
      </c>
    </row>
    <row r="516" spans="1:8">
      <c r="A516" s="8">
        <v>514</v>
      </c>
      <c r="B516" s="9" t="s">
        <v>497</v>
      </c>
      <c r="C516" s="9" t="s">
        <v>204</v>
      </c>
      <c r="D516" s="9" t="s">
        <v>204</v>
      </c>
      <c r="E516" s="10">
        <v>15877.258</v>
      </c>
      <c r="F516" s="10">
        <v>16056.635</v>
      </c>
      <c r="G516" s="10">
        <v>15253.25</v>
      </c>
      <c r="H516" s="5" t="str">
        <f t="shared" ref="H516:H579" si="8">CONCATENATE(B516,"_",C516,"_",D516)</f>
        <v>Tirupathur_THIRUPATHUR_THIRUPATHUR</v>
      </c>
    </row>
    <row r="517" spans="1:8">
      <c r="A517" s="8">
        <v>515</v>
      </c>
      <c r="B517" s="9" t="s">
        <v>497</v>
      </c>
      <c r="C517" s="9" t="s">
        <v>502</v>
      </c>
      <c r="D517" s="9" t="s">
        <v>500</v>
      </c>
      <c r="E517" s="10">
        <v>11230.22</v>
      </c>
      <c r="F517" s="10">
        <v>10984.388999999999</v>
      </c>
      <c r="G517" s="10">
        <v>11018.11</v>
      </c>
      <c r="H517" s="5" t="str">
        <f t="shared" si="8"/>
        <v>Tirupathur_VANIYAMBADI_ALANGAYAM</v>
      </c>
    </row>
    <row r="518" spans="1:8">
      <c r="A518" s="8">
        <v>516</v>
      </c>
      <c r="B518" s="9" t="s">
        <v>497</v>
      </c>
      <c r="C518" s="9" t="s">
        <v>502</v>
      </c>
      <c r="D518" s="9" t="s">
        <v>14</v>
      </c>
      <c r="E518" s="10">
        <v>363.75</v>
      </c>
      <c r="F518" s="10">
        <v>408.375</v>
      </c>
      <c r="G518" s="10">
        <v>354.97500000000002</v>
      </c>
      <c r="H518" s="5" t="str">
        <f t="shared" si="8"/>
        <v>Tirupathur_VANIYAMBADI_JOLARPETTAI</v>
      </c>
    </row>
    <row r="519" spans="1:8">
      <c r="A519" s="8">
        <v>517</v>
      </c>
      <c r="B519" s="9" t="s">
        <v>497</v>
      </c>
      <c r="C519" s="9" t="s">
        <v>502</v>
      </c>
      <c r="D519" s="9" t="s">
        <v>15</v>
      </c>
      <c r="E519" s="10">
        <v>3786</v>
      </c>
      <c r="F519" s="10">
        <v>3319.17</v>
      </c>
      <c r="G519" s="10">
        <v>3747.7150000000001</v>
      </c>
      <c r="H519" s="5" t="str">
        <f t="shared" si="8"/>
        <v>Tirupathur_VANIYAMBADI_NATRAMPALLI</v>
      </c>
    </row>
    <row r="520" spans="1:8">
      <c r="A520" s="8">
        <v>518</v>
      </c>
      <c r="B520" s="9" t="s">
        <v>274</v>
      </c>
      <c r="C520" s="9" t="s">
        <v>275</v>
      </c>
      <c r="D520" s="9" t="s">
        <v>275</v>
      </c>
      <c r="E520" s="10">
        <v>11038.42</v>
      </c>
      <c r="F520" s="10">
        <v>13667.475</v>
      </c>
      <c r="G520" s="10">
        <v>12678.28</v>
      </c>
      <c r="H520" s="5" t="str">
        <f t="shared" si="8"/>
        <v>Tiruvannamalai_ARNI_ARNI</v>
      </c>
    </row>
    <row r="521" spans="1:8">
      <c r="A521" s="8">
        <v>519</v>
      </c>
      <c r="B521" s="9" t="s">
        <v>274</v>
      </c>
      <c r="C521" s="9" t="s">
        <v>275</v>
      </c>
      <c r="D521" s="9" t="s">
        <v>276</v>
      </c>
      <c r="E521" s="10">
        <v>9775.58</v>
      </c>
      <c r="F521" s="10">
        <v>10120.625</v>
      </c>
      <c r="G521" s="10">
        <v>8880.0650000000005</v>
      </c>
      <c r="H521" s="5" t="str">
        <f t="shared" si="8"/>
        <v>Tiruvannamalai_ARNI_WEST ARNI</v>
      </c>
    </row>
    <row r="522" spans="1:8">
      <c r="A522" s="8">
        <v>520</v>
      </c>
      <c r="B522" s="9" t="s">
        <v>274</v>
      </c>
      <c r="C522" s="9" t="s">
        <v>27</v>
      </c>
      <c r="D522" s="9" t="s">
        <v>27</v>
      </c>
      <c r="E522" s="10">
        <v>19082.77</v>
      </c>
      <c r="F522" s="10">
        <v>21225.62</v>
      </c>
      <c r="G522" s="10">
        <v>24671.165000000001</v>
      </c>
      <c r="H522" s="5" t="str">
        <f t="shared" si="8"/>
        <v>Tiruvannamalai_CHENGAM_CHENGAM</v>
      </c>
    </row>
    <row r="523" spans="1:8">
      <c r="A523" s="8">
        <v>521</v>
      </c>
      <c r="B523" s="9" t="s">
        <v>274</v>
      </c>
      <c r="C523" s="9" t="s">
        <v>27</v>
      </c>
      <c r="D523" s="9" t="s">
        <v>277</v>
      </c>
      <c r="E523" s="10">
        <v>1064.45</v>
      </c>
      <c r="F523" s="10">
        <v>909.9</v>
      </c>
      <c r="G523" s="10">
        <v>875.76499999999999</v>
      </c>
      <c r="H523" s="5" t="str">
        <f t="shared" si="8"/>
        <v>Tiruvannamalai_CHENGAM_JAWADHUHILLS</v>
      </c>
    </row>
    <row r="524" spans="1:8">
      <c r="A524" s="8">
        <v>522</v>
      </c>
      <c r="B524" s="9" t="s">
        <v>274</v>
      </c>
      <c r="C524" s="9" t="s">
        <v>27</v>
      </c>
      <c r="D524" s="9" t="s">
        <v>25</v>
      </c>
      <c r="E524" s="10">
        <v>18148.18</v>
      </c>
      <c r="F524" s="10">
        <v>19778.48</v>
      </c>
      <c r="G524" s="10">
        <v>18632.794999999998</v>
      </c>
      <c r="H524" s="5" t="str">
        <f t="shared" si="8"/>
        <v>Tiruvannamalai_CHENGAM_PUDUPALAYAM</v>
      </c>
    </row>
    <row r="525" spans="1:8">
      <c r="A525" s="8">
        <v>523</v>
      </c>
      <c r="B525" s="9" t="s">
        <v>274</v>
      </c>
      <c r="C525" s="9" t="s">
        <v>278</v>
      </c>
      <c r="D525" s="9" t="s">
        <v>278</v>
      </c>
      <c r="E525" s="10">
        <v>10183.52</v>
      </c>
      <c r="F525" s="10">
        <v>8643.48</v>
      </c>
      <c r="G525" s="10">
        <v>9085.06</v>
      </c>
      <c r="H525" s="5" t="str">
        <f t="shared" si="8"/>
        <v>Tiruvannamalai_CHETPET_CHETPET</v>
      </c>
    </row>
    <row r="526" spans="1:8">
      <c r="A526" s="8">
        <v>524</v>
      </c>
      <c r="B526" s="9" t="s">
        <v>274</v>
      </c>
      <c r="C526" s="9" t="s">
        <v>278</v>
      </c>
      <c r="D526" s="9" t="s">
        <v>279</v>
      </c>
      <c r="E526" s="10">
        <v>8598.0249999999996</v>
      </c>
      <c r="F526" s="10">
        <v>9221.66</v>
      </c>
      <c r="G526" s="10">
        <v>9778.9050000000007</v>
      </c>
      <c r="H526" s="5" t="str">
        <f t="shared" si="8"/>
        <v>Tiruvannamalai_CHETPET_PERANAMALLUR</v>
      </c>
    </row>
    <row r="527" spans="1:8">
      <c r="A527" s="8">
        <v>525</v>
      </c>
      <c r="B527" s="9" t="s">
        <v>274</v>
      </c>
      <c r="C527" s="9" t="s">
        <v>278</v>
      </c>
      <c r="D527" s="9" t="s">
        <v>276</v>
      </c>
      <c r="E527" s="10">
        <v>2196.2649999999999</v>
      </c>
      <c r="F527" s="10">
        <v>1862.12</v>
      </c>
      <c r="G527" s="10">
        <v>2047.1849999999999</v>
      </c>
      <c r="H527" s="5" t="str">
        <f t="shared" si="8"/>
        <v>Tiruvannamalai_CHETPET_WEST ARNI</v>
      </c>
    </row>
    <row r="528" spans="1:8">
      <c r="A528" s="8">
        <v>526</v>
      </c>
      <c r="B528" s="9" t="s">
        <v>274</v>
      </c>
      <c r="C528" s="9" t="s">
        <v>29</v>
      </c>
      <c r="D528" s="9" t="s">
        <v>280</v>
      </c>
      <c r="E528" s="10">
        <v>12721.3</v>
      </c>
      <c r="F528" s="10">
        <v>12288.105</v>
      </c>
      <c r="G528" s="10">
        <v>12145.18</v>
      </c>
      <c r="H528" s="5" t="str">
        <f t="shared" si="8"/>
        <v>Tiruvannamalai_CHEYYAR_ANAKKAVOOR</v>
      </c>
    </row>
    <row r="529" spans="1:8">
      <c r="A529" s="8">
        <v>527</v>
      </c>
      <c r="B529" s="9" t="s">
        <v>274</v>
      </c>
      <c r="C529" s="9" t="s">
        <v>29</v>
      </c>
      <c r="D529" s="9" t="s">
        <v>29</v>
      </c>
      <c r="E529" s="10">
        <v>16493.916000000001</v>
      </c>
      <c r="F529" s="10">
        <v>14378.155000000001</v>
      </c>
      <c r="G529" s="10">
        <v>13315.82</v>
      </c>
      <c r="H529" s="5" t="str">
        <f t="shared" si="8"/>
        <v>Tiruvannamalai_CHEYYAR_CHEYYAR</v>
      </c>
    </row>
    <row r="530" spans="1:8">
      <c r="A530" s="8">
        <v>528</v>
      </c>
      <c r="B530" s="9" t="s">
        <v>274</v>
      </c>
      <c r="C530" s="9" t="s">
        <v>281</v>
      </c>
      <c r="D530" s="9" t="s">
        <v>277</v>
      </c>
      <c r="E530" s="10">
        <v>12872</v>
      </c>
      <c r="F530" s="10">
        <v>12848</v>
      </c>
      <c r="G530" s="10">
        <v>13715</v>
      </c>
      <c r="H530" s="5" t="str">
        <f t="shared" si="8"/>
        <v>Tiruvannamalai_JAMUNAMARATHOOR_JAWADHUHILLS</v>
      </c>
    </row>
    <row r="531" spans="1:8">
      <c r="A531" s="8">
        <v>529</v>
      </c>
      <c r="B531" s="9" t="s">
        <v>274</v>
      </c>
      <c r="C531" s="9" t="s">
        <v>31</v>
      </c>
      <c r="D531" s="9" t="s">
        <v>31</v>
      </c>
      <c r="E531" s="10">
        <v>23659</v>
      </c>
      <c r="F531" s="10">
        <v>22261</v>
      </c>
      <c r="G531" s="10">
        <v>20059</v>
      </c>
      <c r="H531" s="5" t="str">
        <f t="shared" si="8"/>
        <v>Tiruvannamalai_KALASAPAKKAM_KALASAPAKKAM</v>
      </c>
    </row>
    <row r="532" spans="1:8">
      <c r="A532" s="8">
        <v>530</v>
      </c>
      <c r="B532" s="9" t="s">
        <v>274</v>
      </c>
      <c r="C532" s="9" t="s">
        <v>282</v>
      </c>
      <c r="D532" s="9" t="s">
        <v>282</v>
      </c>
      <c r="E532" s="10">
        <v>23239.21</v>
      </c>
      <c r="F532" s="10">
        <v>22740.974999999999</v>
      </c>
      <c r="G532" s="10">
        <v>23465.244999999999</v>
      </c>
      <c r="H532" s="5" t="str">
        <f t="shared" si="8"/>
        <v>Tiruvannamalai_KILPENATHUR_KILPENATHUR</v>
      </c>
    </row>
    <row r="533" spans="1:8">
      <c r="A533" s="8">
        <v>531</v>
      </c>
      <c r="B533" s="9" t="s">
        <v>274</v>
      </c>
      <c r="C533" s="9" t="s">
        <v>282</v>
      </c>
      <c r="D533" s="9" t="s">
        <v>34</v>
      </c>
      <c r="E533" s="10">
        <v>5236.74</v>
      </c>
      <c r="F533" s="10">
        <v>5126.6750000000002</v>
      </c>
      <c r="G533" s="10">
        <v>5257.08</v>
      </c>
      <c r="H533" s="5" t="str">
        <f t="shared" si="8"/>
        <v>Tiruvannamalai_KILPENATHUR_THURINJAPURAM</v>
      </c>
    </row>
    <row r="534" spans="1:8">
      <c r="A534" s="8">
        <v>532</v>
      </c>
      <c r="B534" s="9" t="s">
        <v>274</v>
      </c>
      <c r="C534" s="9" t="s">
        <v>282</v>
      </c>
      <c r="D534" s="9" t="s">
        <v>283</v>
      </c>
      <c r="E534" s="10">
        <v>4582.05</v>
      </c>
      <c r="F534" s="10">
        <v>4372.8149999999996</v>
      </c>
      <c r="G534" s="10">
        <v>2932.7550000000001</v>
      </c>
      <c r="H534" s="5" t="str">
        <f t="shared" si="8"/>
        <v>Tiruvannamalai_KILPENATHUR_TIRUVANNAMALAI</v>
      </c>
    </row>
    <row r="535" spans="1:8">
      <c r="A535" s="8">
        <v>533</v>
      </c>
      <c r="B535" s="9" t="s">
        <v>274</v>
      </c>
      <c r="C535" s="9" t="s">
        <v>30</v>
      </c>
      <c r="D535" s="9" t="s">
        <v>278</v>
      </c>
      <c r="E535" s="10">
        <v>9699.3050000000003</v>
      </c>
      <c r="F535" s="10">
        <v>11094.5</v>
      </c>
      <c r="G535" s="10">
        <v>11270.57</v>
      </c>
      <c r="H535" s="5" t="str">
        <f t="shared" si="8"/>
        <v>Tiruvannamalai_POLUR_CHETPET</v>
      </c>
    </row>
    <row r="536" spans="1:8">
      <c r="A536" s="8">
        <v>534</v>
      </c>
      <c r="B536" s="9" t="s">
        <v>274</v>
      </c>
      <c r="C536" s="9" t="s">
        <v>30</v>
      </c>
      <c r="D536" s="9" t="s">
        <v>30</v>
      </c>
      <c r="E536" s="10">
        <v>25963.474999999999</v>
      </c>
      <c r="F536" s="10">
        <v>25686.5</v>
      </c>
      <c r="G536" s="10">
        <v>24547.794999999998</v>
      </c>
      <c r="H536" s="5" t="str">
        <f t="shared" si="8"/>
        <v>Tiruvannamalai_POLUR_POLUR</v>
      </c>
    </row>
    <row r="537" spans="1:8">
      <c r="A537" s="8">
        <v>535</v>
      </c>
      <c r="B537" s="9" t="s">
        <v>274</v>
      </c>
      <c r="C537" s="9" t="s">
        <v>26</v>
      </c>
      <c r="D537" s="9" t="s">
        <v>27</v>
      </c>
      <c r="E537" s="10">
        <v>119.6</v>
      </c>
      <c r="F537" s="10">
        <v>152.80000000000001</v>
      </c>
      <c r="G537" s="10">
        <v>136.5</v>
      </c>
      <c r="H537" s="5" t="str">
        <f t="shared" si="8"/>
        <v>Tiruvannamalai_THANDARAMPATTU_CHENGAM</v>
      </c>
    </row>
    <row r="538" spans="1:8">
      <c r="A538" s="8">
        <v>536</v>
      </c>
      <c r="B538" s="9" t="s">
        <v>274</v>
      </c>
      <c r="C538" s="9" t="s">
        <v>26</v>
      </c>
      <c r="D538" s="9" t="s">
        <v>284</v>
      </c>
      <c r="E538" s="10">
        <v>35150</v>
      </c>
      <c r="F538" s="10">
        <v>37618.644999999997</v>
      </c>
      <c r="G538" s="10">
        <v>35514.945</v>
      </c>
      <c r="H538" s="5" t="str">
        <f t="shared" si="8"/>
        <v>Tiruvannamalai_THANDARAMPATTU_THANDARAMPAT</v>
      </c>
    </row>
    <row r="539" spans="1:8">
      <c r="A539" s="8">
        <v>537</v>
      </c>
      <c r="B539" s="9" t="s">
        <v>274</v>
      </c>
      <c r="C539" s="9" t="s">
        <v>283</v>
      </c>
      <c r="D539" s="9" t="s">
        <v>34</v>
      </c>
      <c r="E539" s="10">
        <v>20311.7</v>
      </c>
      <c r="F539" s="10">
        <v>24806.028999999999</v>
      </c>
      <c r="G539" s="10">
        <v>22086.601999999999</v>
      </c>
      <c r="H539" s="5" t="str">
        <f t="shared" si="8"/>
        <v>Tiruvannamalai_TIRUVANNAMALAI_THURINJAPURAM</v>
      </c>
    </row>
    <row r="540" spans="1:8">
      <c r="A540" s="8">
        <v>538</v>
      </c>
      <c r="B540" s="9" t="s">
        <v>274</v>
      </c>
      <c r="C540" s="9" t="s">
        <v>283</v>
      </c>
      <c r="D540" s="9" t="s">
        <v>283</v>
      </c>
      <c r="E540" s="10">
        <v>19196.47</v>
      </c>
      <c r="F540" s="10">
        <v>20126.971000000001</v>
      </c>
      <c r="G540" s="10">
        <v>19021.398000000001</v>
      </c>
      <c r="H540" s="5" t="str">
        <f t="shared" si="8"/>
        <v>Tiruvannamalai_TIRUVANNAMALAI_TIRUVANNAMALAI</v>
      </c>
    </row>
    <row r="541" spans="1:8">
      <c r="A541" s="8">
        <v>539</v>
      </c>
      <c r="B541" s="9" t="s">
        <v>274</v>
      </c>
      <c r="C541" s="9" t="s">
        <v>33</v>
      </c>
      <c r="D541" s="9" t="s">
        <v>279</v>
      </c>
      <c r="E541" s="10">
        <v>4315.3</v>
      </c>
      <c r="F541" s="10">
        <v>4369.3050000000003</v>
      </c>
      <c r="G541" s="10">
        <v>5118.0349999999999</v>
      </c>
      <c r="H541" s="5" t="str">
        <f t="shared" si="8"/>
        <v>Tiruvannamalai_VANDAVASI_PERANAMALLUR</v>
      </c>
    </row>
    <row r="542" spans="1:8">
      <c r="A542" s="8">
        <v>540</v>
      </c>
      <c r="B542" s="9" t="s">
        <v>274</v>
      </c>
      <c r="C542" s="9" t="s">
        <v>33</v>
      </c>
      <c r="D542" s="9" t="s">
        <v>32</v>
      </c>
      <c r="E542" s="10">
        <v>11002.21</v>
      </c>
      <c r="F542" s="10">
        <v>11541.764999999999</v>
      </c>
      <c r="G542" s="10">
        <v>13080.014999999999</v>
      </c>
      <c r="H542" s="5" t="str">
        <f t="shared" si="8"/>
        <v>Tiruvannamalai_VANDAVASI_THELLAR</v>
      </c>
    </row>
    <row r="543" spans="1:8">
      <c r="A543" s="8">
        <v>541</v>
      </c>
      <c r="B543" s="9" t="s">
        <v>274</v>
      </c>
      <c r="C543" s="9" t="s">
        <v>33</v>
      </c>
      <c r="D543" s="9" t="s">
        <v>33</v>
      </c>
      <c r="E543" s="10">
        <v>12564.49</v>
      </c>
      <c r="F543" s="10">
        <v>12050.48</v>
      </c>
      <c r="G543" s="10">
        <v>12381.95</v>
      </c>
      <c r="H543" s="5" t="str">
        <f t="shared" si="8"/>
        <v>Tiruvannamalai_VANDAVASI_VANDAVASI</v>
      </c>
    </row>
    <row r="544" spans="1:8">
      <c r="A544" s="8">
        <v>542</v>
      </c>
      <c r="B544" s="9" t="s">
        <v>274</v>
      </c>
      <c r="C544" s="9" t="s">
        <v>28</v>
      </c>
      <c r="D544" s="9" t="s">
        <v>28</v>
      </c>
      <c r="E544" s="10">
        <v>18159.7</v>
      </c>
      <c r="F544" s="10">
        <v>17853.5</v>
      </c>
      <c r="G544" s="10">
        <v>19083.11</v>
      </c>
      <c r="H544" s="5" t="str">
        <f t="shared" si="8"/>
        <v>Tiruvannamalai_VEMBAKKAM_VEMBAKKAM</v>
      </c>
    </row>
    <row r="545" spans="1:8">
      <c r="A545" s="8">
        <v>543</v>
      </c>
      <c r="B545" s="9" t="s">
        <v>226</v>
      </c>
      <c r="C545" s="9" t="s">
        <v>22</v>
      </c>
      <c r="D545" s="9" t="s">
        <v>22</v>
      </c>
      <c r="E545" s="10">
        <v>15134.475</v>
      </c>
      <c r="F545" s="10">
        <v>14323.19</v>
      </c>
      <c r="G545" s="10">
        <v>14227.21</v>
      </c>
      <c r="H545" s="5" t="str">
        <f t="shared" si="8"/>
        <v>Vellore_ANAICUT_ANAICUT</v>
      </c>
    </row>
    <row r="546" spans="1:8">
      <c r="A546" s="8">
        <v>544</v>
      </c>
      <c r="B546" s="9" t="s">
        <v>226</v>
      </c>
      <c r="C546" s="9" t="s">
        <v>22</v>
      </c>
      <c r="D546" s="9" t="s">
        <v>23</v>
      </c>
      <c r="E546" s="10">
        <v>2478.8000000000002</v>
      </c>
      <c r="F546" s="10">
        <v>2406.54</v>
      </c>
      <c r="G546" s="10">
        <v>2584.73</v>
      </c>
      <c r="H546" s="5" t="str">
        <f t="shared" si="8"/>
        <v>Vellore_ANAICUT_VELLORE</v>
      </c>
    </row>
    <row r="547" spans="1:8">
      <c r="A547" s="8">
        <v>545</v>
      </c>
      <c r="B547" s="9" t="s">
        <v>226</v>
      </c>
      <c r="C547" s="9" t="s">
        <v>18</v>
      </c>
      <c r="D547" s="9" t="s">
        <v>18</v>
      </c>
      <c r="E547" s="10">
        <v>14763.13</v>
      </c>
      <c r="F547" s="10">
        <v>14422.665000000001</v>
      </c>
      <c r="G547" s="10">
        <v>14406.33</v>
      </c>
      <c r="H547" s="5" t="str">
        <f t="shared" si="8"/>
        <v>Vellore_GUDIYATHAM_GUDIYATHAM</v>
      </c>
    </row>
    <row r="548" spans="1:8">
      <c r="A548" s="8">
        <v>546</v>
      </c>
      <c r="B548" s="9" t="s">
        <v>226</v>
      </c>
      <c r="C548" s="9" t="s">
        <v>18</v>
      </c>
      <c r="D548" s="9" t="s">
        <v>19</v>
      </c>
      <c r="E548" s="10">
        <v>456.57</v>
      </c>
      <c r="F548" s="10">
        <v>411.9</v>
      </c>
      <c r="G548" s="10">
        <v>442.03</v>
      </c>
      <c r="H548" s="5" t="str">
        <f t="shared" si="8"/>
        <v>Vellore_GUDIYATHAM_K.V.KUPPAM</v>
      </c>
    </row>
    <row r="549" spans="1:8">
      <c r="A549" s="8">
        <v>547</v>
      </c>
      <c r="B549" s="9" t="s">
        <v>226</v>
      </c>
      <c r="C549" s="9" t="s">
        <v>19</v>
      </c>
      <c r="D549" s="9" t="s">
        <v>19</v>
      </c>
      <c r="E549" s="10">
        <v>8435.5499999999993</v>
      </c>
      <c r="F549" s="10">
        <v>8225.23</v>
      </c>
      <c r="G549" s="10">
        <v>7590.6350000000002</v>
      </c>
      <c r="H549" s="5" t="str">
        <f t="shared" si="8"/>
        <v>Vellore_K.V.KUPPAM_K.V.KUPPAM</v>
      </c>
    </row>
    <row r="550" spans="1:8">
      <c r="A550" s="8">
        <v>548</v>
      </c>
      <c r="B550" s="9" t="s">
        <v>226</v>
      </c>
      <c r="C550" s="9" t="s">
        <v>17</v>
      </c>
      <c r="D550" s="9" t="s">
        <v>17</v>
      </c>
      <c r="E550" s="10">
        <v>10754.37</v>
      </c>
      <c r="F550" s="10">
        <v>10605.514999999999</v>
      </c>
      <c r="G550" s="10">
        <v>10326.41</v>
      </c>
      <c r="H550" s="5" t="str">
        <f t="shared" si="8"/>
        <v>Vellore_KATPADI_KATPADI</v>
      </c>
    </row>
    <row r="551" spans="1:8">
      <c r="A551" s="8">
        <v>549</v>
      </c>
      <c r="B551" s="9" t="s">
        <v>226</v>
      </c>
      <c r="C551" s="9" t="s">
        <v>20</v>
      </c>
      <c r="D551" s="9" t="s">
        <v>20</v>
      </c>
      <c r="E551" s="10">
        <v>6678.8450000000003</v>
      </c>
      <c r="F551" s="10">
        <v>5952.87</v>
      </c>
      <c r="G551" s="10">
        <v>6202.165</v>
      </c>
      <c r="H551" s="5" t="str">
        <f t="shared" si="8"/>
        <v>Vellore_PERNAMPET_PERNAMPET</v>
      </c>
    </row>
    <row r="552" spans="1:8">
      <c r="A552" s="8">
        <v>550</v>
      </c>
      <c r="B552" s="9" t="s">
        <v>226</v>
      </c>
      <c r="C552" s="9" t="s">
        <v>23</v>
      </c>
      <c r="D552" s="9" t="s">
        <v>271</v>
      </c>
      <c r="E552" s="10">
        <v>7221.39</v>
      </c>
      <c r="F552" s="10">
        <v>7047.375</v>
      </c>
      <c r="G552" s="10">
        <v>7498.31</v>
      </c>
      <c r="H552" s="5" t="str">
        <f t="shared" si="8"/>
        <v>Vellore_VELLORE_KANIYAMBADI</v>
      </c>
    </row>
    <row r="553" spans="1:8">
      <c r="A553" s="8">
        <v>551</v>
      </c>
      <c r="B553" s="9" t="s">
        <v>226</v>
      </c>
      <c r="C553" s="9" t="s">
        <v>23</v>
      </c>
      <c r="D553" s="9" t="s">
        <v>23</v>
      </c>
      <c r="E553" s="10">
        <v>1498.72</v>
      </c>
      <c r="F553" s="10">
        <v>1902.62</v>
      </c>
      <c r="G553" s="10">
        <v>1479.08</v>
      </c>
      <c r="H553" s="5" t="str">
        <f t="shared" si="8"/>
        <v>Vellore_VELLORE_VELLORE</v>
      </c>
    </row>
    <row r="554" spans="1:8">
      <c r="A554" s="8">
        <v>552</v>
      </c>
      <c r="B554" s="9" t="s">
        <v>229</v>
      </c>
      <c r="C554" s="9" t="s">
        <v>48</v>
      </c>
      <c r="D554" s="9" t="s">
        <v>48</v>
      </c>
      <c r="E554" s="10">
        <v>17302.615000000002</v>
      </c>
      <c r="F554" s="10">
        <v>16142.885</v>
      </c>
      <c r="G554" s="10">
        <v>17318.634999999998</v>
      </c>
      <c r="H554" s="5" t="str">
        <f t="shared" si="8"/>
        <v>Villupuram_GINGEE_GINGEE</v>
      </c>
    </row>
    <row r="555" spans="1:8">
      <c r="A555" s="8">
        <v>553</v>
      </c>
      <c r="B555" s="9" t="s">
        <v>229</v>
      </c>
      <c r="C555" s="9" t="s">
        <v>48</v>
      </c>
      <c r="D555" s="9" t="s">
        <v>47</v>
      </c>
      <c r="E555" s="10">
        <v>21806.845000000001</v>
      </c>
      <c r="F555" s="10">
        <v>20768.68</v>
      </c>
      <c r="G555" s="10">
        <v>19042.41</v>
      </c>
      <c r="H555" s="5" t="str">
        <f t="shared" si="8"/>
        <v>Villupuram_GINGEE_VALLAM</v>
      </c>
    </row>
    <row r="556" spans="1:8">
      <c r="A556" s="8">
        <v>554</v>
      </c>
      <c r="B556" s="9" t="s">
        <v>229</v>
      </c>
      <c r="C556" s="9" t="s">
        <v>285</v>
      </c>
      <c r="D556" s="9" t="s">
        <v>45</v>
      </c>
      <c r="E556" s="10">
        <v>21127.474999999999</v>
      </c>
      <c r="F556" s="10">
        <v>19490.61</v>
      </c>
      <c r="G556" s="10">
        <v>21304.18</v>
      </c>
      <c r="H556" s="5" t="str">
        <f t="shared" si="8"/>
        <v>Villupuram_KANDACHIPURAM_MUGAIYUR</v>
      </c>
    </row>
    <row r="557" spans="1:8">
      <c r="A557" s="8">
        <v>555</v>
      </c>
      <c r="B557" s="9" t="s">
        <v>229</v>
      </c>
      <c r="C557" s="9" t="s">
        <v>51</v>
      </c>
      <c r="D557" s="9" t="s">
        <v>51</v>
      </c>
      <c r="E557" s="10">
        <v>11462.205</v>
      </c>
      <c r="F557" s="10">
        <v>11138.965</v>
      </c>
      <c r="G557" s="10">
        <v>11075.96</v>
      </c>
      <c r="H557" s="5" t="str">
        <f t="shared" si="8"/>
        <v>Villupuram_MARAKANAM_MARAKANAM</v>
      </c>
    </row>
    <row r="558" spans="1:8">
      <c r="A558" s="8">
        <v>556</v>
      </c>
      <c r="B558" s="9" t="s">
        <v>229</v>
      </c>
      <c r="C558" s="9" t="s">
        <v>49</v>
      </c>
      <c r="D558" s="9" t="s">
        <v>49</v>
      </c>
      <c r="E558" s="10">
        <v>23690.375</v>
      </c>
      <c r="F558" s="10">
        <v>21748.06</v>
      </c>
      <c r="G558" s="10">
        <v>23137.215</v>
      </c>
      <c r="H558" s="5" t="str">
        <f t="shared" si="8"/>
        <v>Villupuram_MELMALAYANUR_MELMALAYANUR</v>
      </c>
    </row>
    <row r="559" spans="1:8">
      <c r="A559" s="8">
        <v>557</v>
      </c>
      <c r="B559" s="9" t="s">
        <v>229</v>
      </c>
      <c r="C559" s="9" t="s">
        <v>286</v>
      </c>
      <c r="D559" s="9" t="s">
        <v>45</v>
      </c>
      <c r="E559" s="10">
        <v>272.38499999999999</v>
      </c>
      <c r="F559" s="10">
        <v>220</v>
      </c>
      <c r="G559" s="10">
        <v>941.85</v>
      </c>
      <c r="H559" s="5" t="str">
        <f t="shared" si="8"/>
        <v>Villupuram_T.V.NALLUR_MUGAIYUR</v>
      </c>
    </row>
    <row r="560" spans="1:8">
      <c r="A560" s="8">
        <v>558</v>
      </c>
      <c r="B560" s="9" t="s">
        <v>229</v>
      </c>
      <c r="C560" s="9" t="s">
        <v>286</v>
      </c>
      <c r="D560" s="9" t="s">
        <v>286</v>
      </c>
      <c r="E560" s="10">
        <v>17259.955000000002</v>
      </c>
      <c r="F560" s="10">
        <v>16700.654999999999</v>
      </c>
      <c r="G560" s="10">
        <v>19664.205000000002</v>
      </c>
      <c r="H560" s="5" t="str">
        <f t="shared" si="8"/>
        <v>Villupuram_T.V.NALLUR_T.V.NALLUR</v>
      </c>
    </row>
    <row r="561" spans="1:8">
      <c r="A561" s="8">
        <v>559</v>
      </c>
      <c r="B561" s="9" t="s">
        <v>229</v>
      </c>
      <c r="C561" s="9" t="s">
        <v>287</v>
      </c>
      <c r="D561" s="9" t="s">
        <v>52</v>
      </c>
      <c r="E561" s="10">
        <v>16259.86</v>
      </c>
      <c r="F561" s="10">
        <v>13708.07</v>
      </c>
      <c r="G561" s="10">
        <v>15337.25</v>
      </c>
      <c r="H561" s="5" t="str">
        <f t="shared" si="8"/>
        <v>Villupuram_TINDIVANAM_MAILAM</v>
      </c>
    </row>
    <row r="562" spans="1:8">
      <c r="A562" s="8">
        <v>560</v>
      </c>
      <c r="B562" s="9" t="s">
        <v>229</v>
      </c>
      <c r="C562" s="9" t="s">
        <v>287</v>
      </c>
      <c r="D562" s="9" t="s">
        <v>51</v>
      </c>
      <c r="E562" s="10">
        <v>5661.6149999999998</v>
      </c>
      <c r="F562" s="10">
        <v>4987.4049999999997</v>
      </c>
      <c r="G562" s="10">
        <v>5222.29</v>
      </c>
      <c r="H562" s="5" t="str">
        <f t="shared" si="8"/>
        <v>Villupuram_TINDIVANAM_MARAKANAM</v>
      </c>
    </row>
    <row r="563" spans="1:8">
      <c r="A563" s="8">
        <v>561</v>
      </c>
      <c r="B563" s="9" t="s">
        <v>229</v>
      </c>
      <c r="C563" s="9" t="s">
        <v>287</v>
      </c>
      <c r="D563" s="9" t="s">
        <v>50</v>
      </c>
      <c r="E563" s="10">
        <v>11394.42</v>
      </c>
      <c r="F563" s="10">
        <v>12253.905000000001</v>
      </c>
      <c r="G563" s="10">
        <v>13395.165000000001</v>
      </c>
      <c r="H563" s="5" t="str">
        <f t="shared" si="8"/>
        <v>Villupuram_TINDIVANAM_OLAKKUR</v>
      </c>
    </row>
    <row r="564" spans="1:8">
      <c r="A564" s="8">
        <v>562</v>
      </c>
      <c r="B564" s="9" t="s">
        <v>229</v>
      </c>
      <c r="C564" s="9" t="s">
        <v>46</v>
      </c>
      <c r="D564" s="9" t="s">
        <v>46</v>
      </c>
      <c r="E564" s="10">
        <v>26642.01</v>
      </c>
      <c r="F564" s="10">
        <v>24591.735000000001</v>
      </c>
      <c r="G564" s="10">
        <v>24938.634999999998</v>
      </c>
      <c r="H564" s="5" t="str">
        <f t="shared" si="8"/>
        <v>Villupuram_VANUR_VANUR</v>
      </c>
    </row>
    <row r="565" spans="1:8">
      <c r="A565" s="8">
        <v>563</v>
      </c>
      <c r="B565" s="9" t="s">
        <v>229</v>
      </c>
      <c r="C565" s="9" t="s">
        <v>288</v>
      </c>
      <c r="D565" s="9" t="s">
        <v>289</v>
      </c>
      <c r="E565" s="10">
        <v>10554.91</v>
      </c>
      <c r="F565" s="10">
        <v>9904.7099999999991</v>
      </c>
      <c r="G565" s="10">
        <v>10707.51</v>
      </c>
      <c r="H565" s="5" t="str">
        <f t="shared" si="8"/>
        <v>Villupuram_VIKKARAVANDI_KANAI</v>
      </c>
    </row>
    <row r="566" spans="1:8">
      <c r="A566" s="8">
        <v>564</v>
      </c>
      <c r="B566" s="9" t="s">
        <v>229</v>
      </c>
      <c r="C566" s="9" t="s">
        <v>288</v>
      </c>
      <c r="D566" s="9" t="s">
        <v>56</v>
      </c>
      <c r="E566" s="10">
        <v>3872.855</v>
      </c>
      <c r="F566" s="10">
        <v>4424.04</v>
      </c>
      <c r="G566" s="10">
        <v>4836.835</v>
      </c>
      <c r="H566" s="5" t="str">
        <f t="shared" si="8"/>
        <v>Villupuram_VIKKARAVANDI_KANDAMANGALAM</v>
      </c>
    </row>
    <row r="567" spans="1:8">
      <c r="A567" s="8">
        <v>565</v>
      </c>
      <c r="B567" s="9" t="s">
        <v>229</v>
      </c>
      <c r="C567" s="9" t="s">
        <v>288</v>
      </c>
      <c r="D567" s="9" t="s">
        <v>290</v>
      </c>
      <c r="E567" s="10">
        <v>894.27</v>
      </c>
      <c r="F567" s="10">
        <v>950.82</v>
      </c>
      <c r="G567" s="10">
        <v>858.66</v>
      </c>
      <c r="H567" s="5" t="str">
        <f t="shared" si="8"/>
        <v>Villupuram_VIKKARAVANDI_KOLIYANUR</v>
      </c>
    </row>
    <row r="568" spans="1:8">
      <c r="A568" s="8">
        <v>566</v>
      </c>
      <c r="B568" s="9" t="s">
        <v>229</v>
      </c>
      <c r="C568" s="9" t="s">
        <v>288</v>
      </c>
      <c r="D568" s="9" t="s">
        <v>288</v>
      </c>
      <c r="E568" s="10">
        <v>13528.22</v>
      </c>
      <c r="F568" s="10">
        <v>12734.674999999999</v>
      </c>
      <c r="G568" s="10">
        <v>12392.135</v>
      </c>
      <c r="H568" s="5" t="str">
        <f t="shared" si="8"/>
        <v>Villupuram_VIKKARAVANDI_VIKKARAVANDI</v>
      </c>
    </row>
    <row r="569" spans="1:8">
      <c r="A569" s="8">
        <v>567</v>
      </c>
      <c r="B569" s="9" t="s">
        <v>229</v>
      </c>
      <c r="C569" s="9" t="s">
        <v>291</v>
      </c>
      <c r="D569" s="9" t="s">
        <v>289</v>
      </c>
      <c r="E569" s="10">
        <v>10027.35</v>
      </c>
      <c r="F569" s="10">
        <v>9300.2649999999994</v>
      </c>
      <c r="G569" s="10">
        <v>8540.3799999999992</v>
      </c>
      <c r="H569" s="5" t="str">
        <f t="shared" si="8"/>
        <v>Villupuram_VILLUPURAM_KANAI</v>
      </c>
    </row>
    <row r="570" spans="1:8">
      <c r="A570" s="8">
        <v>568</v>
      </c>
      <c r="B570" s="9" t="s">
        <v>229</v>
      </c>
      <c r="C570" s="9" t="s">
        <v>291</v>
      </c>
      <c r="D570" s="9" t="s">
        <v>56</v>
      </c>
      <c r="E570" s="10">
        <v>12775.875</v>
      </c>
      <c r="F570" s="10">
        <v>12993.584999999999</v>
      </c>
      <c r="G570" s="10">
        <v>13093.395</v>
      </c>
      <c r="H570" s="5" t="str">
        <f t="shared" si="8"/>
        <v>Villupuram_VILLUPURAM_KANDAMANGALAM</v>
      </c>
    </row>
    <row r="571" spans="1:8">
      <c r="A571" s="8">
        <v>569</v>
      </c>
      <c r="B571" s="9" t="s">
        <v>229</v>
      </c>
      <c r="C571" s="9" t="s">
        <v>291</v>
      </c>
      <c r="D571" s="9" t="s">
        <v>290</v>
      </c>
      <c r="E571" s="10">
        <v>13190.695</v>
      </c>
      <c r="F571" s="10">
        <v>10713.375</v>
      </c>
      <c r="G571" s="10">
        <v>11256.41</v>
      </c>
      <c r="H571" s="5" t="str">
        <f t="shared" si="8"/>
        <v>Villupuram_VILLUPURAM_KOLIYANUR</v>
      </c>
    </row>
    <row r="572" spans="1:8">
      <c r="A572" s="8">
        <v>570</v>
      </c>
      <c r="B572" s="9" t="s">
        <v>248</v>
      </c>
      <c r="C572" s="9" t="s">
        <v>212</v>
      </c>
      <c r="D572" s="9" t="s">
        <v>212</v>
      </c>
      <c r="E572" s="10">
        <v>16067.88</v>
      </c>
      <c r="F572" s="10">
        <v>16572.105</v>
      </c>
      <c r="G572" s="10">
        <v>16728.764999999999</v>
      </c>
      <c r="H572" s="5" t="str">
        <f t="shared" si="8"/>
        <v>Virudhunagar_ARUPPUKOTTAI_ARUPPUKOTTAI</v>
      </c>
    </row>
    <row r="573" spans="1:8">
      <c r="A573" s="8">
        <v>571</v>
      </c>
      <c r="B573" s="9" t="s">
        <v>248</v>
      </c>
      <c r="C573" s="9" t="s">
        <v>212</v>
      </c>
      <c r="D573" s="9" t="s">
        <v>214</v>
      </c>
      <c r="E573" s="10">
        <v>16458.7</v>
      </c>
      <c r="F573" s="10">
        <v>16676.64</v>
      </c>
      <c r="G573" s="10">
        <v>16587.945</v>
      </c>
      <c r="H573" s="5" t="str">
        <f t="shared" si="8"/>
        <v>Virudhunagar_ARUPPUKOTTAI_THIRUCHULI</v>
      </c>
    </row>
    <row r="574" spans="1:8">
      <c r="A574" s="8">
        <v>572</v>
      </c>
      <c r="B574" s="9" t="s">
        <v>248</v>
      </c>
      <c r="C574" s="9" t="s">
        <v>434</v>
      </c>
      <c r="D574" s="9" t="s">
        <v>434</v>
      </c>
      <c r="E574" s="10">
        <v>11836.44</v>
      </c>
      <c r="F574" s="10">
        <v>12422.71</v>
      </c>
      <c r="G574" s="10">
        <v>12205.445</v>
      </c>
      <c r="H574" s="5" t="str">
        <f t="shared" si="8"/>
        <v>Virudhunagar_KARIAPATTI_KARIAPATTI</v>
      </c>
    </row>
    <row r="575" spans="1:8">
      <c r="A575" s="8">
        <v>573</v>
      </c>
      <c r="B575" s="9" t="s">
        <v>248</v>
      </c>
      <c r="C575" s="9" t="s">
        <v>434</v>
      </c>
      <c r="D575" s="9" t="s">
        <v>215</v>
      </c>
      <c r="E575" s="10">
        <v>106.67</v>
      </c>
      <c r="F575" s="10">
        <v>137.83000000000001</v>
      </c>
      <c r="G575" s="10">
        <v>125.45</v>
      </c>
      <c r="H575" s="5" t="str">
        <f t="shared" si="8"/>
        <v>Virudhunagar_KARIAPATTI_NARIKUDI</v>
      </c>
    </row>
    <row r="576" spans="1:8">
      <c r="A576" s="8">
        <v>574</v>
      </c>
      <c r="B576" s="9" t="s">
        <v>248</v>
      </c>
      <c r="C576" s="9" t="s">
        <v>211</v>
      </c>
      <c r="D576" s="9" t="s">
        <v>211</v>
      </c>
      <c r="E576" s="10">
        <v>15791.19</v>
      </c>
      <c r="F576" s="10">
        <v>16131.235000000001</v>
      </c>
      <c r="G576" s="10">
        <v>15914.39</v>
      </c>
      <c r="H576" s="5" t="str">
        <f t="shared" si="8"/>
        <v>Virudhunagar_RAJAPALAYAM_RAJAPALAYAM</v>
      </c>
    </row>
    <row r="577" spans="1:8">
      <c r="A577" s="8">
        <v>575</v>
      </c>
      <c r="B577" s="9" t="s">
        <v>248</v>
      </c>
      <c r="C577" s="9" t="s">
        <v>211</v>
      </c>
      <c r="D577" s="9" t="s">
        <v>435</v>
      </c>
      <c r="E577" s="10">
        <v>551.19500000000005</v>
      </c>
      <c r="F577" s="10">
        <v>490.90499999999997</v>
      </c>
      <c r="G577" s="10">
        <v>533.98500000000001</v>
      </c>
      <c r="H577" s="5" t="str">
        <f t="shared" si="8"/>
        <v>Virudhunagar_RAJAPALAYAM_SRIVILLIPUTTUR</v>
      </c>
    </row>
    <row r="578" spans="1:8">
      <c r="A578" s="8">
        <v>576</v>
      </c>
      <c r="B578" s="9" t="s">
        <v>248</v>
      </c>
      <c r="C578" s="9" t="s">
        <v>436</v>
      </c>
      <c r="D578" s="9" t="s">
        <v>436</v>
      </c>
      <c r="E578" s="10">
        <v>11612.26</v>
      </c>
      <c r="F578" s="10">
        <v>12113.695</v>
      </c>
      <c r="G578" s="10">
        <v>12090.03</v>
      </c>
      <c r="H578" s="5" t="str">
        <f t="shared" si="8"/>
        <v>Virudhunagar_SATTUR_SATTUR</v>
      </c>
    </row>
    <row r="579" spans="1:8">
      <c r="A579" s="8">
        <v>577</v>
      </c>
      <c r="B579" s="9" t="s">
        <v>248</v>
      </c>
      <c r="C579" s="9" t="s">
        <v>436</v>
      </c>
      <c r="D579" s="9" t="s">
        <v>213</v>
      </c>
      <c r="E579" s="10">
        <v>636.07500000000005</v>
      </c>
      <c r="F579" s="10">
        <v>761.23</v>
      </c>
      <c r="G579" s="10">
        <v>763.64</v>
      </c>
      <c r="H579" s="5" t="str">
        <f t="shared" si="8"/>
        <v>Virudhunagar_SATTUR_VIRUDHUNAGAR</v>
      </c>
    </row>
    <row r="580" spans="1:8">
      <c r="A580" s="8">
        <v>578</v>
      </c>
      <c r="B580" s="9" t="s">
        <v>248</v>
      </c>
      <c r="C580" s="9" t="s">
        <v>208</v>
      </c>
      <c r="D580" s="9" t="s">
        <v>208</v>
      </c>
      <c r="E580" s="10">
        <v>6477.2650000000003</v>
      </c>
      <c r="F580" s="10">
        <v>6672.125</v>
      </c>
      <c r="G580" s="10">
        <v>6591.17</v>
      </c>
      <c r="H580" s="5" t="str">
        <f t="shared" ref="H580:H593" si="9">CONCATENATE(B580,"_",C580,"_",D580)</f>
        <v>Virudhunagar_SIVAKASI_SIVAKASI</v>
      </c>
    </row>
    <row r="581" spans="1:8">
      <c r="A581" s="8">
        <v>579</v>
      </c>
      <c r="B581" s="9" t="s">
        <v>248</v>
      </c>
      <c r="C581" s="9" t="s">
        <v>208</v>
      </c>
      <c r="D581" s="9" t="s">
        <v>435</v>
      </c>
      <c r="E581" s="10">
        <v>4.8</v>
      </c>
      <c r="F581" s="10">
        <v>8.1300000000000008</v>
      </c>
      <c r="G581" s="10">
        <v>7.4</v>
      </c>
      <c r="H581" s="5" t="str">
        <f t="shared" si="9"/>
        <v>Virudhunagar_SIVAKASI_SRIVILLIPUTTUR</v>
      </c>
    </row>
    <row r="582" spans="1:8">
      <c r="A582" s="8">
        <v>580</v>
      </c>
      <c r="B582" s="9" t="s">
        <v>248</v>
      </c>
      <c r="C582" s="9" t="s">
        <v>208</v>
      </c>
      <c r="D582" s="9" t="s">
        <v>209</v>
      </c>
      <c r="E582" s="10">
        <v>1520.0650000000001</v>
      </c>
      <c r="F582" s="10">
        <v>1366.24</v>
      </c>
      <c r="G582" s="10">
        <v>1279.04</v>
      </c>
      <c r="H582" s="5" t="str">
        <f t="shared" si="9"/>
        <v>Virudhunagar_SIVAKASI_VEMBAKOTTAI</v>
      </c>
    </row>
    <row r="583" spans="1:8">
      <c r="A583" s="8">
        <v>581</v>
      </c>
      <c r="B583" s="9" t="s">
        <v>248</v>
      </c>
      <c r="C583" s="9" t="s">
        <v>435</v>
      </c>
      <c r="D583" s="9" t="s">
        <v>435</v>
      </c>
      <c r="E583" s="10">
        <v>8872.25</v>
      </c>
      <c r="F583" s="10">
        <v>8707.25</v>
      </c>
      <c r="G583" s="10">
        <v>8429.6049999999996</v>
      </c>
      <c r="H583" s="5" t="str">
        <f t="shared" si="9"/>
        <v>Virudhunagar_SRIVILLIPUTTUR_SRIVILLIPUTTUR</v>
      </c>
    </row>
    <row r="584" spans="1:8">
      <c r="A584" s="8">
        <v>582</v>
      </c>
      <c r="B584" s="9" t="s">
        <v>248</v>
      </c>
      <c r="C584" s="9" t="s">
        <v>435</v>
      </c>
      <c r="D584" s="9" t="s">
        <v>437</v>
      </c>
      <c r="E584" s="10">
        <v>36.869999999999997</v>
      </c>
      <c r="F584" s="10">
        <v>31.475000000000001</v>
      </c>
      <c r="G584" s="10">
        <v>31.03</v>
      </c>
      <c r="H584" s="5" t="str">
        <f t="shared" si="9"/>
        <v>Virudhunagar_SRIVILLIPUTTUR_WATRAP</v>
      </c>
    </row>
    <row r="585" spans="1:8">
      <c r="A585" s="8">
        <v>583</v>
      </c>
      <c r="B585" s="9" t="s">
        <v>248</v>
      </c>
      <c r="C585" s="9" t="s">
        <v>214</v>
      </c>
      <c r="D585" s="9" t="s">
        <v>434</v>
      </c>
      <c r="E585" s="10">
        <v>179.315</v>
      </c>
      <c r="F585" s="10">
        <v>207.755</v>
      </c>
      <c r="G585" s="10">
        <v>171.96</v>
      </c>
      <c r="H585" s="5" t="str">
        <f t="shared" si="9"/>
        <v>Virudhunagar_THIRUCHULI_KARIAPATTI</v>
      </c>
    </row>
    <row r="586" spans="1:8">
      <c r="A586" s="8">
        <v>584</v>
      </c>
      <c r="B586" s="9" t="s">
        <v>248</v>
      </c>
      <c r="C586" s="9" t="s">
        <v>214</v>
      </c>
      <c r="D586" s="9" t="s">
        <v>215</v>
      </c>
      <c r="E586" s="10">
        <v>12086.264999999999</v>
      </c>
      <c r="F586" s="10">
        <v>12860.305</v>
      </c>
      <c r="G586" s="10">
        <v>12836.715</v>
      </c>
      <c r="H586" s="5" t="str">
        <f t="shared" si="9"/>
        <v>Virudhunagar_THIRUCHULI_NARIKUDI</v>
      </c>
    </row>
    <row r="587" spans="1:8">
      <c r="A587" s="8">
        <v>585</v>
      </c>
      <c r="B587" s="9" t="s">
        <v>248</v>
      </c>
      <c r="C587" s="9" t="s">
        <v>214</v>
      </c>
      <c r="D587" s="9" t="s">
        <v>214</v>
      </c>
      <c r="E587" s="10">
        <v>3401.47</v>
      </c>
      <c r="F587" s="10">
        <v>3482.83</v>
      </c>
      <c r="G587" s="10">
        <v>3463.5050000000001</v>
      </c>
      <c r="H587" s="5" t="str">
        <f t="shared" si="9"/>
        <v>Virudhunagar_THIRUCHULI_THIRUCHULI</v>
      </c>
    </row>
    <row r="588" spans="1:8">
      <c r="A588" s="8">
        <v>586</v>
      </c>
      <c r="B588" s="9" t="s">
        <v>248</v>
      </c>
      <c r="C588" s="9" t="s">
        <v>210</v>
      </c>
      <c r="D588" s="9" t="s">
        <v>435</v>
      </c>
      <c r="E588" s="10">
        <v>40.200000000000003</v>
      </c>
      <c r="F588" s="10">
        <v>60.75</v>
      </c>
      <c r="G588" s="10">
        <v>38.369999999999997</v>
      </c>
      <c r="H588" s="5" t="str">
        <f t="shared" si="9"/>
        <v>Virudhunagar_VATHIRAYIRUPPU_SRIVILLIPUTTUR</v>
      </c>
    </row>
    <row r="589" spans="1:8">
      <c r="A589" s="8">
        <v>587</v>
      </c>
      <c r="B589" s="9" t="s">
        <v>248</v>
      </c>
      <c r="C589" s="9" t="s">
        <v>210</v>
      </c>
      <c r="D589" s="9" t="s">
        <v>437</v>
      </c>
      <c r="E589" s="10">
        <v>14284.31</v>
      </c>
      <c r="F589" s="10">
        <v>13882.705</v>
      </c>
      <c r="G589" s="10">
        <v>14600.33</v>
      </c>
      <c r="H589" s="5" t="str">
        <f t="shared" si="9"/>
        <v>Virudhunagar_VATHIRAYIRUPPU_WATRAP</v>
      </c>
    </row>
    <row r="590" spans="1:8">
      <c r="A590" s="8">
        <v>588</v>
      </c>
      <c r="B590" s="9" t="s">
        <v>248</v>
      </c>
      <c r="C590" s="9" t="s">
        <v>209</v>
      </c>
      <c r="D590" s="9" t="s">
        <v>211</v>
      </c>
      <c r="E590" s="10">
        <v>1670.59</v>
      </c>
      <c r="F590" s="10">
        <v>1599.085</v>
      </c>
      <c r="G590" s="10">
        <v>1574.8150000000001</v>
      </c>
      <c r="H590" s="5" t="str">
        <f t="shared" si="9"/>
        <v>Virudhunagar_VEMBAKOTTAI_RAJAPALAYAM</v>
      </c>
    </row>
    <row r="591" spans="1:8">
      <c r="A591" s="8">
        <v>589</v>
      </c>
      <c r="B591" s="9" t="s">
        <v>248</v>
      </c>
      <c r="C591" s="9" t="s">
        <v>209</v>
      </c>
      <c r="D591" s="9" t="s">
        <v>435</v>
      </c>
      <c r="E591" s="10">
        <v>987.15499999999997</v>
      </c>
      <c r="F591" s="10">
        <v>1011.9450000000001</v>
      </c>
      <c r="G591" s="10">
        <v>861.15</v>
      </c>
      <c r="H591" s="5" t="str">
        <f t="shared" si="9"/>
        <v>Virudhunagar_VEMBAKOTTAI_SRIVILLIPUTTUR</v>
      </c>
    </row>
    <row r="592" spans="1:8">
      <c r="A592" s="8">
        <v>590</v>
      </c>
      <c r="B592" s="9" t="s">
        <v>248</v>
      </c>
      <c r="C592" s="9" t="s">
        <v>209</v>
      </c>
      <c r="D592" s="9" t="s">
        <v>209</v>
      </c>
      <c r="E592" s="10">
        <v>9702.33</v>
      </c>
      <c r="F592" s="10">
        <v>10269.799999999999</v>
      </c>
      <c r="G592" s="10">
        <v>10035.014999999999</v>
      </c>
      <c r="H592" s="5" t="str">
        <f t="shared" si="9"/>
        <v>Virudhunagar_VEMBAKOTTAI_VEMBAKOTTAI</v>
      </c>
    </row>
    <row r="593" spans="1:8">
      <c r="A593" s="8">
        <v>591</v>
      </c>
      <c r="B593" s="9" t="s">
        <v>248</v>
      </c>
      <c r="C593" s="9" t="s">
        <v>213</v>
      </c>
      <c r="D593" s="9" t="s">
        <v>213</v>
      </c>
      <c r="E593" s="10">
        <v>9326.68</v>
      </c>
      <c r="F593" s="10">
        <v>9730.14</v>
      </c>
      <c r="G593" s="10">
        <v>9577.93</v>
      </c>
      <c r="H593" s="5" t="str">
        <f t="shared" si="9"/>
        <v>Virudhunagar_VIRUDHUNAGAR_VIRUDHUNAGAR</v>
      </c>
    </row>
    <row r="594" spans="1:8">
      <c r="E594" s="41"/>
      <c r="F594" s="41"/>
      <c r="G594" s="41"/>
    </row>
  </sheetData>
  <autoFilter ref="A2:H2" xr:uid="{00000000-0001-0000-0000-000000000000}"/>
  <mergeCells count="1">
    <mergeCell ref="A1:G1"/>
  </mergeCells>
  <conditionalFormatting sqref="H1:H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CE938-F3A7-47FE-98B6-9D279C33F033}">
  <sheetPr>
    <tabColor rgb="FF00B050"/>
  </sheetPr>
  <dimension ref="A1:X644"/>
  <sheetViews>
    <sheetView view="pageBreakPreview" zoomScaleNormal="100" zoomScaleSheetLayoutView="100" workbookViewId="0">
      <selection activeCell="H5" sqref="H5"/>
    </sheetView>
  </sheetViews>
  <sheetFormatPr defaultColWidth="8.77734375" defaultRowHeight="12"/>
  <cols>
    <col min="1" max="1" width="10.33203125" style="1" customWidth="1"/>
    <col min="2" max="2" width="12.88671875" style="1" bestFit="1" customWidth="1"/>
    <col min="3" max="3" width="15.44140625" style="12" bestFit="1" customWidth="1"/>
    <col min="4" max="4" width="5.44140625" style="11" customWidth="1"/>
    <col min="5" max="5" width="7.44140625" style="2" customWidth="1"/>
    <col min="6" max="6" width="17.21875" style="3" bestFit="1" customWidth="1"/>
    <col min="7" max="7" width="18.44140625" style="3" customWidth="1"/>
    <col min="8" max="11" width="8" style="2" bestFit="1" customWidth="1"/>
    <col min="12" max="12" width="9.109375" style="14" customWidth="1"/>
    <col min="13" max="13" width="6.6640625" style="2" bestFit="1" customWidth="1"/>
    <col min="14" max="14" width="4.88671875" style="3" bestFit="1" customWidth="1"/>
    <col min="15" max="16" width="7" style="3" customWidth="1"/>
    <col min="17" max="17" width="8.77734375" style="3"/>
    <col min="18" max="19" width="7.109375" style="3" customWidth="1"/>
    <col min="20" max="20" width="16.21875" style="3" bestFit="1" customWidth="1"/>
    <col min="21" max="21" width="38" style="3" bestFit="1" customWidth="1"/>
    <col min="22" max="16384" width="8.77734375" style="3"/>
  </cols>
  <sheetData>
    <row r="1" spans="1:24" ht="33.6" customHeight="1">
      <c r="A1" s="68" t="s">
        <v>1028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24" ht="16.8" customHeight="1">
      <c r="A2" s="20" t="s">
        <v>1009</v>
      </c>
      <c r="B2" s="16"/>
      <c r="C2" s="15"/>
      <c r="D2" s="22"/>
      <c r="E2" s="23"/>
      <c r="F2" s="15"/>
      <c r="G2" s="15"/>
      <c r="H2" s="16"/>
      <c r="I2" s="16"/>
      <c r="J2" s="16"/>
      <c r="K2" s="16"/>
      <c r="L2" s="16"/>
      <c r="M2" s="16"/>
      <c r="N2" s="5"/>
      <c r="O2" s="17"/>
      <c r="P2" s="18"/>
    </row>
    <row r="3" spans="1:24" ht="17.399999999999999" customHeight="1">
      <c r="A3" s="20" t="s">
        <v>1013</v>
      </c>
      <c r="B3" s="16"/>
      <c r="C3" s="15"/>
      <c r="D3" s="19"/>
      <c r="E3" s="15"/>
      <c r="F3" s="15"/>
      <c r="G3" s="15"/>
      <c r="H3" s="16"/>
      <c r="I3" s="16"/>
      <c r="J3" s="16"/>
      <c r="K3" s="16"/>
      <c r="L3" s="16"/>
      <c r="M3" s="16"/>
      <c r="N3" s="21"/>
      <c r="O3" s="5"/>
      <c r="P3" s="17" t="s">
        <v>1029</v>
      </c>
    </row>
    <row r="4" spans="1:24" s="1" customFormat="1" ht="16.2" customHeight="1">
      <c r="A4" s="52" t="s">
        <v>1007</v>
      </c>
      <c r="B4" s="52" t="s">
        <v>518</v>
      </c>
      <c r="C4" s="52" t="s">
        <v>1006</v>
      </c>
      <c r="D4" s="53" t="s">
        <v>1005</v>
      </c>
      <c r="E4" s="51" t="s">
        <v>519</v>
      </c>
      <c r="F4" s="52" t="s">
        <v>510</v>
      </c>
      <c r="G4" s="52" t="s">
        <v>511</v>
      </c>
      <c r="H4" s="51" t="s">
        <v>563</v>
      </c>
      <c r="I4" s="51"/>
      <c r="J4" s="51"/>
      <c r="K4" s="51"/>
      <c r="L4" s="51" t="s">
        <v>1012</v>
      </c>
      <c r="M4" s="72" t="s">
        <v>520</v>
      </c>
      <c r="N4" s="51" t="s">
        <v>1004</v>
      </c>
      <c r="O4" s="60" t="s">
        <v>1021</v>
      </c>
      <c r="P4" s="61"/>
      <c r="V4" s="82" t="s">
        <v>1017</v>
      </c>
      <c r="W4" s="82"/>
      <c r="X4" s="82"/>
    </row>
    <row r="5" spans="1:24" s="1" customFormat="1" ht="16.2" customHeight="1">
      <c r="A5" s="52"/>
      <c r="B5" s="52"/>
      <c r="C5" s="52"/>
      <c r="D5" s="53"/>
      <c r="E5" s="51"/>
      <c r="F5" s="52"/>
      <c r="G5" s="52"/>
      <c r="H5" s="24" t="s">
        <v>1027</v>
      </c>
      <c r="I5" s="24" t="s">
        <v>1023</v>
      </c>
      <c r="J5" s="24" t="s">
        <v>1014</v>
      </c>
      <c r="K5" s="24" t="s">
        <v>517</v>
      </c>
      <c r="L5" s="51"/>
      <c r="M5" s="73"/>
      <c r="N5" s="51"/>
      <c r="O5" s="24" t="s">
        <v>1010</v>
      </c>
      <c r="P5" s="24" t="s">
        <v>1011</v>
      </c>
      <c r="R5" s="1" t="s">
        <v>1015</v>
      </c>
      <c r="S5" s="1" t="s">
        <v>513</v>
      </c>
      <c r="T5" s="1" t="s">
        <v>511</v>
      </c>
      <c r="U5" s="1" t="s">
        <v>1016</v>
      </c>
      <c r="V5" s="1" t="s">
        <v>1018</v>
      </c>
      <c r="W5" s="1" t="s">
        <v>1019</v>
      </c>
      <c r="X5" s="1" t="s">
        <v>1020</v>
      </c>
    </row>
    <row r="6" spans="1:24" ht="13.95" customHeight="1">
      <c r="A6" s="49" t="s">
        <v>326</v>
      </c>
      <c r="B6" s="49" t="s">
        <v>326</v>
      </c>
      <c r="C6" s="48" t="s">
        <v>230</v>
      </c>
      <c r="D6" s="49" t="s">
        <v>527</v>
      </c>
      <c r="E6" s="50">
        <v>1</v>
      </c>
      <c r="F6" s="26" t="s">
        <v>565</v>
      </c>
      <c r="G6" s="26" t="s">
        <v>566</v>
      </c>
      <c r="H6" s="27">
        <f>V6</f>
        <v>9926.9</v>
      </c>
      <c r="I6" s="27">
        <f t="shared" ref="I6:J6" si="0">W6</f>
        <v>9168.0789999999997</v>
      </c>
      <c r="J6" s="27">
        <f t="shared" si="0"/>
        <v>9852.7880000000005</v>
      </c>
      <c r="K6" s="27">
        <f>IFERROR(AVERAGE(H6:J6),"")</f>
        <v>9649.255666666666</v>
      </c>
      <c r="L6" s="62">
        <f>SUM(K6:K11)</f>
        <v>48464.441999999995</v>
      </c>
      <c r="M6" s="69">
        <f t="shared" ref="M6:M15" si="1">L6*$L$643/$L$642</f>
        <v>2.0342482090723286</v>
      </c>
      <c r="N6" s="62">
        <f t="shared" ref="N6:N69" si="2">IF(M6&gt;=2, ROUND(M6,0), IF(M6&gt;1.1,2,""))</f>
        <v>2</v>
      </c>
      <c r="O6" s="62">
        <f>N6</f>
        <v>2</v>
      </c>
      <c r="P6" s="62">
        <f>O6</f>
        <v>2</v>
      </c>
      <c r="Q6" s="38"/>
      <c r="R6" s="3" t="str">
        <f>C6</f>
        <v>Erode</v>
      </c>
      <c r="S6" s="3" t="str">
        <f>F6</f>
        <v>Anthiyur</v>
      </c>
      <c r="T6" s="3" t="str">
        <f>G6</f>
        <v>Ammapettai</v>
      </c>
      <c r="U6" s="3" t="str">
        <f>CONCATENATE(R6,"_",S6,"_",T6)</f>
        <v>Erode_Anthiyur_Ammapettai</v>
      </c>
      <c r="V6" s="3">
        <f>IF(_xlfn.XLOOKUP($U6,GCA!$H$3:$H$593,GCA!E$3:E$593,"",0,1)="","",_xlfn.XLOOKUP($U6,GCA!$H$3:$H$593,GCA!E$3:E$593,"",0,1))</f>
        <v>9926.9</v>
      </c>
      <c r="W6" s="3">
        <f>IF(_xlfn.XLOOKUP($U6,GCA!$H$3:$H$593,GCA!F$3:F$593,"",0,1)="","",_xlfn.XLOOKUP($U6,GCA!$H$3:$H$593,GCA!F$3:F$593,"",0,1))</f>
        <v>9168.0789999999997</v>
      </c>
      <c r="X6" s="3">
        <f>IF(_xlfn.XLOOKUP($U6,GCA!$H$3:$H$593,GCA!G$3:G$593,"",0,1)="","",_xlfn.XLOOKUP($U6,GCA!$H$3:$H$593,GCA!G$3:G$593,"",0,1))</f>
        <v>9852.7880000000005</v>
      </c>
    </row>
    <row r="7" spans="1:24" ht="13.95" customHeight="1">
      <c r="A7" s="49"/>
      <c r="B7" s="49"/>
      <c r="C7" s="48"/>
      <c r="D7" s="49"/>
      <c r="E7" s="50"/>
      <c r="F7" s="26" t="s">
        <v>565</v>
      </c>
      <c r="G7" s="26" t="s">
        <v>565</v>
      </c>
      <c r="H7" s="27">
        <f t="shared" ref="H7:H23" si="3">V7</f>
        <v>15268.971</v>
      </c>
      <c r="I7" s="27">
        <f t="shared" ref="I7:I23" si="4">W7</f>
        <v>13246.645</v>
      </c>
      <c r="J7" s="27">
        <f t="shared" ref="J7:J23" si="5">X7</f>
        <v>14112.505999999999</v>
      </c>
      <c r="K7" s="27">
        <f t="shared" ref="K7:K23" si="6">IFERROR(AVERAGE(H7:J7),"")</f>
        <v>14209.374000000002</v>
      </c>
      <c r="L7" s="63"/>
      <c r="M7" s="70">
        <f t="shared" si="1"/>
        <v>0</v>
      </c>
      <c r="N7" s="63" t="str">
        <f t="shared" si="2"/>
        <v/>
      </c>
      <c r="O7" s="63" t="str">
        <f t="shared" ref="O7:P7" si="7">N7</f>
        <v/>
      </c>
      <c r="P7" s="63" t="str">
        <f t="shared" si="7"/>
        <v/>
      </c>
      <c r="Q7" s="38"/>
      <c r="R7" s="3" t="str">
        <f>R6</f>
        <v>Erode</v>
      </c>
      <c r="S7" s="3" t="str">
        <f t="shared" ref="S7:S70" si="8">F7</f>
        <v>Anthiyur</v>
      </c>
      <c r="T7" s="3" t="str">
        <f t="shared" ref="T7:T70" si="9">G7</f>
        <v>Anthiyur</v>
      </c>
      <c r="U7" s="3" t="str">
        <f t="shared" ref="U7:U70" si="10">CONCATENATE(R7,"_",S7,"_",T7)</f>
        <v>Erode_Anthiyur_Anthiyur</v>
      </c>
      <c r="V7" s="3">
        <f>IF(_xlfn.XLOOKUP($U7,GCA!$H$3:$H$593,GCA!E$3:E$593,"",0,1)="","",_xlfn.XLOOKUP($U7,GCA!$H$3:$H$593,GCA!E$3:E$593,"",0,1))</f>
        <v>15268.971</v>
      </c>
      <c r="W7" s="3">
        <f>IF(_xlfn.XLOOKUP($U7,GCA!$H$3:$H$593,GCA!F$3:F$593,"",0,1)="","",_xlfn.XLOOKUP($U7,GCA!$H$3:$H$593,GCA!F$3:F$593,"",0,1))</f>
        <v>13246.645</v>
      </c>
      <c r="X7" s="3">
        <f>IF(_xlfn.XLOOKUP($U7,GCA!$H$3:$H$593,GCA!G$3:G$593,"",0,1)="","",_xlfn.XLOOKUP($U7,GCA!$H$3:$H$593,GCA!G$3:G$593,"",0,1))</f>
        <v>14112.505999999999</v>
      </c>
    </row>
    <row r="8" spans="1:24" ht="13.95" customHeight="1">
      <c r="A8" s="49"/>
      <c r="B8" s="49"/>
      <c r="C8" s="48"/>
      <c r="D8" s="49"/>
      <c r="E8" s="50"/>
      <c r="F8" s="26" t="s">
        <v>567</v>
      </c>
      <c r="G8" s="26" t="s">
        <v>566</v>
      </c>
      <c r="H8" s="27">
        <f t="shared" si="3"/>
        <v>5219.21</v>
      </c>
      <c r="I8" s="27">
        <f t="shared" si="4"/>
        <v>3644.0610000000001</v>
      </c>
      <c r="J8" s="27">
        <f t="shared" si="5"/>
        <v>5000.1400000000003</v>
      </c>
      <c r="K8" s="27">
        <f t="shared" si="6"/>
        <v>4621.1369999999997</v>
      </c>
      <c r="L8" s="63"/>
      <c r="M8" s="70">
        <f t="shared" si="1"/>
        <v>0</v>
      </c>
      <c r="N8" s="63" t="str">
        <f t="shared" si="2"/>
        <v/>
      </c>
      <c r="O8" s="63" t="str">
        <f t="shared" ref="O8:P8" si="11">N8</f>
        <v/>
      </c>
      <c r="P8" s="63" t="str">
        <f t="shared" si="11"/>
        <v/>
      </c>
      <c r="Q8" s="38"/>
      <c r="R8" s="3" t="str">
        <f t="shared" ref="R8:R24" si="12">R7</f>
        <v>Erode</v>
      </c>
      <c r="S8" s="3" t="str">
        <f t="shared" si="8"/>
        <v>Bhavani</v>
      </c>
      <c r="T8" s="3" t="str">
        <f t="shared" si="9"/>
        <v>Ammapettai</v>
      </c>
      <c r="U8" s="3" t="str">
        <f t="shared" si="10"/>
        <v>Erode_Bhavani_Ammapettai</v>
      </c>
      <c r="V8" s="3">
        <f>IF(_xlfn.XLOOKUP($U8,GCA!$H$3:$H$593,GCA!E$3:E$593,"",0,1)="","",_xlfn.XLOOKUP($U8,GCA!$H$3:$H$593,GCA!E$3:E$593,"",0,1))</f>
        <v>5219.21</v>
      </c>
      <c r="W8" s="3">
        <f>IF(_xlfn.XLOOKUP($U8,GCA!$H$3:$H$593,GCA!F$3:F$593,"",0,1)="","",_xlfn.XLOOKUP($U8,GCA!$H$3:$H$593,GCA!F$3:F$593,"",0,1))</f>
        <v>3644.0610000000001</v>
      </c>
      <c r="X8" s="3">
        <f>IF(_xlfn.XLOOKUP($U8,GCA!$H$3:$H$593,GCA!G$3:G$593,"",0,1)="","",_xlfn.XLOOKUP($U8,GCA!$H$3:$H$593,GCA!G$3:G$593,"",0,1))</f>
        <v>5000.1400000000003</v>
      </c>
    </row>
    <row r="9" spans="1:24" ht="13.95" customHeight="1">
      <c r="A9" s="49"/>
      <c r="B9" s="49"/>
      <c r="C9" s="48"/>
      <c r="D9" s="49"/>
      <c r="E9" s="50"/>
      <c r="F9" s="26" t="s">
        <v>567</v>
      </c>
      <c r="G9" s="26" t="s">
        <v>567</v>
      </c>
      <c r="H9" s="27">
        <f t="shared" si="3"/>
        <v>14129.05</v>
      </c>
      <c r="I9" s="27">
        <f t="shared" si="4"/>
        <v>13052.004999999999</v>
      </c>
      <c r="J9" s="27">
        <f t="shared" si="5"/>
        <v>13810.764999999999</v>
      </c>
      <c r="K9" s="27">
        <f t="shared" si="6"/>
        <v>13663.94</v>
      </c>
      <c r="L9" s="63"/>
      <c r="M9" s="70">
        <f t="shared" si="1"/>
        <v>0</v>
      </c>
      <c r="N9" s="63" t="str">
        <f t="shared" si="2"/>
        <v/>
      </c>
      <c r="O9" s="63" t="str">
        <f t="shared" ref="O9:P9" si="13">N9</f>
        <v/>
      </c>
      <c r="P9" s="63" t="str">
        <f t="shared" si="13"/>
        <v/>
      </c>
      <c r="Q9" s="38"/>
      <c r="R9" s="3" t="str">
        <f t="shared" si="12"/>
        <v>Erode</v>
      </c>
      <c r="S9" s="3" t="str">
        <f t="shared" si="8"/>
        <v>Bhavani</v>
      </c>
      <c r="T9" s="3" t="str">
        <f t="shared" si="9"/>
        <v>Bhavani</v>
      </c>
      <c r="U9" s="3" t="str">
        <f t="shared" si="10"/>
        <v>Erode_Bhavani_Bhavani</v>
      </c>
      <c r="V9" s="3">
        <f>IF(_xlfn.XLOOKUP($U9,GCA!$H$3:$H$593,GCA!E$3:E$593,"",0,1)="","",_xlfn.XLOOKUP($U9,GCA!$H$3:$H$593,GCA!E$3:E$593,"",0,1))</f>
        <v>14129.05</v>
      </c>
      <c r="W9" s="3">
        <f>IF(_xlfn.XLOOKUP($U9,GCA!$H$3:$H$593,GCA!F$3:F$593,"",0,1)="","",_xlfn.XLOOKUP($U9,GCA!$H$3:$H$593,GCA!F$3:F$593,"",0,1))</f>
        <v>13052.004999999999</v>
      </c>
      <c r="X9" s="3">
        <f>IF(_xlfn.XLOOKUP($U9,GCA!$H$3:$H$593,GCA!G$3:G$593,"",0,1)="","",_xlfn.XLOOKUP($U9,GCA!$H$3:$H$593,GCA!G$3:G$593,"",0,1))</f>
        <v>13810.764999999999</v>
      </c>
    </row>
    <row r="10" spans="1:24" ht="13.95" customHeight="1">
      <c r="A10" s="49"/>
      <c r="B10" s="49"/>
      <c r="C10" s="48"/>
      <c r="D10" s="49"/>
      <c r="E10" s="50"/>
      <c r="F10" s="26" t="s">
        <v>567</v>
      </c>
      <c r="G10" s="26" t="s">
        <v>568</v>
      </c>
      <c r="H10" s="27">
        <f t="shared" si="3"/>
        <v>1396.9949999999999</v>
      </c>
      <c r="I10" s="27">
        <f t="shared" si="4"/>
        <v>1303.32</v>
      </c>
      <c r="J10" s="27">
        <f t="shared" si="5"/>
        <v>1440.7650000000001</v>
      </c>
      <c r="K10" s="27">
        <f t="shared" si="6"/>
        <v>1380.36</v>
      </c>
      <c r="L10" s="63"/>
      <c r="M10" s="70">
        <f t="shared" si="1"/>
        <v>0</v>
      </c>
      <c r="N10" s="63" t="str">
        <f t="shared" si="2"/>
        <v/>
      </c>
      <c r="O10" s="63" t="str">
        <f t="shared" ref="O10:P10" si="14">N10</f>
        <v/>
      </c>
      <c r="P10" s="63" t="str">
        <f t="shared" si="14"/>
        <v/>
      </c>
      <c r="Q10" s="38"/>
      <c r="R10" s="3" t="str">
        <f t="shared" si="12"/>
        <v>Erode</v>
      </c>
      <c r="S10" s="3" t="str">
        <f t="shared" si="8"/>
        <v>Bhavani</v>
      </c>
      <c r="T10" s="3" t="str">
        <f t="shared" si="9"/>
        <v>Gobichettipalayam</v>
      </c>
      <c r="U10" s="3" t="str">
        <f t="shared" si="10"/>
        <v>Erode_Bhavani_Gobichettipalayam</v>
      </c>
      <c r="V10" s="3">
        <f>IF(_xlfn.XLOOKUP($U10,GCA!$H$3:$H$593,GCA!E$3:E$593,"",0,1)="","",_xlfn.XLOOKUP($U10,GCA!$H$3:$H$593,GCA!E$3:E$593,"",0,1))</f>
        <v>1396.9949999999999</v>
      </c>
      <c r="W10" s="3">
        <f>IF(_xlfn.XLOOKUP($U10,GCA!$H$3:$H$593,GCA!F$3:F$593,"",0,1)="","",_xlfn.XLOOKUP($U10,GCA!$H$3:$H$593,GCA!F$3:F$593,"",0,1))</f>
        <v>1303.32</v>
      </c>
      <c r="X10" s="3">
        <f>IF(_xlfn.XLOOKUP($U10,GCA!$H$3:$H$593,GCA!G$3:G$593,"",0,1)="","",_xlfn.XLOOKUP($U10,GCA!$H$3:$H$593,GCA!G$3:G$593,"",0,1))</f>
        <v>1440.7650000000001</v>
      </c>
    </row>
    <row r="11" spans="1:24" ht="13.95" customHeight="1">
      <c r="A11" s="49"/>
      <c r="B11" s="49"/>
      <c r="C11" s="48"/>
      <c r="D11" s="49"/>
      <c r="E11" s="50"/>
      <c r="F11" s="26" t="s">
        <v>230</v>
      </c>
      <c r="G11" s="26" t="s">
        <v>230</v>
      </c>
      <c r="H11" s="27">
        <f t="shared" si="3"/>
        <v>5092.5439999999999</v>
      </c>
      <c r="I11" s="27">
        <f t="shared" si="4"/>
        <v>4744.5619999999999</v>
      </c>
      <c r="J11" s="27">
        <f t="shared" si="5"/>
        <v>4984.0200000000004</v>
      </c>
      <c r="K11" s="27">
        <f t="shared" si="6"/>
        <v>4940.3753333333334</v>
      </c>
      <c r="L11" s="64"/>
      <c r="M11" s="71">
        <f t="shared" si="1"/>
        <v>0</v>
      </c>
      <c r="N11" s="64" t="str">
        <f t="shared" si="2"/>
        <v/>
      </c>
      <c r="O11" s="64" t="str">
        <f t="shared" ref="O11:P11" si="15">N11</f>
        <v/>
      </c>
      <c r="P11" s="64" t="str">
        <f t="shared" si="15"/>
        <v/>
      </c>
      <c r="Q11" s="38"/>
      <c r="R11" s="3" t="str">
        <f t="shared" si="12"/>
        <v>Erode</v>
      </c>
      <c r="S11" s="3" t="str">
        <f t="shared" si="8"/>
        <v>Erode</v>
      </c>
      <c r="T11" s="3" t="str">
        <f t="shared" si="9"/>
        <v>Erode</v>
      </c>
      <c r="U11" s="3" t="str">
        <f t="shared" si="10"/>
        <v>Erode_Erode_Erode</v>
      </c>
      <c r="V11" s="3">
        <f>IF(_xlfn.XLOOKUP($U11,GCA!$H$3:$H$593,GCA!E$3:E$593,"",0,1)="","",_xlfn.XLOOKUP($U11,GCA!$H$3:$H$593,GCA!E$3:E$593,"",0,1))</f>
        <v>5092.5439999999999</v>
      </c>
      <c r="W11" s="3">
        <f>IF(_xlfn.XLOOKUP($U11,GCA!$H$3:$H$593,GCA!F$3:F$593,"",0,1)="","",_xlfn.XLOOKUP($U11,GCA!$H$3:$H$593,GCA!F$3:F$593,"",0,1))</f>
        <v>4744.5619999999999</v>
      </c>
      <c r="X11" s="3">
        <f>IF(_xlfn.XLOOKUP($U11,GCA!$H$3:$H$593,GCA!G$3:G$593,"",0,1)="","",_xlfn.XLOOKUP($U11,GCA!$H$3:$H$593,GCA!G$3:G$593,"",0,1))</f>
        <v>4984.0200000000004</v>
      </c>
    </row>
    <row r="12" spans="1:24" ht="13.95" customHeight="1">
      <c r="A12" s="49"/>
      <c r="B12" s="49"/>
      <c r="C12" s="48"/>
      <c r="D12" s="49"/>
      <c r="E12" s="50">
        <v>2</v>
      </c>
      <c r="F12" s="26" t="s">
        <v>568</v>
      </c>
      <c r="G12" s="26" t="s">
        <v>568</v>
      </c>
      <c r="H12" s="27">
        <f t="shared" si="3"/>
        <v>19961.810000000001</v>
      </c>
      <c r="I12" s="27">
        <f t="shared" si="4"/>
        <v>19407.275000000001</v>
      </c>
      <c r="J12" s="27">
        <f t="shared" si="5"/>
        <v>20098.05</v>
      </c>
      <c r="K12" s="27">
        <f t="shared" si="6"/>
        <v>19822.378333333338</v>
      </c>
      <c r="L12" s="65">
        <f>SUM(K12:K14)</f>
        <v>44761.684333333338</v>
      </c>
      <c r="M12" s="67">
        <f t="shared" si="1"/>
        <v>1.8788285273179099</v>
      </c>
      <c r="N12" s="65">
        <f t="shared" si="2"/>
        <v>2</v>
      </c>
      <c r="O12" s="65">
        <f t="shared" ref="O12:P12" si="16">N12</f>
        <v>2</v>
      </c>
      <c r="P12" s="65">
        <f t="shared" si="16"/>
        <v>2</v>
      </c>
      <c r="Q12" s="38"/>
      <c r="R12" s="3" t="str">
        <f t="shared" si="12"/>
        <v>Erode</v>
      </c>
      <c r="S12" s="3" t="str">
        <f t="shared" si="8"/>
        <v>Gobichettipalayam</v>
      </c>
      <c r="T12" s="3" t="str">
        <f t="shared" si="9"/>
        <v>Gobichettipalayam</v>
      </c>
      <c r="U12" s="3" t="str">
        <f t="shared" si="10"/>
        <v>Erode_Gobichettipalayam_Gobichettipalayam</v>
      </c>
      <c r="V12" s="3">
        <f>IF(_xlfn.XLOOKUP($U12,GCA!$H$3:$H$593,GCA!E$3:E$593,"",0,1)="","",_xlfn.XLOOKUP($U12,GCA!$H$3:$H$593,GCA!E$3:E$593,"",0,1))</f>
        <v>19961.810000000001</v>
      </c>
      <c r="W12" s="3">
        <f>IF(_xlfn.XLOOKUP($U12,GCA!$H$3:$H$593,GCA!F$3:F$593,"",0,1)="","",_xlfn.XLOOKUP($U12,GCA!$H$3:$H$593,GCA!F$3:F$593,"",0,1))</f>
        <v>19407.275000000001</v>
      </c>
      <c r="X12" s="3">
        <f>IF(_xlfn.XLOOKUP($U12,GCA!$H$3:$H$593,GCA!G$3:G$593,"",0,1)="","",_xlfn.XLOOKUP($U12,GCA!$H$3:$H$593,GCA!G$3:G$593,"",0,1))</f>
        <v>20098.05</v>
      </c>
    </row>
    <row r="13" spans="1:24" ht="13.95" customHeight="1">
      <c r="A13" s="49"/>
      <c r="B13" s="49"/>
      <c r="C13" s="48"/>
      <c r="D13" s="49"/>
      <c r="E13" s="50"/>
      <c r="F13" s="26" t="s">
        <v>568</v>
      </c>
      <c r="G13" s="26" t="s">
        <v>569</v>
      </c>
      <c r="H13" s="27">
        <f t="shared" si="3"/>
        <v>11393.772000000001</v>
      </c>
      <c r="I13" s="27">
        <f t="shared" si="4"/>
        <v>11321.419</v>
      </c>
      <c r="J13" s="27">
        <f t="shared" si="5"/>
        <v>11428.695</v>
      </c>
      <c r="K13" s="27">
        <f t="shared" si="6"/>
        <v>11381.295333333333</v>
      </c>
      <c r="L13" s="65"/>
      <c r="M13" s="67">
        <f t="shared" si="1"/>
        <v>0</v>
      </c>
      <c r="N13" s="65" t="str">
        <f t="shared" si="2"/>
        <v/>
      </c>
      <c r="O13" s="65" t="str">
        <f t="shared" ref="O13:P13" si="17">N13</f>
        <v/>
      </c>
      <c r="P13" s="65" t="str">
        <f t="shared" si="17"/>
        <v/>
      </c>
      <c r="Q13" s="38"/>
      <c r="R13" s="3" t="str">
        <f t="shared" si="12"/>
        <v>Erode</v>
      </c>
      <c r="S13" s="3" t="str">
        <f t="shared" si="8"/>
        <v>Gobichettipalayam</v>
      </c>
      <c r="T13" s="3" t="str">
        <f t="shared" si="9"/>
        <v>Thukkanaickenpalayam</v>
      </c>
      <c r="U13" s="3" t="str">
        <f t="shared" si="10"/>
        <v>Erode_Gobichettipalayam_Thukkanaickenpalayam</v>
      </c>
      <c r="V13" s="3">
        <f>IF(_xlfn.XLOOKUP($U13,GCA!$H$3:$H$593,GCA!E$3:E$593,"",0,1)="","",_xlfn.XLOOKUP($U13,GCA!$H$3:$H$593,GCA!E$3:E$593,"",0,1))</f>
        <v>11393.772000000001</v>
      </c>
      <c r="W13" s="3">
        <f>IF(_xlfn.XLOOKUP($U13,GCA!$H$3:$H$593,GCA!F$3:F$593,"",0,1)="","",_xlfn.XLOOKUP($U13,GCA!$H$3:$H$593,GCA!F$3:F$593,"",0,1))</f>
        <v>11321.419</v>
      </c>
      <c r="X13" s="3">
        <f>IF(_xlfn.XLOOKUP($U13,GCA!$H$3:$H$593,GCA!G$3:G$593,"",0,1)="","",_xlfn.XLOOKUP($U13,GCA!$H$3:$H$593,GCA!G$3:G$593,"",0,1))</f>
        <v>11428.695</v>
      </c>
    </row>
    <row r="14" spans="1:24" ht="13.95" customHeight="1">
      <c r="A14" s="49"/>
      <c r="B14" s="49"/>
      <c r="C14" s="48"/>
      <c r="D14" s="49"/>
      <c r="E14" s="50"/>
      <c r="F14" s="26" t="s">
        <v>570</v>
      </c>
      <c r="G14" s="26" t="s">
        <v>570</v>
      </c>
      <c r="H14" s="27">
        <f t="shared" si="3"/>
        <v>14443.277</v>
      </c>
      <c r="I14" s="27">
        <f t="shared" si="4"/>
        <v>12955.858</v>
      </c>
      <c r="J14" s="27">
        <f t="shared" si="5"/>
        <v>13274.897000000001</v>
      </c>
      <c r="K14" s="27">
        <f t="shared" si="6"/>
        <v>13558.010666666669</v>
      </c>
      <c r="L14" s="65"/>
      <c r="M14" s="67">
        <f t="shared" si="1"/>
        <v>0</v>
      </c>
      <c r="N14" s="65" t="str">
        <f t="shared" si="2"/>
        <v/>
      </c>
      <c r="O14" s="65" t="str">
        <f t="shared" ref="O14:P14" si="18">N14</f>
        <v/>
      </c>
      <c r="P14" s="65" t="str">
        <f t="shared" si="18"/>
        <v/>
      </c>
      <c r="Q14" s="38"/>
      <c r="R14" s="3" t="str">
        <f t="shared" si="12"/>
        <v>Erode</v>
      </c>
      <c r="S14" s="3" t="str">
        <f t="shared" si="8"/>
        <v>Kodumudi</v>
      </c>
      <c r="T14" s="3" t="str">
        <f t="shared" si="9"/>
        <v>Kodumudi</v>
      </c>
      <c r="U14" s="3" t="str">
        <f t="shared" si="10"/>
        <v>Erode_Kodumudi_Kodumudi</v>
      </c>
      <c r="V14" s="3">
        <f>IF(_xlfn.XLOOKUP($U14,GCA!$H$3:$H$593,GCA!E$3:E$593,"",0,1)="","",_xlfn.XLOOKUP($U14,GCA!$H$3:$H$593,GCA!E$3:E$593,"",0,1))</f>
        <v>14443.277</v>
      </c>
      <c r="W14" s="3">
        <f>IF(_xlfn.XLOOKUP($U14,GCA!$H$3:$H$593,GCA!F$3:F$593,"",0,1)="","",_xlfn.XLOOKUP($U14,GCA!$H$3:$H$593,GCA!F$3:F$593,"",0,1))</f>
        <v>12955.858</v>
      </c>
      <c r="X14" s="3">
        <f>IF(_xlfn.XLOOKUP($U14,GCA!$H$3:$H$593,GCA!G$3:G$593,"",0,1)="","",_xlfn.XLOOKUP($U14,GCA!$H$3:$H$593,GCA!G$3:G$593,"",0,1))</f>
        <v>13274.897000000001</v>
      </c>
    </row>
    <row r="15" spans="1:24" ht="13.2">
      <c r="A15" s="49"/>
      <c r="B15" s="49"/>
      <c r="C15" s="48"/>
      <c r="D15" s="49"/>
      <c r="E15" s="56">
        <v>3</v>
      </c>
      <c r="F15" s="26" t="s">
        <v>571</v>
      </c>
      <c r="G15" s="26" t="s">
        <v>571</v>
      </c>
      <c r="H15" s="27">
        <f t="shared" si="3"/>
        <v>17293.744999999999</v>
      </c>
      <c r="I15" s="27">
        <f t="shared" si="4"/>
        <v>16618.922999999999</v>
      </c>
      <c r="J15" s="27">
        <f t="shared" si="5"/>
        <v>16632.766</v>
      </c>
      <c r="K15" s="27">
        <f t="shared" si="6"/>
        <v>16848.477999999999</v>
      </c>
      <c r="L15" s="76">
        <f>SUM(K15:K19)</f>
        <v>49208.114666666661</v>
      </c>
      <c r="M15" s="79">
        <f t="shared" si="1"/>
        <v>2.065463151984551</v>
      </c>
      <c r="N15" s="76">
        <f t="shared" si="2"/>
        <v>2</v>
      </c>
      <c r="O15" s="62">
        <f t="shared" ref="O15:P15" si="19">N15</f>
        <v>2</v>
      </c>
      <c r="P15" s="62">
        <f t="shared" si="19"/>
        <v>2</v>
      </c>
      <c r="Q15" s="38"/>
      <c r="R15" s="3" t="str">
        <f t="shared" si="12"/>
        <v>Erode</v>
      </c>
      <c r="S15" s="3" t="str">
        <f t="shared" si="8"/>
        <v>Modakurichi</v>
      </c>
      <c r="T15" s="3" t="str">
        <f t="shared" si="9"/>
        <v>Modakurichi</v>
      </c>
      <c r="U15" s="3" t="str">
        <f t="shared" si="10"/>
        <v>Erode_Modakurichi_Modakurichi</v>
      </c>
      <c r="V15" s="3">
        <f>IF(_xlfn.XLOOKUP($U15,GCA!$H$3:$H$593,GCA!E$3:E$593,"",0,1)="","",_xlfn.XLOOKUP($U15,GCA!$H$3:$H$593,GCA!E$3:E$593,"",0,1))</f>
        <v>17293.744999999999</v>
      </c>
      <c r="W15" s="3">
        <f>IF(_xlfn.XLOOKUP($U15,GCA!$H$3:$H$593,GCA!F$3:F$593,"",0,1)="","",_xlfn.XLOOKUP($U15,GCA!$H$3:$H$593,GCA!F$3:F$593,"",0,1))</f>
        <v>16618.922999999999</v>
      </c>
      <c r="X15" s="3">
        <f>IF(_xlfn.XLOOKUP($U15,GCA!$H$3:$H$593,GCA!G$3:G$593,"",0,1)="","",_xlfn.XLOOKUP($U15,GCA!$H$3:$H$593,GCA!G$3:G$593,"",0,1))</f>
        <v>16632.766</v>
      </c>
    </row>
    <row r="16" spans="1:24" ht="13.2">
      <c r="A16" s="49"/>
      <c r="B16" s="49"/>
      <c r="C16" s="48"/>
      <c r="D16" s="49"/>
      <c r="E16" s="57"/>
      <c r="F16" s="26" t="s">
        <v>572</v>
      </c>
      <c r="G16" s="26" t="s">
        <v>573</v>
      </c>
      <c r="H16" s="27">
        <f t="shared" si="3"/>
        <v>2472.9780000000001</v>
      </c>
      <c r="I16" s="27">
        <f t="shared" si="4"/>
        <v>2356.34</v>
      </c>
      <c r="J16" s="27">
        <f t="shared" si="5"/>
        <v>2403.4450000000002</v>
      </c>
      <c r="K16" s="27">
        <f t="shared" si="6"/>
        <v>2410.9210000000003</v>
      </c>
      <c r="L16" s="77"/>
      <c r="M16" s="80"/>
      <c r="N16" s="77"/>
      <c r="O16" s="63"/>
      <c r="P16" s="63"/>
      <c r="Q16" s="38"/>
      <c r="R16" s="3" t="str">
        <f t="shared" si="12"/>
        <v>Erode</v>
      </c>
      <c r="S16" s="3" t="str">
        <f t="shared" si="8"/>
        <v>Nambiyur</v>
      </c>
      <c r="T16" s="3" t="str">
        <f t="shared" si="9"/>
        <v>Bhavanisagar</v>
      </c>
      <c r="U16" s="3" t="str">
        <f t="shared" si="10"/>
        <v>Erode_Nambiyur_Bhavanisagar</v>
      </c>
      <c r="V16" s="3">
        <f>IF(_xlfn.XLOOKUP($U16,GCA!$H$3:$H$593,GCA!E$3:E$593,"",0,1)="","",_xlfn.XLOOKUP($U16,GCA!$H$3:$H$593,GCA!E$3:E$593,"",0,1))</f>
        <v>2472.9780000000001</v>
      </c>
      <c r="W16" s="3">
        <f>IF(_xlfn.XLOOKUP($U16,GCA!$H$3:$H$593,GCA!F$3:F$593,"",0,1)="","",_xlfn.XLOOKUP($U16,GCA!$H$3:$H$593,GCA!F$3:F$593,"",0,1))</f>
        <v>2356.34</v>
      </c>
      <c r="X16" s="3">
        <f>IF(_xlfn.XLOOKUP($U16,GCA!$H$3:$H$593,GCA!G$3:G$593,"",0,1)="","",_xlfn.XLOOKUP($U16,GCA!$H$3:$H$593,GCA!G$3:G$593,"",0,1))</f>
        <v>2403.4450000000002</v>
      </c>
    </row>
    <row r="17" spans="1:24" ht="13.2">
      <c r="A17" s="49"/>
      <c r="B17" s="49"/>
      <c r="C17" s="48"/>
      <c r="D17" s="49"/>
      <c r="E17" s="57"/>
      <c r="F17" s="26" t="s">
        <v>572</v>
      </c>
      <c r="G17" s="26" t="s">
        <v>572</v>
      </c>
      <c r="H17" s="27">
        <f t="shared" si="3"/>
        <v>13986.107</v>
      </c>
      <c r="I17" s="27">
        <f t="shared" si="4"/>
        <v>13614.9</v>
      </c>
      <c r="J17" s="27">
        <f t="shared" si="5"/>
        <v>14146.38</v>
      </c>
      <c r="K17" s="27">
        <f t="shared" si="6"/>
        <v>13915.795666666665</v>
      </c>
      <c r="L17" s="77"/>
      <c r="M17" s="80"/>
      <c r="N17" s="77"/>
      <c r="O17" s="63"/>
      <c r="P17" s="63"/>
      <c r="Q17" s="38"/>
      <c r="R17" s="3" t="str">
        <f t="shared" si="12"/>
        <v>Erode</v>
      </c>
      <c r="S17" s="3" t="str">
        <f t="shared" si="8"/>
        <v>Nambiyur</v>
      </c>
      <c r="T17" s="3" t="str">
        <f t="shared" si="9"/>
        <v>Nambiyur</v>
      </c>
      <c r="U17" s="3" t="str">
        <f t="shared" si="10"/>
        <v>Erode_Nambiyur_Nambiyur</v>
      </c>
      <c r="V17" s="3">
        <f>IF(_xlfn.XLOOKUP($U17,GCA!$H$3:$H$593,GCA!E$3:E$593,"",0,1)="","",_xlfn.XLOOKUP($U17,GCA!$H$3:$H$593,GCA!E$3:E$593,"",0,1))</f>
        <v>13986.107</v>
      </c>
      <c r="W17" s="3">
        <f>IF(_xlfn.XLOOKUP($U17,GCA!$H$3:$H$593,GCA!F$3:F$593,"",0,1)="","",_xlfn.XLOOKUP($U17,GCA!$H$3:$H$593,GCA!F$3:F$593,"",0,1))</f>
        <v>13614.9</v>
      </c>
      <c r="X17" s="3">
        <f>IF(_xlfn.XLOOKUP($U17,GCA!$H$3:$H$593,GCA!G$3:G$593,"",0,1)="","",_xlfn.XLOOKUP($U17,GCA!$H$3:$H$593,GCA!G$3:G$593,"",0,1))</f>
        <v>14146.38</v>
      </c>
    </row>
    <row r="18" spans="1:24" ht="13.2">
      <c r="A18" s="49"/>
      <c r="B18" s="49"/>
      <c r="C18" s="48"/>
      <c r="D18" s="49"/>
      <c r="E18" s="57"/>
      <c r="F18" s="26" t="s">
        <v>574</v>
      </c>
      <c r="G18" s="26" t="s">
        <v>575</v>
      </c>
      <c r="H18" s="27">
        <f t="shared" si="3"/>
        <v>4963.58</v>
      </c>
      <c r="I18" s="27">
        <f t="shared" si="4"/>
        <v>5029.2250000000004</v>
      </c>
      <c r="J18" s="27">
        <f t="shared" si="5"/>
        <v>5029.8149999999996</v>
      </c>
      <c r="K18" s="27">
        <f t="shared" si="6"/>
        <v>5007.54</v>
      </c>
      <c r="L18" s="77"/>
      <c r="M18" s="80"/>
      <c r="N18" s="77"/>
      <c r="O18" s="63"/>
      <c r="P18" s="63"/>
      <c r="Q18" s="38"/>
      <c r="R18" s="3" t="str">
        <f t="shared" si="12"/>
        <v>Erode</v>
      </c>
      <c r="S18" s="3" t="str">
        <f t="shared" si="8"/>
        <v>Perundurai</v>
      </c>
      <c r="T18" s="3" t="str">
        <f t="shared" si="9"/>
        <v>Chennimalai</v>
      </c>
      <c r="U18" s="3" t="str">
        <f t="shared" si="10"/>
        <v>Erode_Perundurai_Chennimalai</v>
      </c>
      <c r="V18" s="3">
        <f>IF(_xlfn.XLOOKUP($U18,GCA!$H$3:$H$593,GCA!E$3:E$593,"",0,1)="","",_xlfn.XLOOKUP($U18,GCA!$H$3:$H$593,GCA!E$3:E$593,"",0,1))</f>
        <v>4963.58</v>
      </c>
      <c r="W18" s="3">
        <f>IF(_xlfn.XLOOKUP($U18,GCA!$H$3:$H$593,GCA!F$3:F$593,"",0,1)="","",_xlfn.XLOOKUP($U18,GCA!$H$3:$H$593,GCA!F$3:F$593,"",0,1))</f>
        <v>5029.2250000000004</v>
      </c>
      <c r="X18" s="3">
        <f>IF(_xlfn.XLOOKUP($U18,GCA!$H$3:$H$593,GCA!G$3:G$593,"",0,1)="","",_xlfn.XLOOKUP($U18,GCA!$H$3:$H$593,GCA!G$3:G$593,"",0,1))</f>
        <v>5029.8149999999996</v>
      </c>
    </row>
    <row r="19" spans="1:24" ht="13.2">
      <c r="A19" s="49"/>
      <c r="B19" s="49"/>
      <c r="C19" s="48"/>
      <c r="D19" s="49"/>
      <c r="E19" s="58"/>
      <c r="F19" s="26" t="s">
        <v>574</v>
      </c>
      <c r="G19" s="26" t="s">
        <v>574</v>
      </c>
      <c r="H19" s="27">
        <f t="shared" si="3"/>
        <v>10625.64</v>
      </c>
      <c r="I19" s="27">
        <f t="shared" si="4"/>
        <v>9535.5450000000001</v>
      </c>
      <c r="J19" s="27">
        <f t="shared" si="5"/>
        <v>12914.955</v>
      </c>
      <c r="K19" s="27">
        <f t="shared" si="6"/>
        <v>11025.38</v>
      </c>
      <c r="L19" s="78"/>
      <c r="M19" s="81"/>
      <c r="N19" s="78"/>
      <c r="O19" s="64"/>
      <c r="P19" s="64"/>
      <c r="Q19" s="38"/>
      <c r="R19" s="3" t="str">
        <f t="shared" si="12"/>
        <v>Erode</v>
      </c>
      <c r="S19" s="3" t="str">
        <f t="shared" si="8"/>
        <v>Perundurai</v>
      </c>
      <c r="T19" s="3" t="str">
        <f t="shared" si="9"/>
        <v>Perundurai</v>
      </c>
      <c r="U19" s="3" t="str">
        <f t="shared" si="10"/>
        <v>Erode_Perundurai_Perundurai</v>
      </c>
      <c r="V19" s="3">
        <f>IF(_xlfn.XLOOKUP($U19,GCA!$H$3:$H$593,GCA!E$3:E$593,"",0,1)="","",_xlfn.XLOOKUP($U19,GCA!$H$3:$H$593,GCA!E$3:E$593,"",0,1))</f>
        <v>10625.64</v>
      </c>
      <c r="W19" s="3">
        <f>IF(_xlfn.XLOOKUP($U19,GCA!$H$3:$H$593,GCA!F$3:F$593,"",0,1)="","",_xlfn.XLOOKUP($U19,GCA!$H$3:$H$593,GCA!F$3:F$593,"",0,1))</f>
        <v>9535.5450000000001</v>
      </c>
      <c r="X19" s="3">
        <f>IF(_xlfn.XLOOKUP($U19,GCA!$H$3:$H$593,GCA!G$3:G$593,"",0,1)="","",_xlfn.XLOOKUP($U19,GCA!$H$3:$H$593,GCA!G$3:G$593,"",0,1))</f>
        <v>12914.955</v>
      </c>
    </row>
    <row r="20" spans="1:24" ht="13.2">
      <c r="A20" s="49"/>
      <c r="B20" s="49"/>
      <c r="C20" s="48"/>
      <c r="D20" s="49"/>
      <c r="E20" s="56">
        <v>4</v>
      </c>
      <c r="F20" s="26" t="s">
        <v>576</v>
      </c>
      <c r="G20" s="26" t="s">
        <v>573</v>
      </c>
      <c r="H20" s="27">
        <f t="shared" si="3"/>
        <v>6126.35</v>
      </c>
      <c r="I20" s="27">
        <f t="shared" si="4"/>
        <v>5978.09</v>
      </c>
      <c r="J20" s="27">
        <f t="shared" si="5"/>
        <v>5548.3509999999997</v>
      </c>
      <c r="K20" s="27">
        <f t="shared" si="6"/>
        <v>5884.2636666666667</v>
      </c>
      <c r="L20" s="62">
        <f>SUM(K20:K23)</f>
        <v>30541.373</v>
      </c>
      <c r="M20" s="69">
        <f>L20*$L$643/$L$642</f>
        <v>1.2819446745690373</v>
      </c>
      <c r="N20" s="62">
        <f t="shared" si="2"/>
        <v>2</v>
      </c>
      <c r="O20" s="62">
        <f t="shared" ref="O20:P20" si="20">N20</f>
        <v>2</v>
      </c>
      <c r="P20" s="62">
        <f t="shared" si="20"/>
        <v>2</v>
      </c>
      <c r="Q20" s="38"/>
      <c r="R20" s="3" t="str">
        <f t="shared" si="12"/>
        <v>Erode</v>
      </c>
      <c r="S20" s="3" t="str">
        <f t="shared" si="8"/>
        <v>Sathyamangalam</v>
      </c>
      <c r="T20" s="3" t="str">
        <f t="shared" si="9"/>
        <v>Bhavanisagar</v>
      </c>
      <c r="U20" s="3" t="str">
        <f t="shared" si="10"/>
        <v>Erode_Sathyamangalam_Bhavanisagar</v>
      </c>
      <c r="V20" s="3">
        <f>IF(_xlfn.XLOOKUP($U20,GCA!$H$3:$H$593,GCA!E$3:E$593,"",0,1)="","",_xlfn.XLOOKUP($U20,GCA!$H$3:$H$593,GCA!E$3:E$593,"",0,1))</f>
        <v>6126.35</v>
      </c>
      <c r="W20" s="3">
        <f>IF(_xlfn.XLOOKUP($U20,GCA!$H$3:$H$593,GCA!F$3:F$593,"",0,1)="","",_xlfn.XLOOKUP($U20,GCA!$H$3:$H$593,GCA!F$3:F$593,"",0,1))</f>
        <v>5978.09</v>
      </c>
      <c r="X20" s="3">
        <f>IF(_xlfn.XLOOKUP($U20,GCA!$H$3:$H$593,GCA!G$3:G$593,"",0,1)="","",_xlfn.XLOOKUP($U20,GCA!$H$3:$H$593,GCA!G$3:G$593,"",0,1))</f>
        <v>5548.3509999999997</v>
      </c>
    </row>
    <row r="21" spans="1:24" ht="13.2">
      <c r="A21" s="49"/>
      <c r="B21" s="49"/>
      <c r="C21" s="48"/>
      <c r="D21" s="49"/>
      <c r="E21" s="57"/>
      <c r="F21" s="26" t="s">
        <v>576</v>
      </c>
      <c r="G21" s="26" t="s">
        <v>576</v>
      </c>
      <c r="H21" s="27">
        <f t="shared" si="3"/>
        <v>12454.92</v>
      </c>
      <c r="I21" s="27">
        <f t="shared" si="4"/>
        <v>12419.094999999999</v>
      </c>
      <c r="J21" s="27">
        <f t="shared" si="5"/>
        <v>12578.43</v>
      </c>
      <c r="K21" s="27">
        <f t="shared" si="6"/>
        <v>12484.148333333333</v>
      </c>
      <c r="L21" s="63"/>
      <c r="M21" s="70"/>
      <c r="N21" s="63"/>
      <c r="O21" s="63"/>
      <c r="P21" s="63"/>
      <c r="Q21" s="38"/>
      <c r="R21" s="3" t="str">
        <f t="shared" si="12"/>
        <v>Erode</v>
      </c>
      <c r="S21" s="3" t="str">
        <f t="shared" si="8"/>
        <v>Sathyamangalam</v>
      </c>
      <c r="T21" s="3" t="str">
        <f t="shared" si="9"/>
        <v>Sathyamangalam</v>
      </c>
      <c r="U21" s="3" t="str">
        <f t="shared" si="10"/>
        <v>Erode_Sathyamangalam_Sathyamangalam</v>
      </c>
      <c r="V21" s="3">
        <f>IF(_xlfn.XLOOKUP($U21,GCA!$H$3:$H$593,GCA!E$3:E$593,"",0,1)="","",_xlfn.XLOOKUP($U21,GCA!$H$3:$H$593,GCA!E$3:E$593,"",0,1))</f>
        <v>12454.92</v>
      </c>
      <c r="W21" s="3">
        <f>IF(_xlfn.XLOOKUP($U21,GCA!$H$3:$H$593,GCA!F$3:F$593,"",0,1)="","",_xlfn.XLOOKUP($U21,GCA!$H$3:$H$593,GCA!F$3:F$593,"",0,1))</f>
        <v>12419.094999999999</v>
      </c>
      <c r="X21" s="3">
        <f>IF(_xlfn.XLOOKUP($U21,GCA!$H$3:$H$593,GCA!G$3:G$593,"",0,1)="","",_xlfn.XLOOKUP($U21,GCA!$H$3:$H$593,GCA!G$3:G$593,"",0,1))</f>
        <v>12578.43</v>
      </c>
    </row>
    <row r="22" spans="1:24" ht="13.2">
      <c r="A22" s="49"/>
      <c r="B22" s="49"/>
      <c r="C22" s="48"/>
      <c r="D22" s="49"/>
      <c r="E22" s="57"/>
      <c r="F22" s="26" t="s">
        <v>576</v>
      </c>
      <c r="G22" s="26" t="s">
        <v>577</v>
      </c>
      <c r="H22" s="27">
        <f t="shared" si="3"/>
        <v>1491.5550000000001</v>
      </c>
      <c r="I22" s="27">
        <f t="shared" si="4"/>
        <v>1458.508</v>
      </c>
      <c r="J22" s="27">
        <f t="shared" si="5"/>
        <v>1465.77</v>
      </c>
      <c r="K22" s="27">
        <f t="shared" si="6"/>
        <v>1471.9443333333336</v>
      </c>
      <c r="L22" s="63"/>
      <c r="M22" s="70"/>
      <c r="N22" s="63"/>
      <c r="O22" s="63"/>
      <c r="P22" s="63"/>
      <c r="Q22" s="38"/>
      <c r="R22" s="3" t="str">
        <f t="shared" si="12"/>
        <v>Erode</v>
      </c>
      <c r="S22" s="3" t="str">
        <f t="shared" si="8"/>
        <v>Sathyamangalam</v>
      </c>
      <c r="T22" s="3" t="str">
        <f t="shared" si="9"/>
        <v>Talavadi</v>
      </c>
      <c r="U22" s="3" t="str">
        <f t="shared" si="10"/>
        <v>Erode_Sathyamangalam_Talavadi</v>
      </c>
      <c r="V22" s="3">
        <f>IF(_xlfn.XLOOKUP($U22,GCA!$H$3:$H$593,GCA!E$3:E$593,"",0,1)="","",_xlfn.XLOOKUP($U22,GCA!$H$3:$H$593,GCA!E$3:E$593,"",0,1))</f>
        <v>1491.5550000000001</v>
      </c>
      <c r="W22" s="3">
        <f>IF(_xlfn.XLOOKUP($U22,GCA!$H$3:$H$593,GCA!F$3:F$593,"",0,1)="","",_xlfn.XLOOKUP($U22,GCA!$H$3:$H$593,GCA!F$3:F$593,"",0,1))</f>
        <v>1458.508</v>
      </c>
      <c r="X22" s="3">
        <f>IF(_xlfn.XLOOKUP($U22,GCA!$H$3:$H$593,GCA!G$3:G$593,"",0,1)="","",_xlfn.XLOOKUP($U22,GCA!$H$3:$H$593,GCA!G$3:G$593,"",0,1))</f>
        <v>1465.77</v>
      </c>
    </row>
    <row r="23" spans="1:24" ht="13.2">
      <c r="A23" s="49"/>
      <c r="B23" s="49"/>
      <c r="C23" s="48"/>
      <c r="D23" s="49"/>
      <c r="E23" s="58"/>
      <c r="F23" s="26" t="s">
        <v>577</v>
      </c>
      <c r="G23" s="26" t="s">
        <v>577</v>
      </c>
      <c r="H23" s="27">
        <f t="shared" si="3"/>
        <v>10232.625</v>
      </c>
      <c r="I23" s="27">
        <f t="shared" si="4"/>
        <v>9890.6849999999995</v>
      </c>
      <c r="J23" s="27">
        <f t="shared" si="5"/>
        <v>11979.74</v>
      </c>
      <c r="K23" s="27">
        <f t="shared" si="6"/>
        <v>10701.016666666665</v>
      </c>
      <c r="L23" s="64"/>
      <c r="M23" s="71"/>
      <c r="N23" s="64"/>
      <c r="O23" s="64"/>
      <c r="P23" s="64"/>
      <c r="Q23" s="38"/>
      <c r="R23" s="3" t="str">
        <f t="shared" si="12"/>
        <v>Erode</v>
      </c>
      <c r="S23" s="3" t="str">
        <f t="shared" si="8"/>
        <v>Talavadi</v>
      </c>
      <c r="T23" s="3" t="str">
        <f t="shared" si="9"/>
        <v>Talavadi</v>
      </c>
      <c r="U23" s="3" t="str">
        <f t="shared" si="10"/>
        <v>Erode_Talavadi_Talavadi</v>
      </c>
      <c r="V23" s="3">
        <f>IF(_xlfn.XLOOKUP($U23,GCA!$H$3:$H$593,GCA!E$3:E$593,"",0,1)="","",_xlfn.XLOOKUP($U23,GCA!$H$3:$H$593,GCA!E$3:E$593,"",0,1))</f>
        <v>10232.625</v>
      </c>
      <c r="W23" s="3">
        <f>IF(_xlfn.XLOOKUP($U23,GCA!$H$3:$H$593,GCA!F$3:F$593,"",0,1)="","",_xlfn.XLOOKUP($U23,GCA!$H$3:$H$593,GCA!F$3:F$593,"",0,1))</f>
        <v>9890.6849999999995</v>
      </c>
      <c r="X23" s="3">
        <f>IF(_xlfn.XLOOKUP($U23,GCA!$H$3:$H$593,GCA!G$3:G$593,"",0,1)="","",_xlfn.XLOOKUP($U23,GCA!$H$3:$H$593,GCA!G$3:G$593,"",0,1))</f>
        <v>11979.74</v>
      </c>
    </row>
    <row r="24" spans="1:24" ht="13.2">
      <c r="A24" s="49"/>
      <c r="B24" s="49"/>
      <c r="C24" s="48"/>
      <c r="D24" s="49"/>
      <c r="E24" s="47" t="s">
        <v>564</v>
      </c>
      <c r="F24" s="47"/>
      <c r="G24" s="47"/>
      <c r="H24" s="29">
        <f t="shared" ref="H24:P24" si="21">SUM(H6:H23)</f>
        <v>176480.02899999998</v>
      </c>
      <c r="I24" s="29">
        <f t="shared" si="21"/>
        <v>165744.53499999997</v>
      </c>
      <c r="J24" s="29">
        <f t="shared" si="21"/>
        <v>176702.27799999996</v>
      </c>
      <c r="K24" s="29">
        <f t="shared" si="21"/>
        <v>172975.61400000003</v>
      </c>
      <c r="L24" s="29">
        <f t="shared" si="21"/>
        <v>172975.61399999997</v>
      </c>
      <c r="M24" s="30">
        <f t="shared" si="21"/>
        <v>7.2604845629438275</v>
      </c>
      <c r="N24" s="31">
        <f t="shared" si="21"/>
        <v>8</v>
      </c>
      <c r="O24" s="31">
        <f t="shared" si="21"/>
        <v>8</v>
      </c>
      <c r="P24" s="31">
        <f t="shared" si="21"/>
        <v>8</v>
      </c>
      <c r="Q24" s="38"/>
      <c r="R24" s="3" t="str">
        <f t="shared" si="12"/>
        <v>Erode</v>
      </c>
      <c r="S24" s="3">
        <f t="shared" si="8"/>
        <v>0</v>
      </c>
      <c r="T24" s="3">
        <f t="shared" si="9"/>
        <v>0</v>
      </c>
      <c r="U24" s="3" t="str">
        <f t="shared" si="10"/>
        <v>Erode_0_0</v>
      </c>
      <c r="V24" s="3" t="str">
        <f>IF(_xlfn.XLOOKUP($U24,GCA!$H$3:$H$593,GCA!E$3:E$593,"",0,1)="","",_xlfn.XLOOKUP($U24,GCA!$H$3:$H$593,GCA!E$3:E$593,"",0,1))</f>
        <v/>
      </c>
      <c r="W24" s="3" t="str">
        <f>IF(_xlfn.XLOOKUP($U24,GCA!$H$3:$H$593,GCA!F$3:F$593,"",0,1)="","",_xlfn.XLOOKUP($U24,GCA!$H$3:$H$593,GCA!F$3:F$593,"",0,1))</f>
        <v/>
      </c>
      <c r="X24" s="3" t="str">
        <f>IF(_xlfn.XLOOKUP($U24,GCA!$H$3:$H$593,GCA!G$3:G$593,"",0,1)="","",_xlfn.XLOOKUP($U24,GCA!$H$3:$H$593,GCA!G$3:G$593,"",0,1))</f>
        <v/>
      </c>
    </row>
    <row r="25" spans="1:24" ht="13.2">
      <c r="A25" s="49"/>
      <c r="B25" s="49"/>
      <c r="C25" s="48" t="s">
        <v>320</v>
      </c>
      <c r="D25" s="49" t="s">
        <v>528</v>
      </c>
      <c r="E25" s="50">
        <v>1</v>
      </c>
      <c r="F25" s="26" t="s">
        <v>578</v>
      </c>
      <c r="G25" s="26" t="s">
        <v>578</v>
      </c>
      <c r="H25" s="27">
        <f t="shared" ref="H25:H32" si="22">V25</f>
        <v>13031.92</v>
      </c>
      <c r="I25" s="27">
        <f t="shared" ref="I25:I32" si="23">W25</f>
        <v>12779.968000000001</v>
      </c>
      <c r="J25" s="27">
        <f t="shared" ref="J25:J32" si="24">X25</f>
        <v>12566.936</v>
      </c>
      <c r="K25" s="27">
        <f t="shared" ref="K25:K32" si="25">IFERROR(AVERAGE(H25:J25),"")</f>
        <v>12792.941333333334</v>
      </c>
      <c r="L25" s="65">
        <f>SUM(K25:K32)</f>
        <v>75701.63900000001</v>
      </c>
      <c r="M25" s="67">
        <f t="shared" ref="M25:M32" si="26">L25*$L$643/$L$642</f>
        <v>3.1775032829138938</v>
      </c>
      <c r="N25" s="65">
        <f t="shared" si="2"/>
        <v>3</v>
      </c>
      <c r="O25" s="65">
        <f t="shared" ref="O25:P25" si="27">N25</f>
        <v>3</v>
      </c>
      <c r="P25" s="65">
        <f t="shared" si="27"/>
        <v>3</v>
      </c>
      <c r="Q25" s="38"/>
      <c r="R25" s="3" t="str">
        <f t="shared" ref="R25:R54" si="28">C25</f>
        <v>The Nilgiris</v>
      </c>
      <c r="S25" s="3" t="str">
        <f t="shared" si="8"/>
        <v>Coonoor</v>
      </c>
      <c r="T25" s="3" t="str">
        <f t="shared" si="9"/>
        <v>Coonoor</v>
      </c>
      <c r="U25" s="3" t="str">
        <f t="shared" si="10"/>
        <v>The Nilgiris_Coonoor_Coonoor</v>
      </c>
      <c r="V25" s="3">
        <f>IF(_xlfn.XLOOKUP($U25,GCA!$H$3:$H$593,GCA!E$3:E$593,"",0,1)="","",_xlfn.XLOOKUP($U25,GCA!$H$3:$H$593,GCA!E$3:E$593,"",0,1))</f>
        <v>13031.92</v>
      </c>
      <c r="W25" s="3">
        <f>IF(_xlfn.XLOOKUP($U25,GCA!$H$3:$H$593,GCA!F$3:F$593,"",0,1)="","",_xlfn.XLOOKUP($U25,GCA!$H$3:$H$593,GCA!F$3:F$593,"",0,1))</f>
        <v>12779.968000000001</v>
      </c>
      <c r="X25" s="3">
        <f>IF(_xlfn.XLOOKUP($U25,GCA!$H$3:$H$593,GCA!G$3:G$593,"",0,1)="","",_xlfn.XLOOKUP($U25,GCA!$H$3:$H$593,GCA!G$3:G$593,"",0,1))</f>
        <v>12566.936</v>
      </c>
    </row>
    <row r="26" spans="1:24" ht="13.2">
      <c r="A26" s="49"/>
      <c r="B26" s="49"/>
      <c r="C26" s="48"/>
      <c r="D26" s="49"/>
      <c r="E26" s="50"/>
      <c r="F26" s="26" t="s">
        <v>579</v>
      </c>
      <c r="G26" s="26" t="s">
        <v>579</v>
      </c>
      <c r="H26" s="27">
        <f t="shared" si="22"/>
        <v>14061.047</v>
      </c>
      <c r="I26" s="27">
        <f t="shared" si="23"/>
        <v>14069.272000000001</v>
      </c>
      <c r="J26" s="27">
        <f t="shared" si="24"/>
        <v>14280.78</v>
      </c>
      <c r="K26" s="27">
        <f t="shared" si="25"/>
        <v>14137.033000000001</v>
      </c>
      <c r="L26" s="65"/>
      <c r="M26" s="67">
        <f t="shared" si="26"/>
        <v>0</v>
      </c>
      <c r="N26" s="65" t="str">
        <f t="shared" si="2"/>
        <v/>
      </c>
      <c r="O26" s="65" t="str">
        <f t="shared" ref="O26:P26" si="29">N26</f>
        <v/>
      </c>
      <c r="P26" s="65" t="str">
        <f t="shared" si="29"/>
        <v/>
      </c>
      <c r="Q26" s="38"/>
      <c r="R26" s="3" t="str">
        <f t="shared" ref="R26:R33" si="30">R25</f>
        <v>The Nilgiris</v>
      </c>
      <c r="S26" s="3" t="str">
        <f t="shared" si="8"/>
        <v>Gudalur</v>
      </c>
      <c r="T26" s="3" t="str">
        <f t="shared" si="9"/>
        <v>Gudalur</v>
      </c>
      <c r="U26" s="3" t="str">
        <f t="shared" si="10"/>
        <v>The Nilgiris_Gudalur_Gudalur</v>
      </c>
      <c r="V26" s="3">
        <f>IF(_xlfn.XLOOKUP($U26,GCA!$H$3:$H$593,GCA!E$3:E$593,"",0,1)="","",_xlfn.XLOOKUP($U26,GCA!$H$3:$H$593,GCA!E$3:E$593,"",0,1))</f>
        <v>14061.047</v>
      </c>
      <c r="W26" s="3">
        <f>IF(_xlfn.XLOOKUP($U26,GCA!$H$3:$H$593,GCA!F$3:F$593,"",0,1)="","",_xlfn.XLOOKUP($U26,GCA!$H$3:$H$593,GCA!F$3:F$593,"",0,1))</f>
        <v>14069.272000000001</v>
      </c>
      <c r="X26" s="3">
        <f>IF(_xlfn.XLOOKUP($U26,GCA!$H$3:$H$593,GCA!G$3:G$593,"",0,1)="","",_xlfn.XLOOKUP($U26,GCA!$H$3:$H$593,GCA!G$3:G$593,"",0,1))</f>
        <v>14280.78</v>
      </c>
    </row>
    <row r="27" spans="1:24" ht="13.2">
      <c r="A27" s="49"/>
      <c r="B27" s="49"/>
      <c r="C27" s="48"/>
      <c r="D27" s="49"/>
      <c r="E27" s="50"/>
      <c r="F27" s="26" t="s">
        <v>580</v>
      </c>
      <c r="G27" s="26" t="s">
        <v>578</v>
      </c>
      <c r="H27" s="27">
        <f t="shared" si="22"/>
        <v>754.14499999999998</v>
      </c>
      <c r="I27" s="27">
        <f t="shared" si="23"/>
        <v>747.76199999999994</v>
      </c>
      <c r="J27" s="27">
        <f t="shared" si="24"/>
        <v>770.23900000000003</v>
      </c>
      <c r="K27" s="27">
        <f t="shared" si="25"/>
        <v>757.38199999999995</v>
      </c>
      <c r="L27" s="65"/>
      <c r="M27" s="67">
        <f t="shared" si="26"/>
        <v>0</v>
      </c>
      <c r="N27" s="65" t="str">
        <f t="shared" si="2"/>
        <v/>
      </c>
      <c r="O27" s="65" t="str">
        <f t="shared" ref="O27:P27" si="31">N27</f>
        <v/>
      </c>
      <c r="P27" s="65" t="str">
        <f t="shared" si="31"/>
        <v/>
      </c>
      <c r="Q27" s="38"/>
      <c r="R27" s="3" t="str">
        <f t="shared" si="30"/>
        <v>The Nilgiris</v>
      </c>
      <c r="S27" s="3" t="str">
        <f t="shared" si="8"/>
        <v>Kotagiri</v>
      </c>
      <c r="T27" s="3" t="str">
        <f t="shared" si="9"/>
        <v>Coonoor</v>
      </c>
      <c r="U27" s="3" t="str">
        <f t="shared" si="10"/>
        <v>The Nilgiris_Kotagiri_Coonoor</v>
      </c>
      <c r="V27" s="3">
        <f>IF(_xlfn.XLOOKUP($U27,GCA!$H$3:$H$593,GCA!E$3:E$593,"",0,1)="","",_xlfn.XLOOKUP($U27,GCA!$H$3:$H$593,GCA!E$3:E$593,"",0,1))</f>
        <v>754.14499999999998</v>
      </c>
      <c r="W27" s="3">
        <f>IF(_xlfn.XLOOKUP($U27,GCA!$H$3:$H$593,GCA!F$3:F$593,"",0,1)="","",_xlfn.XLOOKUP($U27,GCA!$H$3:$H$593,GCA!F$3:F$593,"",0,1))</f>
        <v>747.76199999999994</v>
      </c>
      <c r="X27" s="3">
        <f>IF(_xlfn.XLOOKUP($U27,GCA!$H$3:$H$593,GCA!G$3:G$593,"",0,1)="","",_xlfn.XLOOKUP($U27,GCA!$H$3:$H$593,GCA!G$3:G$593,"",0,1))</f>
        <v>770.23900000000003</v>
      </c>
    </row>
    <row r="28" spans="1:24" ht="13.2">
      <c r="A28" s="49"/>
      <c r="B28" s="49"/>
      <c r="C28" s="48"/>
      <c r="D28" s="49"/>
      <c r="E28" s="50"/>
      <c r="F28" s="26" t="s">
        <v>580</v>
      </c>
      <c r="G28" s="26" t="s">
        <v>580</v>
      </c>
      <c r="H28" s="27">
        <f t="shared" si="22"/>
        <v>12144.999</v>
      </c>
      <c r="I28" s="27">
        <f t="shared" si="23"/>
        <v>12148.339</v>
      </c>
      <c r="J28" s="27">
        <f t="shared" si="24"/>
        <v>12362.475</v>
      </c>
      <c r="K28" s="27">
        <f t="shared" si="25"/>
        <v>12218.604333333335</v>
      </c>
      <c r="L28" s="65"/>
      <c r="M28" s="67">
        <f t="shared" si="26"/>
        <v>0</v>
      </c>
      <c r="N28" s="65" t="str">
        <f t="shared" si="2"/>
        <v/>
      </c>
      <c r="O28" s="65" t="str">
        <f t="shared" ref="O28:P28" si="32">N28</f>
        <v/>
      </c>
      <c r="P28" s="65" t="str">
        <f t="shared" si="32"/>
        <v/>
      </c>
      <c r="Q28" s="38"/>
      <c r="R28" s="3" t="str">
        <f t="shared" si="30"/>
        <v>The Nilgiris</v>
      </c>
      <c r="S28" s="3" t="str">
        <f t="shared" si="8"/>
        <v>Kotagiri</v>
      </c>
      <c r="T28" s="3" t="str">
        <f t="shared" si="9"/>
        <v>Kotagiri</v>
      </c>
      <c r="U28" s="3" t="str">
        <f t="shared" si="10"/>
        <v>The Nilgiris_Kotagiri_Kotagiri</v>
      </c>
      <c r="V28" s="3">
        <f>IF(_xlfn.XLOOKUP($U28,GCA!$H$3:$H$593,GCA!E$3:E$593,"",0,1)="","",_xlfn.XLOOKUP($U28,GCA!$H$3:$H$593,GCA!E$3:E$593,"",0,1))</f>
        <v>12144.999</v>
      </c>
      <c r="W28" s="3">
        <f>IF(_xlfn.XLOOKUP($U28,GCA!$H$3:$H$593,GCA!F$3:F$593,"",0,1)="","",_xlfn.XLOOKUP($U28,GCA!$H$3:$H$593,GCA!F$3:F$593,"",0,1))</f>
        <v>12148.339</v>
      </c>
      <c r="X28" s="3">
        <f>IF(_xlfn.XLOOKUP($U28,GCA!$H$3:$H$593,GCA!G$3:G$593,"",0,1)="","",_xlfn.XLOOKUP($U28,GCA!$H$3:$H$593,GCA!G$3:G$593,"",0,1))</f>
        <v>12362.475</v>
      </c>
    </row>
    <row r="29" spans="1:24" ht="13.2">
      <c r="A29" s="49"/>
      <c r="B29" s="49"/>
      <c r="C29" s="48"/>
      <c r="D29" s="49"/>
      <c r="E29" s="50"/>
      <c r="F29" s="26" t="s">
        <v>581</v>
      </c>
      <c r="G29" s="26" t="s">
        <v>582</v>
      </c>
      <c r="H29" s="27">
        <f t="shared" si="22"/>
        <v>7799.2979999999998</v>
      </c>
      <c r="I29" s="27">
        <f t="shared" si="23"/>
        <v>7805.9279999999999</v>
      </c>
      <c r="J29" s="27">
        <f t="shared" si="24"/>
        <v>7634.6289999999999</v>
      </c>
      <c r="K29" s="27">
        <f t="shared" si="25"/>
        <v>7746.6183333333329</v>
      </c>
      <c r="L29" s="65"/>
      <c r="M29" s="67">
        <f t="shared" si="26"/>
        <v>0</v>
      </c>
      <c r="N29" s="65" t="str">
        <f t="shared" si="2"/>
        <v/>
      </c>
      <c r="O29" s="65" t="str">
        <f t="shared" ref="O29:P29" si="33">N29</f>
        <v/>
      </c>
      <c r="P29" s="65" t="str">
        <f t="shared" si="33"/>
        <v/>
      </c>
      <c r="Q29" s="38"/>
      <c r="R29" s="3" t="str">
        <f t="shared" si="30"/>
        <v>The Nilgiris</v>
      </c>
      <c r="S29" s="3" t="str">
        <f t="shared" si="8"/>
        <v>Kundah</v>
      </c>
      <c r="T29" s="3" t="str">
        <f t="shared" si="9"/>
        <v>Udhagamandalam</v>
      </c>
      <c r="U29" s="3" t="str">
        <f t="shared" si="10"/>
        <v>The Nilgiris_Kundah_Udhagamandalam</v>
      </c>
      <c r="V29" s="3">
        <f>IF(_xlfn.XLOOKUP($U29,GCA!$H$3:$H$593,GCA!E$3:E$593,"",0,1)="","",_xlfn.XLOOKUP($U29,GCA!$H$3:$H$593,GCA!E$3:E$593,"",0,1))</f>
        <v>7799.2979999999998</v>
      </c>
      <c r="W29" s="3">
        <f>IF(_xlfn.XLOOKUP($U29,GCA!$H$3:$H$593,GCA!F$3:F$593,"",0,1)="","",_xlfn.XLOOKUP($U29,GCA!$H$3:$H$593,GCA!F$3:F$593,"",0,1))</f>
        <v>7805.9279999999999</v>
      </c>
      <c r="X29" s="3">
        <f>IF(_xlfn.XLOOKUP($U29,GCA!$H$3:$H$593,GCA!G$3:G$593,"",0,1)="","",_xlfn.XLOOKUP($U29,GCA!$H$3:$H$593,GCA!G$3:G$593,"",0,1))</f>
        <v>7634.6289999999999</v>
      </c>
    </row>
    <row r="30" spans="1:24" ht="13.2">
      <c r="A30" s="49"/>
      <c r="B30" s="49"/>
      <c r="C30" s="48"/>
      <c r="D30" s="49"/>
      <c r="E30" s="50"/>
      <c r="F30" s="26" t="s">
        <v>583</v>
      </c>
      <c r="G30" s="26" t="s">
        <v>579</v>
      </c>
      <c r="H30" s="27">
        <f t="shared" si="22"/>
        <v>12207.626</v>
      </c>
      <c r="I30" s="27">
        <f t="shared" si="23"/>
        <v>12233.434999999999</v>
      </c>
      <c r="J30" s="27">
        <f t="shared" si="24"/>
        <v>12338.904</v>
      </c>
      <c r="K30" s="27">
        <f t="shared" si="25"/>
        <v>12259.988333333335</v>
      </c>
      <c r="L30" s="65"/>
      <c r="M30" s="67">
        <f t="shared" si="26"/>
        <v>0</v>
      </c>
      <c r="N30" s="65" t="str">
        <f t="shared" si="2"/>
        <v/>
      </c>
      <c r="O30" s="65" t="str">
        <f t="shared" ref="O30:P30" si="34">N30</f>
        <v/>
      </c>
      <c r="P30" s="65" t="str">
        <f t="shared" si="34"/>
        <v/>
      </c>
      <c r="Q30" s="38"/>
      <c r="R30" s="3" t="str">
        <f t="shared" si="30"/>
        <v>The Nilgiris</v>
      </c>
      <c r="S30" s="3" t="str">
        <f t="shared" si="8"/>
        <v>Pandalur</v>
      </c>
      <c r="T30" s="3" t="str">
        <f t="shared" si="9"/>
        <v>Gudalur</v>
      </c>
      <c r="U30" s="3" t="str">
        <f t="shared" si="10"/>
        <v>The Nilgiris_Pandalur_Gudalur</v>
      </c>
      <c r="V30" s="3">
        <f>IF(_xlfn.XLOOKUP($U30,GCA!$H$3:$H$593,GCA!E$3:E$593,"",0,1)="","",_xlfn.XLOOKUP($U30,GCA!$H$3:$H$593,GCA!E$3:E$593,"",0,1))</f>
        <v>12207.626</v>
      </c>
      <c r="W30" s="3">
        <f>IF(_xlfn.XLOOKUP($U30,GCA!$H$3:$H$593,GCA!F$3:F$593,"",0,1)="","",_xlfn.XLOOKUP($U30,GCA!$H$3:$H$593,GCA!F$3:F$593,"",0,1))</f>
        <v>12233.434999999999</v>
      </c>
      <c r="X30" s="3">
        <f>IF(_xlfn.XLOOKUP($U30,GCA!$H$3:$H$593,GCA!G$3:G$593,"",0,1)="","",_xlfn.XLOOKUP($U30,GCA!$H$3:$H$593,GCA!G$3:G$593,"",0,1))</f>
        <v>12338.904</v>
      </c>
    </row>
    <row r="31" spans="1:24" ht="13.2">
      <c r="A31" s="49"/>
      <c r="B31" s="49"/>
      <c r="C31" s="48"/>
      <c r="D31" s="49"/>
      <c r="E31" s="50"/>
      <c r="F31" s="26" t="s">
        <v>582</v>
      </c>
      <c r="G31" s="26" t="s">
        <v>579</v>
      </c>
      <c r="H31" s="27">
        <f t="shared" si="22"/>
        <v>740.505</v>
      </c>
      <c r="I31" s="27">
        <f t="shared" si="23"/>
        <v>751.72500000000002</v>
      </c>
      <c r="J31" s="27">
        <f t="shared" si="24"/>
        <v>751.22</v>
      </c>
      <c r="K31" s="27">
        <f t="shared" si="25"/>
        <v>747.81666666666661</v>
      </c>
      <c r="L31" s="65"/>
      <c r="M31" s="67">
        <f t="shared" si="26"/>
        <v>0</v>
      </c>
      <c r="N31" s="65" t="str">
        <f t="shared" si="2"/>
        <v/>
      </c>
      <c r="O31" s="65" t="str">
        <f t="shared" ref="O31:P31" si="35">N31</f>
        <v/>
      </c>
      <c r="P31" s="65" t="str">
        <f t="shared" si="35"/>
        <v/>
      </c>
      <c r="Q31" s="38"/>
      <c r="R31" s="3" t="str">
        <f t="shared" si="30"/>
        <v>The Nilgiris</v>
      </c>
      <c r="S31" s="3" t="str">
        <f t="shared" si="8"/>
        <v>Udhagamandalam</v>
      </c>
      <c r="T31" s="3" t="str">
        <f t="shared" si="9"/>
        <v>Gudalur</v>
      </c>
      <c r="U31" s="3" t="str">
        <f t="shared" si="10"/>
        <v>The Nilgiris_Udhagamandalam_Gudalur</v>
      </c>
      <c r="V31" s="3">
        <f>IF(_xlfn.XLOOKUP($U31,GCA!$H$3:$H$593,GCA!E$3:E$593,"",0,1)="","",_xlfn.XLOOKUP($U31,GCA!$H$3:$H$593,GCA!E$3:E$593,"",0,1))</f>
        <v>740.505</v>
      </c>
      <c r="W31" s="3">
        <f>IF(_xlfn.XLOOKUP($U31,GCA!$H$3:$H$593,GCA!F$3:F$593,"",0,1)="","",_xlfn.XLOOKUP($U31,GCA!$H$3:$H$593,GCA!F$3:F$593,"",0,1))</f>
        <v>751.72500000000002</v>
      </c>
      <c r="X31" s="3">
        <f>IF(_xlfn.XLOOKUP($U31,GCA!$H$3:$H$593,GCA!G$3:G$593,"",0,1)="","",_xlfn.XLOOKUP($U31,GCA!$H$3:$H$593,GCA!G$3:G$593,"",0,1))</f>
        <v>751.22</v>
      </c>
    </row>
    <row r="32" spans="1:24" ht="13.2">
      <c r="A32" s="49"/>
      <c r="B32" s="49"/>
      <c r="C32" s="48"/>
      <c r="D32" s="49"/>
      <c r="E32" s="50"/>
      <c r="F32" s="26" t="s">
        <v>582</v>
      </c>
      <c r="G32" s="26" t="s">
        <v>582</v>
      </c>
      <c r="H32" s="27">
        <f t="shared" si="22"/>
        <v>14980.885</v>
      </c>
      <c r="I32" s="27">
        <f t="shared" si="23"/>
        <v>14912.145</v>
      </c>
      <c r="J32" s="27">
        <f t="shared" si="24"/>
        <v>15230.735000000001</v>
      </c>
      <c r="K32" s="27">
        <f t="shared" si="25"/>
        <v>15041.254999999999</v>
      </c>
      <c r="L32" s="65"/>
      <c r="M32" s="67">
        <f t="shared" si="26"/>
        <v>0</v>
      </c>
      <c r="N32" s="65" t="str">
        <f t="shared" si="2"/>
        <v/>
      </c>
      <c r="O32" s="65" t="str">
        <f t="shared" ref="O32:P32" si="36">N32</f>
        <v/>
      </c>
      <c r="P32" s="65" t="str">
        <f t="shared" si="36"/>
        <v/>
      </c>
      <c r="Q32" s="38"/>
      <c r="R32" s="3" t="str">
        <f t="shared" si="30"/>
        <v>The Nilgiris</v>
      </c>
      <c r="S32" s="3" t="str">
        <f t="shared" si="8"/>
        <v>Udhagamandalam</v>
      </c>
      <c r="T32" s="3" t="str">
        <f t="shared" si="9"/>
        <v>Udhagamandalam</v>
      </c>
      <c r="U32" s="3" t="str">
        <f t="shared" si="10"/>
        <v>The Nilgiris_Udhagamandalam_Udhagamandalam</v>
      </c>
      <c r="V32" s="3">
        <f>IF(_xlfn.XLOOKUP($U32,GCA!$H$3:$H$593,GCA!E$3:E$593,"",0,1)="","",_xlfn.XLOOKUP($U32,GCA!$H$3:$H$593,GCA!E$3:E$593,"",0,1))</f>
        <v>14980.885</v>
      </c>
      <c r="W32" s="3">
        <f>IF(_xlfn.XLOOKUP($U32,GCA!$H$3:$H$593,GCA!F$3:F$593,"",0,1)="","",_xlfn.XLOOKUP($U32,GCA!$H$3:$H$593,GCA!F$3:F$593,"",0,1))</f>
        <v>14912.145</v>
      </c>
      <c r="X32" s="3">
        <f>IF(_xlfn.XLOOKUP($U32,GCA!$H$3:$H$593,GCA!G$3:G$593,"",0,1)="","",_xlfn.XLOOKUP($U32,GCA!$H$3:$H$593,GCA!G$3:G$593,"",0,1))</f>
        <v>15230.735000000001</v>
      </c>
    </row>
    <row r="33" spans="1:24" ht="13.2">
      <c r="A33" s="49"/>
      <c r="B33" s="49"/>
      <c r="C33" s="48"/>
      <c r="D33" s="49"/>
      <c r="E33" s="47" t="s">
        <v>564</v>
      </c>
      <c r="F33" s="47"/>
      <c r="G33" s="47"/>
      <c r="H33" s="29">
        <f t="shared" ref="H33:P33" si="37">SUM(H25:H32)</f>
        <v>75720.425000000003</v>
      </c>
      <c r="I33" s="29">
        <f t="shared" si="37"/>
        <v>75448.573999999993</v>
      </c>
      <c r="J33" s="29">
        <f t="shared" si="37"/>
        <v>75935.918000000005</v>
      </c>
      <c r="K33" s="29">
        <f t="shared" si="37"/>
        <v>75701.63900000001</v>
      </c>
      <c r="L33" s="29">
        <f t="shared" si="37"/>
        <v>75701.63900000001</v>
      </c>
      <c r="M33" s="30">
        <f t="shared" si="37"/>
        <v>3.1775032829138938</v>
      </c>
      <c r="N33" s="31">
        <f t="shared" si="37"/>
        <v>3</v>
      </c>
      <c r="O33" s="31">
        <f t="shared" si="37"/>
        <v>3</v>
      </c>
      <c r="P33" s="31">
        <f t="shared" si="37"/>
        <v>3</v>
      </c>
      <c r="Q33" s="38"/>
      <c r="R33" s="3" t="str">
        <f t="shared" si="30"/>
        <v>The Nilgiris</v>
      </c>
      <c r="S33" s="3">
        <f t="shared" si="8"/>
        <v>0</v>
      </c>
      <c r="T33" s="3">
        <f t="shared" si="9"/>
        <v>0</v>
      </c>
      <c r="U33" s="3" t="str">
        <f t="shared" si="10"/>
        <v>The Nilgiris_0_0</v>
      </c>
      <c r="V33" s="3" t="str">
        <f>IF(_xlfn.XLOOKUP($U33,GCA!$H$3:$H$593,GCA!E$3:E$593,"",0,1)="","",_xlfn.XLOOKUP($U33,GCA!$H$3:$H$593,GCA!E$3:E$593,"",0,1))</f>
        <v/>
      </c>
      <c r="W33" s="3" t="str">
        <f>IF(_xlfn.XLOOKUP($U33,GCA!$H$3:$H$593,GCA!F$3:F$593,"",0,1)="","",_xlfn.XLOOKUP($U33,GCA!$H$3:$H$593,GCA!F$3:F$593,"",0,1))</f>
        <v/>
      </c>
      <c r="X33" s="3" t="str">
        <f>IF(_xlfn.XLOOKUP($U33,GCA!$H$3:$H$593,GCA!G$3:G$593,"",0,1)="","",_xlfn.XLOOKUP($U33,GCA!$H$3:$H$593,GCA!G$3:G$593,"",0,1))</f>
        <v/>
      </c>
    </row>
    <row r="34" spans="1:24" ht="13.95" customHeight="1">
      <c r="A34" s="49"/>
      <c r="B34" s="49"/>
      <c r="C34" s="48" t="s">
        <v>326</v>
      </c>
      <c r="D34" s="49" t="s">
        <v>529</v>
      </c>
      <c r="E34" s="50">
        <v>1</v>
      </c>
      <c r="F34" s="26" t="s">
        <v>584</v>
      </c>
      <c r="G34" s="26" t="s">
        <v>584</v>
      </c>
      <c r="H34" s="27">
        <f t="shared" ref="H34:H52" si="38">V34</f>
        <v>27447.15</v>
      </c>
      <c r="I34" s="27">
        <f t="shared" ref="I34:I52" si="39">W34</f>
        <v>26537.542000000001</v>
      </c>
      <c r="J34" s="27">
        <f t="shared" ref="J34:J52" si="40">X34</f>
        <v>28259.78</v>
      </c>
      <c r="K34" s="27">
        <f t="shared" ref="K34:K52" si="41">IFERROR(AVERAGE(H34:J34),"")</f>
        <v>27414.824000000004</v>
      </c>
      <c r="L34" s="65">
        <f>SUM(K34:K37)</f>
        <v>46287.932000000008</v>
      </c>
      <c r="M34" s="67">
        <f t="shared" ref="M34:M52" si="42">L34*$L$643/$L$642</f>
        <v>1.9428913010627824</v>
      </c>
      <c r="N34" s="65">
        <f t="shared" si="2"/>
        <v>2</v>
      </c>
      <c r="O34" s="65">
        <f t="shared" ref="O34:P34" si="43">N34</f>
        <v>2</v>
      </c>
      <c r="P34" s="65">
        <f t="shared" si="43"/>
        <v>2</v>
      </c>
      <c r="Q34" s="38"/>
      <c r="R34" s="3" t="str">
        <f t="shared" si="28"/>
        <v>Coimbatore</v>
      </c>
      <c r="S34" s="3" t="str">
        <f t="shared" si="8"/>
        <v>Anaimalai</v>
      </c>
      <c r="T34" s="3" t="str">
        <f t="shared" si="9"/>
        <v>Anaimalai</v>
      </c>
      <c r="U34" s="3" t="str">
        <f t="shared" si="10"/>
        <v>Coimbatore_Anaimalai_Anaimalai</v>
      </c>
      <c r="V34" s="3">
        <f>IF(_xlfn.XLOOKUP($U34,GCA!$H$3:$H$593,GCA!E$3:E$593,"",0,1)="","",_xlfn.XLOOKUP($U34,GCA!$H$3:$H$593,GCA!E$3:E$593,"",0,1))</f>
        <v>27447.15</v>
      </c>
      <c r="W34" s="3">
        <f>IF(_xlfn.XLOOKUP($U34,GCA!$H$3:$H$593,GCA!F$3:F$593,"",0,1)="","",_xlfn.XLOOKUP($U34,GCA!$H$3:$H$593,GCA!F$3:F$593,"",0,1))</f>
        <v>26537.542000000001</v>
      </c>
      <c r="X34" s="3">
        <f>IF(_xlfn.XLOOKUP($U34,GCA!$H$3:$H$593,GCA!G$3:G$593,"",0,1)="","",_xlfn.XLOOKUP($U34,GCA!$H$3:$H$593,GCA!G$3:G$593,"",0,1))</f>
        <v>28259.78</v>
      </c>
    </row>
    <row r="35" spans="1:24" ht="13.95" customHeight="1">
      <c r="A35" s="49"/>
      <c r="B35" s="49"/>
      <c r="C35" s="48"/>
      <c r="D35" s="49"/>
      <c r="E35" s="50"/>
      <c r="F35" s="26" t="s">
        <v>584</v>
      </c>
      <c r="G35" s="26" t="s">
        <v>585</v>
      </c>
      <c r="H35" s="27">
        <f t="shared" si="38"/>
        <v>5369.63</v>
      </c>
      <c r="I35" s="27">
        <f t="shared" si="39"/>
        <v>5022.18</v>
      </c>
      <c r="J35" s="27">
        <f t="shared" si="40"/>
        <v>5565.8990000000003</v>
      </c>
      <c r="K35" s="27">
        <f t="shared" si="41"/>
        <v>5319.2363333333342</v>
      </c>
      <c r="L35" s="65"/>
      <c r="M35" s="67">
        <f t="shared" si="42"/>
        <v>0</v>
      </c>
      <c r="N35" s="65" t="str">
        <f t="shared" si="2"/>
        <v/>
      </c>
      <c r="O35" s="65" t="str">
        <f t="shared" ref="O35:P35" si="44">N35</f>
        <v/>
      </c>
      <c r="P35" s="65" t="str">
        <f t="shared" si="44"/>
        <v/>
      </c>
      <c r="Q35" s="38"/>
      <c r="R35" s="3" t="str">
        <f t="shared" ref="R35:R53" si="45">R34</f>
        <v>Coimbatore</v>
      </c>
      <c r="S35" s="3" t="str">
        <f t="shared" si="8"/>
        <v>Anaimalai</v>
      </c>
      <c r="T35" s="3" t="str">
        <f t="shared" si="9"/>
        <v>Pollachi South</v>
      </c>
      <c r="U35" s="3" t="str">
        <f t="shared" si="10"/>
        <v>Coimbatore_Anaimalai_Pollachi South</v>
      </c>
      <c r="V35" s="3">
        <f>IF(_xlfn.XLOOKUP($U35,GCA!$H$3:$H$593,GCA!E$3:E$593,"",0,1)="","",_xlfn.XLOOKUP($U35,GCA!$H$3:$H$593,GCA!E$3:E$593,"",0,1))</f>
        <v>5369.63</v>
      </c>
      <c r="W35" s="3">
        <f>IF(_xlfn.XLOOKUP($U35,GCA!$H$3:$H$593,GCA!F$3:F$593,"",0,1)="","",_xlfn.XLOOKUP($U35,GCA!$H$3:$H$593,GCA!F$3:F$593,"",0,1))</f>
        <v>5022.18</v>
      </c>
      <c r="X35" s="3">
        <f>IF(_xlfn.XLOOKUP($U35,GCA!$H$3:$H$593,GCA!G$3:G$593,"",0,1)="","",_xlfn.XLOOKUP($U35,GCA!$H$3:$H$593,GCA!G$3:G$593,"",0,1))</f>
        <v>5565.8990000000003</v>
      </c>
    </row>
    <row r="36" spans="1:24" ht="13.95" customHeight="1">
      <c r="A36" s="49"/>
      <c r="B36" s="49"/>
      <c r="C36" s="48"/>
      <c r="D36" s="49"/>
      <c r="E36" s="50"/>
      <c r="F36" s="26" t="s">
        <v>586</v>
      </c>
      <c r="G36" s="26" t="s">
        <v>586</v>
      </c>
      <c r="H36" s="27">
        <f t="shared" si="38"/>
        <v>9396.1749999999993</v>
      </c>
      <c r="I36" s="27">
        <f t="shared" si="39"/>
        <v>10243.545</v>
      </c>
      <c r="J36" s="27">
        <f t="shared" si="40"/>
        <v>11140.985000000001</v>
      </c>
      <c r="K36" s="27">
        <f t="shared" si="41"/>
        <v>10260.235000000001</v>
      </c>
      <c r="L36" s="65"/>
      <c r="M36" s="67">
        <f t="shared" si="42"/>
        <v>0</v>
      </c>
      <c r="N36" s="65" t="str">
        <f t="shared" si="2"/>
        <v/>
      </c>
      <c r="O36" s="65" t="str">
        <f t="shared" ref="O36:P36" si="46">N36</f>
        <v/>
      </c>
      <c r="P36" s="65" t="str">
        <f t="shared" si="46"/>
        <v/>
      </c>
      <c r="Q36" s="38"/>
      <c r="R36" s="3" t="str">
        <f t="shared" si="45"/>
        <v>Coimbatore</v>
      </c>
      <c r="S36" s="3" t="str">
        <f t="shared" si="8"/>
        <v>Annur</v>
      </c>
      <c r="T36" s="3" t="str">
        <f t="shared" si="9"/>
        <v>Annur</v>
      </c>
      <c r="U36" s="3" t="str">
        <f t="shared" si="10"/>
        <v>Coimbatore_Annur_Annur</v>
      </c>
      <c r="V36" s="3">
        <f>IF(_xlfn.XLOOKUP($U36,GCA!$H$3:$H$593,GCA!E$3:E$593,"",0,1)="","",_xlfn.XLOOKUP($U36,GCA!$H$3:$H$593,GCA!E$3:E$593,"",0,1))</f>
        <v>9396.1749999999993</v>
      </c>
      <c r="W36" s="3">
        <f>IF(_xlfn.XLOOKUP($U36,GCA!$H$3:$H$593,GCA!F$3:F$593,"",0,1)="","",_xlfn.XLOOKUP($U36,GCA!$H$3:$H$593,GCA!F$3:F$593,"",0,1))</f>
        <v>10243.545</v>
      </c>
      <c r="X36" s="3">
        <f>IF(_xlfn.XLOOKUP($U36,GCA!$H$3:$H$593,GCA!G$3:G$593,"",0,1)="","",_xlfn.XLOOKUP($U36,GCA!$H$3:$H$593,GCA!G$3:G$593,"",0,1))</f>
        <v>11140.985000000001</v>
      </c>
    </row>
    <row r="37" spans="1:24" ht="13.95" customHeight="1">
      <c r="A37" s="49"/>
      <c r="B37" s="49"/>
      <c r="C37" s="48"/>
      <c r="D37" s="49"/>
      <c r="E37" s="50"/>
      <c r="F37" s="26" t="s">
        <v>586</v>
      </c>
      <c r="G37" s="26" t="s">
        <v>587</v>
      </c>
      <c r="H37" s="27">
        <f t="shared" si="38"/>
        <v>3094.04</v>
      </c>
      <c r="I37" s="27">
        <f t="shared" si="39"/>
        <v>3252.4549999999999</v>
      </c>
      <c r="J37" s="27">
        <f t="shared" si="40"/>
        <v>3534.415</v>
      </c>
      <c r="K37" s="27">
        <f t="shared" si="41"/>
        <v>3293.6366666666668</v>
      </c>
      <c r="L37" s="65"/>
      <c r="M37" s="67">
        <f t="shared" si="42"/>
        <v>0</v>
      </c>
      <c r="N37" s="65" t="str">
        <f t="shared" si="2"/>
        <v/>
      </c>
      <c r="O37" s="65" t="str">
        <f t="shared" ref="O37:P37" si="47">N37</f>
        <v/>
      </c>
      <c r="P37" s="65" t="str">
        <f t="shared" si="47"/>
        <v/>
      </c>
      <c r="Q37" s="38"/>
      <c r="R37" s="3" t="str">
        <f t="shared" si="45"/>
        <v>Coimbatore</v>
      </c>
      <c r="S37" s="3" t="str">
        <f t="shared" si="8"/>
        <v>Annur</v>
      </c>
      <c r="T37" s="3" t="str">
        <f t="shared" si="9"/>
        <v>Sarkar Samakulam</v>
      </c>
      <c r="U37" s="3" t="str">
        <f t="shared" si="10"/>
        <v>Coimbatore_Annur_Sarkar Samakulam</v>
      </c>
      <c r="V37" s="3">
        <f>IF(_xlfn.XLOOKUP($U37,GCA!$H$3:$H$593,GCA!E$3:E$593,"",0,1)="","",_xlfn.XLOOKUP($U37,GCA!$H$3:$H$593,GCA!E$3:E$593,"",0,1))</f>
        <v>3094.04</v>
      </c>
      <c r="W37" s="3">
        <f>IF(_xlfn.XLOOKUP($U37,GCA!$H$3:$H$593,GCA!F$3:F$593,"",0,1)="","",_xlfn.XLOOKUP($U37,GCA!$H$3:$H$593,GCA!F$3:F$593,"",0,1))</f>
        <v>3252.4549999999999</v>
      </c>
      <c r="X37" s="3">
        <f>IF(_xlfn.XLOOKUP($U37,GCA!$H$3:$H$593,GCA!G$3:G$593,"",0,1)="","",_xlfn.XLOOKUP($U37,GCA!$H$3:$H$593,GCA!G$3:G$593,"",0,1))</f>
        <v>3534.415</v>
      </c>
    </row>
    <row r="38" spans="1:24" ht="13.95" customHeight="1">
      <c r="A38" s="49"/>
      <c r="B38" s="49"/>
      <c r="C38" s="48"/>
      <c r="D38" s="49"/>
      <c r="E38" s="50">
        <v>2</v>
      </c>
      <c r="F38" s="26" t="s">
        <v>588</v>
      </c>
      <c r="G38" s="26" t="s">
        <v>589</v>
      </c>
      <c r="H38" s="27">
        <f t="shared" si="38"/>
        <v>4536.28</v>
      </c>
      <c r="I38" s="27">
        <f t="shared" si="39"/>
        <v>4405.2139999999999</v>
      </c>
      <c r="J38" s="27">
        <f t="shared" si="40"/>
        <v>4581.5720000000001</v>
      </c>
      <c r="K38" s="27">
        <f t="shared" si="41"/>
        <v>4507.688666666666</v>
      </c>
      <c r="L38" s="65">
        <f>SUM(K38:K44)</f>
        <v>48020.175333333333</v>
      </c>
      <c r="M38" s="67">
        <f t="shared" si="42"/>
        <v>2.015600544233493</v>
      </c>
      <c r="N38" s="65">
        <f t="shared" si="2"/>
        <v>2</v>
      </c>
      <c r="O38" s="65">
        <f t="shared" ref="O38:P38" si="48">N38</f>
        <v>2</v>
      </c>
      <c r="P38" s="65">
        <f t="shared" si="48"/>
        <v>2</v>
      </c>
      <c r="Q38" s="38"/>
      <c r="R38" s="3" t="str">
        <f t="shared" si="45"/>
        <v>Coimbatore</v>
      </c>
      <c r="S38" s="3" t="str">
        <f t="shared" si="8"/>
        <v>Coimbatore North</v>
      </c>
      <c r="T38" s="3" t="str">
        <f t="shared" si="9"/>
        <v>Periyanaickenpalayam</v>
      </c>
      <c r="U38" s="3" t="str">
        <f t="shared" si="10"/>
        <v>Coimbatore_Coimbatore North_Periyanaickenpalayam</v>
      </c>
      <c r="V38" s="3">
        <f>IF(_xlfn.XLOOKUP($U38,GCA!$H$3:$H$593,GCA!E$3:E$593,"",0,1)="","",_xlfn.XLOOKUP($U38,GCA!$H$3:$H$593,GCA!E$3:E$593,"",0,1))</f>
        <v>4536.28</v>
      </c>
      <c r="W38" s="3">
        <f>IF(_xlfn.XLOOKUP($U38,GCA!$H$3:$H$593,GCA!F$3:F$593,"",0,1)="","",_xlfn.XLOOKUP($U38,GCA!$H$3:$H$593,GCA!F$3:F$593,"",0,1))</f>
        <v>4405.2139999999999</v>
      </c>
      <c r="X38" s="3">
        <f>IF(_xlfn.XLOOKUP($U38,GCA!$H$3:$H$593,GCA!G$3:G$593,"",0,1)="","",_xlfn.XLOOKUP($U38,GCA!$H$3:$H$593,GCA!G$3:G$593,"",0,1))</f>
        <v>4581.5720000000001</v>
      </c>
    </row>
    <row r="39" spans="1:24" ht="13.95" customHeight="1">
      <c r="A39" s="49"/>
      <c r="B39" s="49"/>
      <c r="C39" s="48"/>
      <c r="D39" s="49"/>
      <c r="E39" s="50"/>
      <c r="F39" s="26" t="s">
        <v>588</v>
      </c>
      <c r="G39" s="26" t="s">
        <v>587</v>
      </c>
      <c r="H39" s="27">
        <f t="shared" si="38"/>
        <v>960.94399999999996</v>
      </c>
      <c r="I39" s="27">
        <f t="shared" si="39"/>
        <v>967.03499999999997</v>
      </c>
      <c r="J39" s="27">
        <f t="shared" si="40"/>
        <v>996.81</v>
      </c>
      <c r="K39" s="27">
        <f t="shared" si="41"/>
        <v>974.92966666666655</v>
      </c>
      <c r="L39" s="65"/>
      <c r="M39" s="67">
        <f t="shared" si="42"/>
        <v>0</v>
      </c>
      <c r="N39" s="65" t="str">
        <f t="shared" si="2"/>
        <v/>
      </c>
      <c r="O39" s="65" t="str">
        <f t="shared" ref="O39:P39" si="49">N39</f>
        <v/>
      </c>
      <c r="P39" s="65" t="str">
        <f t="shared" si="49"/>
        <v/>
      </c>
      <c r="Q39" s="38"/>
      <c r="R39" s="3" t="str">
        <f t="shared" si="45"/>
        <v>Coimbatore</v>
      </c>
      <c r="S39" s="3" t="str">
        <f t="shared" si="8"/>
        <v>Coimbatore North</v>
      </c>
      <c r="T39" s="3" t="str">
        <f t="shared" si="9"/>
        <v>Sarkar Samakulam</v>
      </c>
      <c r="U39" s="3" t="str">
        <f t="shared" si="10"/>
        <v>Coimbatore_Coimbatore North_Sarkar Samakulam</v>
      </c>
      <c r="V39" s="3">
        <f>IF(_xlfn.XLOOKUP($U39,GCA!$H$3:$H$593,GCA!E$3:E$593,"",0,1)="","",_xlfn.XLOOKUP($U39,GCA!$H$3:$H$593,GCA!E$3:E$593,"",0,1))</f>
        <v>960.94399999999996</v>
      </c>
      <c r="W39" s="3">
        <f>IF(_xlfn.XLOOKUP($U39,GCA!$H$3:$H$593,GCA!F$3:F$593,"",0,1)="","",_xlfn.XLOOKUP($U39,GCA!$H$3:$H$593,GCA!F$3:F$593,"",0,1))</f>
        <v>967.03499999999997</v>
      </c>
      <c r="X39" s="3">
        <f>IF(_xlfn.XLOOKUP($U39,GCA!$H$3:$H$593,GCA!G$3:G$593,"",0,1)="","",_xlfn.XLOOKUP($U39,GCA!$H$3:$H$593,GCA!G$3:G$593,"",0,1))</f>
        <v>996.81</v>
      </c>
    </row>
    <row r="40" spans="1:24" ht="13.95" customHeight="1">
      <c r="A40" s="49"/>
      <c r="B40" s="49"/>
      <c r="C40" s="48"/>
      <c r="D40" s="49"/>
      <c r="E40" s="50"/>
      <c r="F40" s="26" t="s">
        <v>590</v>
      </c>
      <c r="G40" s="26" t="s">
        <v>591</v>
      </c>
      <c r="H40" s="27">
        <f t="shared" si="38"/>
        <v>296.02699999999999</v>
      </c>
      <c r="I40" s="27">
        <f t="shared" si="39"/>
        <v>280.87599999999998</v>
      </c>
      <c r="J40" s="27">
        <f t="shared" si="40"/>
        <v>282.68700000000001</v>
      </c>
      <c r="K40" s="27">
        <f t="shared" si="41"/>
        <v>286.53000000000003</v>
      </c>
      <c r="L40" s="65"/>
      <c r="M40" s="67">
        <f t="shared" si="42"/>
        <v>0</v>
      </c>
      <c r="N40" s="65" t="str">
        <f t="shared" si="2"/>
        <v/>
      </c>
      <c r="O40" s="65" t="str">
        <f t="shared" ref="O40:P40" si="50">N40</f>
        <v/>
      </c>
      <c r="P40" s="65" t="str">
        <f t="shared" si="50"/>
        <v/>
      </c>
      <c r="Q40" s="38"/>
      <c r="R40" s="3" t="str">
        <f t="shared" si="45"/>
        <v>Coimbatore</v>
      </c>
      <c r="S40" s="3" t="str">
        <f t="shared" si="8"/>
        <v>Coimbatore South</v>
      </c>
      <c r="T40" s="3" t="str">
        <f t="shared" si="9"/>
        <v>Madukkarai</v>
      </c>
      <c r="U40" s="3" t="str">
        <f t="shared" si="10"/>
        <v>Coimbatore_Coimbatore South_Madukkarai</v>
      </c>
      <c r="V40" s="3">
        <f>IF(_xlfn.XLOOKUP($U40,GCA!$H$3:$H$593,GCA!E$3:E$593,"",0,1)="","",_xlfn.XLOOKUP($U40,GCA!$H$3:$H$593,GCA!E$3:E$593,"",0,1))</f>
        <v>296.02699999999999</v>
      </c>
      <c r="W40" s="3">
        <f>IF(_xlfn.XLOOKUP($U40,GCA!$H$3:$H$593,GCA!F$3:F$593,"",0,1)="","",_xlfn.XLOOKUP($U40,GCA!$H$3:$H$593,GCA!F$3:F$593,"",0,1))</f>
        <v>280.87599999999998</v>
      </c>
      <c r="X40" s="3">
        <f>IF(_xlfn.XLOOKUP($U40,GCA!$H$3:$H$593,GCA!G$3:G$593,"",0,1)="","",_xlfn.XLOOKUP($U40,GCA!$H$3:$H$593,GCA!G$3:G$593,"",0,1))</f>
        <v>282.68700000000001</v>
      </c>
    </row>
    <row r="41" spans="1:24" ht="13.95" customHeight="1">
      <c r="A41" s="49"/>
      <c r="B41" s="49"/>
      <c r="C41" s="48"/>
      <c r="D41" s="49"/>
      <c r="E41" s="50"/>
      <c r="F41" s="26" t="s">
        <v>590</v>
      </c>
      <c r="G41" s="26" t="s">
        <v>592</v>
      </c>
      <c r="H41" s="27">
        <f t="shared" si="38"/>
        <v>163.88</v>
      </c>
      <c r="I41" s="27">
        <f t="shared" si="39"/>
        <v>173.36</v>
      </c>
      <c r="J41" s="27">
        <f t="shared" si="40"/>
        <v>180.81200000000001</v>
      </c>
      <c r="K41" s="27">
        <f t="shared" si="41"/>
        <v>172.684</v>
      </c>
      <c r="L41" s="65"/>
      <c r="M41" s="67">
        <f t="shared" si="42"/>
        <v>0</v>
      </c>
      <c r="N41" s="65" t="str">
        <f t="shared" si="2"/>
        <v/>
      </c>
      <c r="O41" s="65" t="str">
        <f t="shared" ref="O41:P41" si="51">N41</f>
        <v/>
      </c>
      <c r="P41" s="65" t="str">
        <f t="shared" si="51"/>
        <v/>
      </c>
      <c r="Q41" s="38"/>
      <c r="R41" s="3" t="str">
        <f t="shared" si="45"/>
        <v>Coimbatore</v>
      </c>
      <c r="S41" s="3" t="str">
        <f t="shared" si="8"/>
        <v>Coimbatore South</v>
      </c>
      <c r="T41" s="3" t="str">
        <f t="shared" si="9"/>
        <v>Thondamuthur</v>
      </c>
      <c r="U41" s="3" t="str">
        <f t="shared" si="10"/>
        <v>Coimbatore_Coimbatore South_Thondamuthur</v>
      </c>
      <c r="V41" s="3">
        <f>IF(_xlfn.XLOOKUP($U41,GCA!$H$3:$H$593,GCA!E$3:E$593,"",0,1)="","",_xlfn.XLOOKUP($U41,GCA!$H$3:$H$593,GCA!E$3:E$593,"",0,1))</f>
        <v>163.88</v>
      </c>
      <c r="W41" s="3">
        <f>IF(_xlfn.XLOOKUP($U41,GCA!$H$3:$H$593,GCA!F$3:F$593,"",0,1)="","",_xlfn.XLOOKUP($U41,GCA!$H$3:$H$593,GCA!F$3:F$593,"",0,1))</f>
        <v>173.36</v>
      </c>
      <c r="X41" s="3">
        <f>IF(_xlfn.XLOOKUP($U41,GCA!$H$3:$H$593,GCA!G$3:G$593,"",0,1)="","",_xlfn.XLOOKUP($U41,GCA!$H$3:$H$593,GCA!G$3:G$593,"",0,1))</f>
        <v>180.81200000000001</v>
      </c>
    </row>
    <row r="42" spans="1:24" ht="13.95" customHeight="1">
      <c r="A42" s="49"/>
      <c r="B42" s="49"/>
      <c r="C42" s="48"/>
      <c r="D42" s="49"/>
      <c r="E42" s="50"/>
      <c r="F42" s="26" t="s">
        <v>593</v>
      </c>
      <c r="G42" s="26" t="s">
        <v>593</v>
      </c>
      <c r="H42" s="27">
        <f t="shared" si="38"/>
        <v>18765.13</v>
      </c>
      <c r="I42" s="27">
        <f t="shared" si="39"/>
        <v>18144.621999999999</v>
      </c>
      <c r="J42" s="27">
        <f t="shared" si="40"/>
        <v>19524.294000000002</v>
      </c>
      <c r="K42" s="27">
        <f t="shared" si="41"/>
        <v>18811.348666666669</v>
      </c>
      <c r="L42" s="65"/>
      <c r="M42" s="67">
        <f t="shared" si="42"/>
        <v>0</v>
      </c>
      <c r="N42" s="65" t="str">
        <f t="shared" si="2"/>
        <v/>
      </c>
      <c r="O42" s="65" t="str">
        <f t="shared" ref="O42:P42" si="52">N42</f>
        <v/>
      </c>
      <c r="P42" s="65" t="str">
        <f t="shared" si="52"/>
        <v/>
      </c>
      <c r="Q42" s="38"/>
      <c r="R42" s="3" t="str">
        <f t="shared" si="45"/>
        <v>Coimbatore</v>
      </c>
      <c r="S42" s="3" t="str">
        <f t="shared" si="8"/>
        <v>Kinathukadavu</v>
      </c>
      <c r="T42" s="3" t="str">
        <f t="shared" si="9"/>
        <v>Kinathukadavu</v>
      </c>
      <c r="U42" s="3" t="str">
        <f t="shared" si="10"/>
        <v>Coimbatore_Kinathukadavu_Kinathukadavu</v>
      </c>
      <c r="V42" s="3">
        <f>IF(_xlfn.XLOOKUP($U42,GCA!$H$3:$H$593,GCA!E$3:E$593,"",0,1)="","",_xlfn.XLOOKUP($U42,GCA!$H$3:$H$593,GCA!E$3:E$593,"",0,1))</f>
        <v>18765.13</v>
      </c>
      <c r="W42" s="3">
        <f>IF(_xlfn.XLOOKUP($U42,GCA!$H$3:$H$593,GCA!F$3:F$593,"",0,1)="","",_xlfn.XLOOKUP($U42,GCA!$H$3:$H$593,GCA!F$3:F$593,"",0,1))</f>
        <v>18144.621999999999</v>
      </c>
      <c r="X42" s="3">
        <f>IF(_xlfn.XLOOKUP($U42,GCA!$H$3:$H$593,GCA!G$3:G$593,"",0,1)="","",_xlfn.XLOOKUP($U42,GCA!$H$3:$H$593,GCA!G$3:G$593,"",0,1))</f>
        <v>19524.294000000002</v>
      </c>
    </row>
    <row r="43" spans="1:24" ht="13.95" customHeight="1">
      <c r="A43" s="49"/>
      <c r="B43" s="49"/>
      <c r="C43" s="48"/>
      <c r="D43" s="49"/>
      <c r="E43" s="50"/>
      <c r="F43" s="26" t="s">
        <v>591</v>
      </c>
      <c r="G43" s="26" t="s">
        <v>591</v>
      </c>
      <c r="H43" s="27">
        <f t="shared" si="38"/>
        <v>10457.959999999999</v>
      </c>
      <c r="I43" s="27">
        <f t="shared" si="39"/>
        <v>10230.295</v>
      </c>
      <c r="J43" s="27">
        <f t="shared" si="40"/>
        <v>10362.790000000001</v>
      </c>
      <c r="K43" s="27">
        <f t="shared" si="41"/>
        <v>10350.348333333333</v>
      </c>
      <c r="L43" s="65"/>
      <c r="M43" s="67">
        <f t="shared" si="42"/>
        <v>0</v>
      </c>
      <c r="N43" s="65" t="str">
        <f t="shared" si="2"/>
        <v/>
      </c>
      <c r="O43" s="65" t="str">
        <f t="shared" ref="O43:P43" si="53">N43</f>
        <v/>
      </c>
      <c r="P43" s="65" t="str">
        <f t="shared" si="53"/>
        <v/>
      </c>
      <c r="Q43" s="38"/>
      <c r="R43" s="3" t="str">
        <f t="shared" si="45"/>
        <v>Coimbatore</v>
      </c>
      <c r="S43" s="3" t="str">
        <f t="shared" si="8"/>
        <v>Madukkarai</v>
      </c>
      <c r="T43" s="3" t="str">
        <f t="shared" si="9"/>
        <v>Madukkarai</v>
      </c>
      <c r="U43" s="3" t="str">
        <f t="shared" si="10"/>
        <v>Coimbatore_Madukkarai_Madukkarai</v>
      </c>
      <c r="V43" s="3">
        <f>IF(_xlfn.XLOOKUP($U43,GCA!$H$3:$H$593,GCA!E$3:E$593,"",0,1)="","",_xlfn.XLOOKUP($U43,GCA!$H$3:$H$593,GCA!E$3:E$593,"",0,1))</f>
        <v>10457.959999999999</v>
      </c>
      <c r="W43" s="3">
        <f>IF(_xlfn.XLOOKUP($U43,GCA!$H$3:$H$593,GCA!F$3:F$593,"",0,1)="","",_xlfn.XLOOKUP($U43,GCA!$H$3:$H$593,GCA!F$3:F$593,"",0,1))</f>
        <v>10230.295</v>
      </c>
      <c r="X43" s="3">
        <f>IF(_xlfn.XLOOKUP($U43,GCA!$H$3:$H$593,GCA!G$3:G$593,"",0,1)="","",_xlfn.XLOOKUP($U43,GCA!$H$3:$H$593,GCA!G$3:G$593,"",0,1))</f>
        <v>10362.790000000001</v>
      </c>
    </row>
    <row r="44" spans="1:24" ht="13.95" customHeight="1">
      <c r="A44" s="49"/>
      <c r="B44" s="49"/>
      <c r="C44" s="48"/>
      <c r="D44" s="49"/>
      <c r="E44" s="50"/>
      <c r="F44" s="26" t="s">
        <v>594</v>
      </c>
      <c r="G44" s="26" t="s">
        <v>595</v>
      </c>
      <c r="H44" s="27">
        <f t="shared" si="38"/>
        <v>12560.31</v>
      </c>
      <c r="I44" s="27">
        <f t="shared" si="39"/>
        <v>13043.186</v>
      </c>
      <c r="J44" s="27">
        <f t="shared" si="40"/>
        <v>13146.441999999999</v>
      </c>
      <c r="K44" s="27">
        <f t="shared" si="41"/>
        <v>12916.645999999999</v>
      </c>
      <c r="L44" s="65"/>
      <c r="M44" s="67">
        <f t="shared" si="42"/>
        <v>0</v>
      </c>
      <c r="N44" s="65" t="str">
        <f t="shared" si="2"/>
        <v/>
      </c>
      <c r="O44" s="65" t="str">
        <f t="shared" ref="O44:P44" si="54">N44</f>
        <v/>
      </c>
      <c r="P44" s="65" t="str">
        <f t="shared" si="54"/>
        <v/>
      </c>
      <c r="Q44" s="38"/>
      <c r="R44" s="3" t="str">
        <f t="shared" si="45"/>
        <v>Coimbatore</v>
      </c>
      <c r="S44" s="3" t="str">
        <f t="shared" si="8"/>
        <v>Mettupalayam</v>
      </c>
      <c r="T44" s="3" t="str">
        <f t="shared" si="9"/>
        <v>Karamadai</v>
      </c>
      <c r="U44" s="3" t="str">
        <f t="shared" si="10"/>
        <v>Coimbatore_Mettupalayam_Karamadai</v>
      </c>
      <c r="V44" s="3">
        <f>IF(_xlfn.XLOOKUP($U44,GCA!$H$3:$H$593,GCA!E$3:E$593,"",0,1)="","",_xlfn.XLOOKUP($U44,GCA!$H$3:$H$593,GCA!E$3:E$593,"",0,1))</f>
        <v>12560.31</v>
      </c>
      <c r="W44" s="3">
        <f>IF(_xlfn.XLOOKUP($U44,GCA!$H$3:$H$593,GCA!F$3:F$593,"",0,1)="","",_xlfn.XLOOKUP($U44,GCA!$H$3:$H$593,GCA!F$3:F$593,"",0,1))</f>
        <v>13043.186</v>
      </c>
      <c r="X44" s="3">
        <f>IF(_xlfn.XLOOKUP($U44,GCA!$H$3:$H$593,GCA!G$3:G$593,"",0,1)="","",_xlfn.XLOOKUP($U44,GCA!$H$3:$H$593,GCA!G$3:G$593,"",0,1))</f>
        <v>13146.441999999999</v>
      </c>
    </row>
    <row r="45" spans="1:24" ht="13.95" customHeight="1">
      <c r="A45" s="49"/>
      <c r="B45" s="49"/>
      <c r="C45" s="48"/>
      <c r="D45" s="49"/>
      <c r="E45" s="50">
        <v>3</v>
      </c>
      <c r="F45" s="26" t="s">
        <v>596</v>
      </c>
      <c r="G45" s="26" t="s">
        <v>591</v>
      </c>
      <c r="H45" s="27">
        <f t="shared" si="38"/>
        <v>362.4</v>
      </c>
      <c r="I45" s="27">
        <f t="shared" si="39"/>
        <v>367.71</v>
      </c>
      <c r="J45" s="27">
        <f t="shared" si="40"/>
        <v>446.39</v>
      </c>
      <c r="K45" s="27">
        <f t="shared" si="41"/>
        <v>392.16666666666669</v>
      </c>
      <c r="L45" s="65">
        <f>SUM(K45:K49)</f>
        <v>41108.675999999999</v>
      </c>
      <c r="M45" s="67">
        <f t="shared" si="42"/>
        <v>1.7254970258470039</v>
      </c>
      <c r="N45" s="65">
        <f t="shared" si="2"/>
        <v>2</v>
      </c>
      <c r="O45" s="65">
        <f t="shared" ref="O45:P45" si="55">N45</f>
        <v>2</v>
      </c>
      <c r="P45" s="65">
        <f t="shared" si="55"/>
        <v>2</v>
      </c>
      <c r="Q45" s="38"/>
      <c r="R45" s="3" t="str">
        <f t="shared" si="45"/>
        <v>Coimbatore</v>
      </c>
      <c r="S45" s="3" t="str">
        <f t="shared" si="8"/>
        <v>Perur</v>
      </c>
      <c r="T45" s="3" t="str">
        <f t="shared" si="9"/>
        <v>Madukkarai</v>
      </c>
      <c r="U45" s="3" t="str">
        <f t="shared" si="10"/>
        <v>Coimbatore_Perur_Madukkarai</v>
      </c>
      <c r="V45" s="3">
        <f>IF(_xlfn.XLOOKUP($U45,GCA!$H$3:$H$593,GCA!E$3:E$593,"",0,1)="","",_xlfn.XLOOKUP($U45,GCA!$H$3:$H$593,GCA!E$3:E$593,"",0,1))</f>
        <v>362.4</v>
      </c>
      <c r="W45" s="3">
        <f>IF(_xlfn.XLOOKUP($U45,GCA!$H$3:$H$593,GCA!F$3:F$593,"",0,1)="","",_xlfn.XLOOKUP($U45,GCA!$H$3:$H$593,GCA!F$3:F$593,"",0,1))</f>
        <v>367.71</v>
      </c>
      <c r="X45" s="3">
        <f>IF(_xlfn.XLOOKUP($U45,GCA!$H$3:$H$593,GCA!G$3:G$593,"",0,1)="","",_xlfn.XLOOKUP($U45,GCA!$H$3:$H$593,GCA!G$3:G$593,"",0,1))</f>
        <v>446.39</v>
      </c>
    </row>
    <row r="46" spans="1:24" ht="13.95" customHeight="1">
      <c r="A46" s="49"/>
      <c r="B46" s="49"/>
      <c r="C46" s="48"/>
      <c r="D46" s="49"/>
      <c r="E46" s="50"/>
      <c r="F46" s="26" t="s">
        <v>596</v>
      </c>
      <c r="G46" s="26" t="s">
        <v>589</v>
      </c>
      <c r="H46" s="27">
        <f t="shared" si="38"/>
        <v>177.5</v>
      </c>
      <c r="I46" s="27">
        <f t="shared" si="39"/>
        <v>182.09</v>
      </c>
      <c r="J46" s="27">
        <f t="shared" si="40"/>
        <v>185.2</v>
      </c>
      <c r="K46" s="27">
        <f t="shared" si="41"/>
        <v>181.59666666666666</v>
      </c>
      <c r="L46" s="65"/>
      <c r="M46" s="67">
        <f t="shared" si="42"/>
        <v>0</v>
      </c>
      <c r="N46" s="65" t="str">
        <f t="shared" si="2"/>
        <v/>
      </c>
      <c r="O46" s="65" t="str">
        <f t="shared" ref="O46:P46" si="56">N46</f>
        <v/>
      </c>
      <c r="P46" s="65" t="str">
        <f t="shared" si="56"/>
        <v/>
      </c>
      <c r="Q46" s="38"/>
      <c r="R46" s="3" t="str">
        <f t="shared" si="45"/>
        <v>Coimbatore</v>
      </c>
      <c r="S46" s="3" t="str">
        <f t="shared" si="8"/>
        <v>Perur</v>
      </c>
      <c r="T46" s="3" t="str">
        <f t="shared" si="9"/>
        <v>Periyanaickenpalayam</v>
      </c>
      <c r="U46" s="3" t="str">
        <f t="shared" si="10"/>
        <v>Coimbatore_Perur_Periyanaickenpalayam</v>
      </c>
      <c r="V46" s="3">
        <f>IF(_xlfn.XLOOKUP($U46,GCA!$H$3:$H$593,GCA!E$3:E$593,"",0,1)="","",_xlfn.XLOOKUP($U46,GCA!$H$3:$H$593,GCA!E$3:E$593,"",0,1))</f>
        <v>177.5</v>
      </c>
      <c r="W46" s="3">
        <f>IF(_xlfn.XLOOKUP($U46,GCA!$H$3:$H$593,GCA!F$3:F$593,"",0,1)="","",_xlfn.XLOOKUP($U46,GCA!$H$3:$H$593,GCA!F$3:F$593,"",0,1))</f>
        <v>182.09</v>
      </c>
      <c r="X46" s="3">
        <f>IF(_xlfn.XLOOKUP($U46,GCA!$H$3:$H$593,GCA!G$3:G$593,"",0,1)="","",_xlfn.XLOOKUP($U46,GCA!$H$3:$H$593,GCA!G$3:G$593,"",0,1))</f>
        <v>185.2</v>
      </c>
    </row>
    <row r="47" spans="1:24" ht="13.95" customHeight="1">
      <c r="A47" s="49"/>
      <c r="B47" s="49"/>
      <c r="C47" s="48"/>
      <c r="D47" s="49"/>
      <c r="E47" s="50"/>
      <c r="F47" s="26" t="s">
        <v>596</v>
      </c>
      <c r="G47" s="26" t="s">
        <v>592</v>
      </c>
      <c r="H47" s="27">
        <f t="shared" si="38"/>
        <v>11569.581</v>
      </c>
      <c r="I47" s="27">
        <f t="shared" si="39"/>
        <v>12032.775</v>
      </c>
      <c r="J47" s="27">
        <f t="shared" si="40"/>
        <v>12448.233</v>
      </c>
      <c r="K47" s="27">
        <f t="shared" si="41"/>
        <v>12016.862999999999</v>
      </c>
      <c r="L47" s="65"/>
      <c r="M47" s="67">
        <f t="shared" si="42"/>
        <v>0</v>
      </c>
      <c r="N47" s="65" t="str">
        <f t="shared" si="2"/>
        <v/>
      </c>
      <c r="O47" s="65" t="str">
        <f t="shared" ref="O47:P47" si="57">N47</f>
        <v/>
      </c>
      <c r="P47" s="65" t="str">
        <f t="shared" si="57"/>
        <v/>
      </c>
      <c r="Q47" s="38"/>
      <c r="R47" s="3" t="str">
        <f t="shared" si="45"/>
        <v>Coimbatore</v>
      </c>
      <c r="S47" s="3" t="str">
        <f t="shared" si="8"/>
        <v>Perur</v>
      </c>
      <c r="T47" s="3" t="str">
        <f t="shared" si="9"/>
        <v>Thondamuthur</v>
      </c>
      <c r="U47" s="3" t="str">
        <f t="shared" si="10"/>
        <v>Coimbatore_Perur_Thondamuthur</v>
      </c>
      <c r="V47" s="3">
        <f>IF(_xlfn.XLOOKUP($U47,GCA!$H$3:$H$593,GCA!E$3:E$593,"",0,1)="","",_xlfn.XLOOKUP($U47,GCA!$H$3:$H$593,GCA!E$3:E$593,"",0,1))</f>
        <v>11569.581</v>
      </c>
      <c r="W47" s="3">
        <f>IF(_xlfn.XLOOKUP($U47,GCA!$H$3:$H$593,GCA!F$3:F$593,"",0,1)="","",_xlfn.XLOOKUP($U47,GCA!$H$3:$H$593,GCA!F$3:F$593,"",0,1))</f>
        <v>12032.775</v>
      </c>
      <c r="X47" s="3">
        <f>IF(_xlfn.XLOOKUP($U47,GCA!$H$3:$H$593,GCA!G$3:G$593,"",0,1)="","",_xlfn.XLOOKUP($U47,GCA!$H$3:$H$593,GCA!G$3:G$593,"",0,1))</f>
        <v>12448.233</v>
      </c>
    </row>
    <row r="48" spans="1:24" ht="13.95" customHeight="1">
      <c r="A48" s="49"/>
      <c r="B48" s="49"/>
      <c r="C48" s="48"/>
      <c r="D48" s="49"/>
      <c r="E48" s="50"/>
      <c r="F48" s="26" t="s">
        <v>597</v>
      </c>
      <c r="G48" s="26" t="s">
        <v>598</v>
      </c>
      <c r="H48" s="27">
        <f t="shared" si="38"/>
        <v>19554.060000000001</v>
      </c>
      <c r="I48" s="27">
        <f t="shared" si="39"/>
        <v>19760.62</v>
      </c>
      <c r="J48" s="27">
        <f t="shared" si="40"/>
        <v>20524.685000000001</v>
      </c>
      <c r="K48" s="27">
        <f t="shared" si="41"/>
        <v>19946.455000000002</v>
      </c>
      <c r="L48" s="65"/>
      <c r="M48" s="67">
        <f t="shared" si="42"/>
        <v>0</v>
      </c>
      <c r="N48" s="65" t="str">
        <f t="shared" si="2"/>
        <v/>
      </c>
      <c r="O48" s="65" t="str">
        <f t="shared" ref="O48:P48" si="58">N48</f>
        <v/>
      </c>
      <c r="P48" s="65" t="str">
        <f t="shared" si="58"/>
        <v/>
      </c>
      <c r="Q48" s="38"/>
      <c r="R48" s="3" t="str">
        <f t="shared" si="45"/>
        <v>Coimbatore</v>
      </c>
      <c r="S48" s="3" t="str">
        <f t="shared" si="8"/>
        <v>Pollachi</v>
      </c>
      <c r="T48" s="3" t="str">
        <f t="shared" si="9"/>
        <v>Pollachi  North</v>
      </c>
      <c r="U48" s="3" t="str">
        <f t="shared" si="10"/>
        <v>Coimbatore_Pollachi_Pollachi  North</v>
      </c>
      <c r="V48" s="3">
        <f>IF(_xlfn.XLOOKUP($U48,GCA!$H$3:$H$593,GCA!E$3:E$593,"",0,1)="","",_xlfn.XLOOKUP($U48,GCA!$H$3:$H$593,GCA!E$3:E$593,"",0,1))</f>
        <v>19554.060000000001</v>
      </c>
      <c r="W48" s="3">
        <f>IF(_xlfn.XLOOKUP($U48,GCA!$H$3:$H$593,GCA!F$3:F$593,"",0,1)="","",_xlfn.XLOOKUP($U48,GCA!$H$3:$H$593,GCA!F$3:F$593,"",0,1))</f>
        <v>19760.62</v>
      </c>
      <c r="X48" s="3">
        <f>IF(_xlfn.XLOOKUP($U48,GCA!$H$3:$H$593,GCA!G$3:G$593,"",0,1)="","",_xlfn.XLOOKUP($U48,GCA!$H$3:$H$593,GCA!G$3:G$593,"",0,1))</f>
        <v>20524.685000000001</v>
      </c>
    </row>
    <row r="49" spans="1:24" ht="13.95" customHeight="1">
      <c r="A49" s="49"/>
      <c r="B49" s="49"/>
      <c r="C49" s="48"/>
      <c r="D49" s="49"/>
      <c r="E49" s="50"/>
      <c r="F49" s="26" t="s">
        <v>597</v>
      </c>
      <c r="G49" s="26" t="s">
        <v>585</v>
      </c>
      <c r="H49" s="27">
        <f t="shared" si="38"/>
        <v>8666.9449999999997</v>
      </c>
      <c r="I49" s="27">
        <f t="shared" si="39"/>
        <v>8353.4189999999999</v>
      </c>
      <c r="J49" s="27">
        <f t="shared" si="40"/>
        <v>8694.42</v>
      </c>
      <c r="K49" s="27">
        <f t="shared" si="41"/>
        <v>8571.5946666666659</v>
      </c>
      <c r="L49" s="65"/>
      <c r="M49" s="67">
        <f t="shared" si="42"/>
        <v>0</v>
      </c>
      <c r="N49" s="65" t="str">
        <f t="shared" si="2"/>
        <v/>
      </c>
      <c r="O49" s="65" t="str">
        <f t="shared" ref="O49:P49" si="59">N49</f>
        <v/>
      </c>
      <c r="P49" s="65" t="str">
        <f t="shared" si="59"/>
        <v/>
      </c>
      <c r="Q49" s="38"/>
      <c r="R49" s="3" t="str">
        <f t="shared" si="45"/>
        <v>Coimbatore</v>
      </c>
      <c r="S49" s="3" t="str">
        <f t="shared" si="8"/>
        <v>Pollachi</v>
      </c>
      <c r="T49" s="3" t="str">
        <f t="shared" si="9"/>
        <v>Pollachi South</v>
      </c>
      <c r="U49" s="3" t="str">
        <f t="shared" si="10"/>
        <v>Coimbatore_Pollachi_Pollachi South</v>
      </c>
      <c r="V49" s="3">
        <f>IF(_xlfn.XLOOKUP($U49,GCA!$H$3:$H$593,GCA!E$3:E$593,"",0,1)="","",_xlfn.XLOOKUP($U49,GCA!$H$3:$H$593,GCA!E$3:E$593,"",0,1))</f>
        <v>8666.9449999999997</v>
      </c>
      <c r="W49" s="3">
        <f>IF(_xlfn.XLOOKUP($U49,GCA!$H$3:$H$593,GCA!F$3:F$593,"",0,1)="","",_xlfn.XLOOKUP($U49,GCA!$H$3:$H$593,GCA!F$3:F$593,"",0,1))</f>
        <v>8353.4189999999999</v>
      </c>
      <c r="X49" s="3">
        <f>IF(_xlfn.XLOOKUP($U49,GCA!$H$3:$H$593,GCA!G$3:G$593,"",0,1)="","",_xlfn.XLOOKUP($U49,GCA!$H$3:$H$593,GCA!G$3:G$593,"",0,1))</f>
        <v>8694.42</v>
      </c>
    </row>
    <row r="50" spans="1:24" ht="13.95" customHeight="1">
      <c r="A50" s="49"/>
      <c r="B50" s="49"/>
      <c r="C50" s="48"/>
      <c r="D50" s="49"/>
      <c r="E50" s="50">
        <v>4</v>
      </c>
      <c r="F50" s="26" t="s">
        <v>599</v>
      </c>
      <c r="G50" s="26" t="s">
        <v>600</v>
      </c>
      <c r="H50" s="27">
        <f t="shared" si="38"/>
        <v>13505.352999999999</v>
      </c>
      <c r="I50" s="27">
        <f t="shared" si="39"/>
        <v>13585.921</v>
      </c>
      <c r="J50" s="27">
        <f t="shared" si="40"/>
        <v>14024.445</v>
      </c>
      <c r="K50" s="27">
        <f t="shared" si="41"/>
        <v>13705.239666666666</v>
      </c>
      <c r="L50" s="65">
        <f>SUM(K50:K52)</f>
        <v>34728.384999999995</v>
      </c>
      <c r="M50" s="67">
        <f t="shared" si="42"/>
        <v>1.4576904649025839</v>
      </c>
      <c r="N50" s="65">
        <f t="shared" si="2"/>
        <v>2</v>
      </c>
      <c r="O50" s="65">
        <f t="shared" ref="O50:P50" si="60">N50</f>
        <v>2</v>
      </c>
      <c r="P50" s="65">
        <f t="shared" si="60"/>
        <v>2</v>
      </c>
      <c r="Q50" s="38"/>
      <c r="R50" s="3" t="str">
        <f t="shared" si="45"/>
        <v>Coimbatore</v>
      </c>
      <c r="S50" s="3" t="str">
        <f t="shared" si="8"/>
        <v>Sulur</v>
      </c>
      <c r="T50" s="3" t="str">
        <f t="shared" si="9"/>
        <v>Sultanpet</v>
      </c>
      <c r="U50" s="3" t="str">
        <f t="shared" si="10"/>
        <v>Coimbatore_Sulur_Sultanpet</v>
      </c>
      <c r="V50" s="3">
        <f>IF(_xlfn.XLOOKUP($U50,GCA!$H$3:$H$593,GCA!E$3:E$593,"",0,1)="","",_xlfn.XLOOKUP($U50,GCA!$H$3:$H$593,GCA!E$3:E$593,"",0,1))</f>
        <v>13505.352999999999</v>
      </c>
      <c r="W50" s="3">
        <f>IF(_xlfn.XLOOKUP($U50,GCA!$H$3:$H$593,GCA!F$3:F$593,"",0,1)="","",_xlfn.XLOOKUP($U50,GCA!$H$3:$H$593,GCA!F$3:F$593,"",0,1))</f>
        <v>13585.921</v>
      </c>
      <c r="X50" s="3">
        <f>IF(_xlfn.XLOOKUP($U50,GCA!$H$3:$H$593,GCA!G$3:G$593,"",0,1)="","",_xlfn.XLOOKUP($U50,GCA!$H$3:$H$593,GCA!G$3:G$593,"",0,1))</f>
        <v>14024.445</v>
      </c>
    </row>
    <row r="51" spans="1:24" ht="13.95" customHeight="1">
      <c r="A51" s="49"/>
      <c r="B51" s="49"/>
      <c r="C51" s="48"/>
      <c r="D51" s="49"/>
      <c r="E51" s="50"/>
      <c r="F51" s="26" t="s">
        <v>599</v>
      </c>
      <c r="G51" s="26" t="s">
        <v>599</v>
      </c>
      <c r="H51" s="27">
        <f t="shared" si="38"/>
        <v>6555.2879999999996</v>
      </c>
      <c r="I51" s="27">
        <f t="shared" si="39"/>
        <v>6482.4560000000001</v>
      </c>
      <c r="J51" s="27">
        <f t="shared" si="40"/>
        <v>6749.2489999999998</v>
      </c>
      <c r="K51" s="27">
        <f t="shared" si="41"/>
        <v>6595.6643333333332</v>
      </c>
      <c r="L51" s="65"/>
      <c r="M51" s="67">
        <f t="shared" si="42"/>
        <v>0</v>
      </c>
      <c r="N51" s="65" t="str">
        <f t="shared" si="2"/>
        <v/>
      </c>
      <c r="O51" s="65" t="str">
        <f t="shared" ref="O51:P51" si="61">N51</f>
        <v/>
      </c>
      <c r="P51" s="65" t="str">
        <f t="shared" si="61"/>
        <v/>
      </c>
      <c r="Q51" s="38"/>
      <c r="R51" s="3" t="str">
        <f t="shared" si="45"/>
        <v>Coimbatore</v>
      </c>
      <c r="S51" s="3" t="str">
        <f t="shared" si="8"/>
        <v>Sulur</v>
      </c>
      <c r="T51" s="3" t="str">
        <f t="shared" si="9"/>
        <v>Sulur</v>
      </c>
      <c r="U51" s="3" t="str">
        <f t="shared" si="10"/>
        <v>Coimbatore_Sulur_Sulur</v>
      </c>
      <c r="V51" s="3">
        <f>IF(_xlfn.XLOOKUP($U51,GCA!$H$3:$H$593,GCA!E$3:E$593,"",0,1)="","",_xlfn.XLOOKUP($U51,GCA!$H$3:$H$593,GCA!E$3:E$593,"",0,1))</f>
        <v>6555.2879999999996</v>
      </c>
      <c r="W51" s="3">
        <f>IF(_xlfn.XLOOKUP($U51,GCA!$H$3:$H$593,GCA!F$3:F$593,"",0,1)="","",_xlfn.XLOOKUP($U51,GCA!$H$3:$H$593,GCA!F$3:F$593,"",0,1))</f>
        <v>6482.4560000000001</v>
      </c>
      <c r="X51" s="3">
        <f>IF(_xlfn.XLOOKUP($U51,GCA!$H$3:$H$593,GCA!G$3:G$593,"",0,1)="","",_xlfn.XLOOKUP($U51,GCA!$H$3:$H$593,GCA!G$3:G$593,"",0,1))</f>
        <v>6749.2489999999998</v>
      </c>
    </row>
    <row r="52" spans="1:24" ht="13.95" customHeight="1">
      <c r="A52" s="49"/>
      <c r="B52" s="49"/>
      <c r="C52" s="48"/>
      <c r="D52" s="49"/>
      <c r="E52" s="50"/>
      <c r="F52" s="26" t="s">
        <v>601</v>
      </c>
      <c r="G52" s="26" t="s">
        <v>584</v>
      </c>
      <c r="H52" s="27">
        <f t="shared" si="38"/>
        <v>14427.24</v>
      </c>
      <c r="I52" s="27">
        <f t="shared" si="39"/>
        <v>14427.24</v>
      </c>
      <c r="J52" s="27">
        <f t="shared" si="40"/>
        <v>14427.963</v>
      </c>
      <c r="K52" s="27">
        <f t="shared" si="41"/>
        <v>14427.481</v>
      </c>
      <c r="L52" s="65"/>
      <c r="M52" s="67">
        <f t="shared" si="42"/>
        <v>0</v>
      </c>
      <c r="N52" s="65" t="str">
        <f t="shared" si="2"/>
        <v/>
      </c>
      <c r="O52" s="65" t="str">
        <f t="shared" ref="O52:P52" si="62">N52</f>
        <v/>
      </c>
      <c r="P52" s="65" t="str">
        <f t="shared" si="62"/>
        <v/>
      </c>
      <c r="Q52" s="38"/>
      <c r="R52" s="3" t="str">
        <f t="shared" si="45"/>
        <v>Coimbatore</v>
      </c>
      <c r="S52" s="3" t="str">
        <f t="shared" si="8"/>
        <v>Valparai</v>
      </c>
      <c r="T52" s="3" t="str">
        <f t="shared" si="9"/>
        <v>Anaimalai</v>
      </c>
      <c r="U52" s="3" t="str">
        <f t="shared" si="10"/>
        <v>Coimbatore_Valparai_Anaimalai</v>
      </c>
      <c r="V52" s="3">
        <f>IF(_xlfn.XLOOKUP($U52,GCA!$H$3:$H$593,GCA!E$3:E$593,"",0,1)="","",_xlfn.XLOOKUP($U52,GCA!$H$3:$H$593,GCA!E$3:E$593,"",0,1))</f>
        <v>14427.24</v>
      </c>
      <c r="W52" s="3">
        <f>IF(_xlfn.XLOOKUP($U52,GCA!$H$3:$H$593,GCA!F$3:F$593,"",0,1)="","",_xlfn.XLOOKUP($U52,GCA!$H$3:$H$593,GCA!F$3:F$593,"",0,1))</f>
        <v>14427.24</v>
      </c>
      <c r="X52" s="3">
        <f>IF(_xlfn.XLOOKUP($U52,GCA!$H$3:$H$593,GCA!G$3:G$593,"",0,1)="","",_xlfn.XLOOKUP($U52,GCA!$H$3:$H$593,GCA!G$3:G$593,"",0,1))</f>
        <v>14427.963</v>
      </c>
    </row>
    <row r="53" spans="1:24" s="1" customFormat="1" ht="13.2">
      <c r="A53" s="49"/>
      <c r="B53" s="49"/>
      <c r="C53" s="48"/>
      <c r="D53" s="49"/>
      <c r="E53" s="47" t="s">
        <v>564</v>
      </c>
      <c r="F53" s="47"/>
      <c r="G53" s="47"/>
      <c r="H53" s="29">
        <f t="shared" ref="H53:P53" si="63">SUM(H34:H52)</f>
        <v>167865.89300000001</v>
      </c>
      <c r="I53" s="29">
        <f t="shared" si="63"/>
        <v>167492.541</v>
      </c>
      <c r="J53" s="29">
        <f t="shared" si="63"/>
        <v>175077.071</v>
      </c>
      <c r="K53" s="29">
        <f t="shared" si="63"/>
        <v>170145.16833333331</v>
      </c>
      <c r="L53" s="29">
        <f t="shared" si="63"/>
        <v>170145.16833333333</v>
      </c>
      <c r="M53" s="30">
        <f t="shared" si="63"/>
        <v>7.141679336045863</v>
      </c>
      <c r="N53" s="31">
        <f t="shared" si="63"/>
        <v>8</v>
      </c>
      <c r="O53" s="31">
        <f t="shared" si="63"/>
        <v>8</v>
      </c>
      <c r="P53" s="31">
        <f t="shared" si="63"/>
        <v>8</v>
      </c>
      <c r="Q53" s="38"/>
      <c r="R53" s="3" t="str">
        <f t="shared" si="45"/>
        <v>Coimbatore</v>
      </c>
      <c r="S53" s="3">
        <f t="shared" si="8"/>
        <v>0</v>
      </c>
      <c r="T53" s="3">
        <f t="shared" si="9"/>
        <v>0</v>
      </c>
      <c r="U53" s="3" t="str">
        <f t="shared" si="10"/>
        <v>Coimbatore_0_0</v>
      </c>
      <c r="V53" s="3" t="str">
        <f>IF(_xlfn.XLOOKUP($U53,GCA!$H$3:$H$593,GCA!E$3:E$593,"",0,1)="","",_xlfn.XLOOKUP($U53,GCA!$H$3:$H$593,GCA!E$3:E$593,"",0,1))</f>
        <v/>
      </c>
      <c r="W53" s="3" t="str">
        <f>IF(_xlfn.XLOOKUP($U53,GCA!$H$3:$H$593,GCA!F$3:F$593,"",0,1)="","",_xlfn.XLOOKUP($U53,GCA!$H$3:$H$593,GCA!F$3:F$593,"",0,1))</f>
        <v/>
      </c>
      <c r="X53" s="3" t="str">
        <f>IF(_xlfn.XLOOKUP($U53,GCA!$H$3:$H$593,GCA!G$3:G$593,"",0,1)="","",_xlfn.XLOOKUP($U53,GCA!$H$3:$H$593,GCA!G$3:G$593,"",0,1))</f>
        <v/>
      </c>
    </row>
    <row r="54" spans="1:24" ht="13.95" customHeight="1">
      <c r="A54" s="49"/>
      <c r="B54" s="49"/>
      <c r="C54" s="48" t="s">
        <v>470</v>
      </c>
      <c r="D54" s="49" t="s">
        <v>536</v>
      </c>
      <c r="E54" s="50">
        <v>1</v>
      </c>
      <c r="F54" s="26" t="s">
        <v>602</v>
      </c>
      <c r="G54" s="26" t="s">
        <v>602</v>
      </c>
      <c r="H54" s="27">
        <f t="shared" ref="H54:H71" si="64">V54</f>
        <v>15500.834999999999</v>
      </c>
      <c r="I54" s="27">
        <f t="shared" ref="I54:I71" si="65">W54</f>
        <v>15963.215</v>
      </c>
      <c r="J54" s="27">
        <f t="shared" ref="J54:J71" si="66">X54</f>
        <v>15941.84</v>
      </c>
      <c r="K54" s="27">
        <f t="shared" ref="K54:K71" si="67">IFERROR(AVERAGE(H54:J54),"")</f>
        <v>15801.963333333333</v>
      </c>
      <c r="L54" s="65">
        <f>SUM(K54:K59)</f>
        <v>72668.191999999995</v>
      </c>
      <c r="M54" s="67">
        <f t="shared" ref="M54:M71" si="68">L54*$L$643/$L$642</f>
        <v>3.0501772708437276</v>
      </c>
      <c r="N54" s="65">
        <f t="shared" si="2"/>
        <v>3</v>
      </c>
      <c r="O54" s="65">
        <f t="shared" ref="O54:P54" si="69">N54</f>
        <v>3</v>
      </c>
      <c r="P54" s="65">
        <f t="shared" si="69"/>
        <v>3</v>
      </c>
      <c r="Q54" s="38"/>
      <c r="R54" s="3" t="str">
        <f t="shared" si="28"/>
        <v>Thiruppur</v>
      </c>
      <c r="S54" s="3" t="str">
        <f t="shared" si="8"/>
        <v>Avinashi</v>
      </c>
      <c r="T54" s="3" t="str">
        <f t="shared" si="9"/>
        <v>Avinashi</v>
      </c>
      <c r="U54" s="3" t="str">
        <f t="shared" si="10"/>
        <v>Thiruppur_Avinashi_Avinashi</v>
      </c>
      <c r="V54" s="3">
        <f>IF(_xlfn.XLOOKUP($U54,GCA!$H$3:$H$593,GCA!E$3:E$593,"",0,1)="","",_xlfn.XLOOKUP($U54,GCA!$H$3:$H$593,GCA!E$3:E$593,"",0,1))</f>
        <v>15500.834999999999</v>
      </c>
      <c r="W54" s="3">
        <f>IF(_xlfn.XLOOKUP($U54,GCA!$H$3:$H$593,GCA!F$3:F$593,"",0,1)="","",_xlfn.XLOOKUP($U54,GCA!$H$3:$H$593,GCA!F$3:F$593,"",0,1))</f>
        <v>15963.215</v>
      </c>
      <c r="X54" s="3">
        <f>IF(_xlfn.XLOOKUP($U54,GCA!$H$3:$H$593,GCA!G$3:G$593,"",0,1)="","",_xlfn.XLOOKUP($U54,GCA!$H$3:$H$593,GCA!G$3:G$593,"",0,1))</f>
        <v>15941.84</v>
      </c>
    </row>
    <row r="55" spans="1:24" ht="13.95" customHeight="1">
      <c r="A55" s="49"/>
      <c r="B55" s="49"/>
      <c r="C55" s="48"/>
      <c r="D55" s="49"/>
      <c r="E55" s="50"/>
      <c r="F55" s="26" t="s">
        <v>602</v>
      </c>
      <c r="G55" s="26" t="s">
        <v>470</v>
      </c>
      <c r="H55" s="27">
        <f t="shared" si="64"/>
        <v>2957.84</v>
      </c>
      <c r="I55" s="27">
        <f t="shared" si="65"/>
        <v>2945.9450000000002</v>
      </c>
      <c r="J55" s="27">
        <f t="shared" si="66"/>
        <v>3211.79</v>
      </c>
      <c r="K55" s="27">
        <f t="shared" si="67"/>
        <v>3038.5250000000001</v>
      </c>
      <c r="L55" s="65"/>
      <c r="M55" s="67">
        <f t="shared" si="68"/>
        <v>0</v>
      </c>
      <c r="N55" s="65" t="str">
        <f t="shared" si="2"/>
        <v/>
      </c>
      <c r="O55" s="65" t="str">
        <f t="shared" ref="O55:P55" si="70">N55</f>
        <v/>
      </c>
      <c r="P55" s="65" t="str">
        <f t="shared" si="70"/>
        <v/>
      </c>
      <c r="Q55" s="38"/>
      <c r="R55" s="3" t="str">
        <f t="shared" ref="R55:R72" si="71">R54</f>
        <v>Thiruppur</v>
      </c>
      <c r="S55" s="3" t="str">
        <f t="shared" si="8"/>
        <v>Avinashi</v>
      </c>
      <c r="T55" s="3" t="str">
        <f t="shared" si="9"/>
        <v>Thiruppur</v>
      </c>
      <c r="U55" s="3" t="str">
        <f t="shared" si="10"/>
        <v>Thiruppur_Avinashi_Thiruppur</v>
      </c>
      <c r="V55" s="3">
        <f>IF(_xlfn.XLOOKUP($U55,GCA!$H$3:$H$593,GCA!E$3:E$593,"",0,1)="","",_xlfn.XLOOKUP($U55,GCA!$H$3:$H$593,GCA!E$3:E$593,"",0,1))</f>
        <v>2957.84</v>
      </c>
      <c r="W55" s="3">
        <f>IF(_xlfn.XLOOKUP($U55,GCA!$H$3:$H$593,GCA!F$3:F$593,"",0,1)="","",_xlfn.XLOOKUP($U55,GCA!$H$3:$H$593,GCA!F$3:F$593,"",0,1))</f>
        <v>2945.9450000000002</v>
      </c>
      <c r="X55" s="3">
        <f>IF(_xlfn.XLOOKUP($U55,GCA!$H$3:$H$593,GCA!G$3:G$593,"",0,1)="","",_xlfn.XLOOKUP($U55,GCA!$H$3:$H$593,GCA!G$3:G$593,"",0,1))</f>
        <v>3211.79</v>
      </c>
    </row>
    <row r="56" spans="1:24" ht="13.95" customHeight="1">
      <c r="A56" s="49"/>
      <c r="B56" s="49"/>
      <c r="C56" s="48"/>
      <c r="D56" s="49"/>
      <c r="E56" s="50"/>
      <c r="F56" s="26" t="s">
        <v>603</v>
      </c>
      <c r="G56" s="26" t="s">
        <v>603</v>
      </c>
      <c r="H56" s="27">
        <f t="shared" si="64"/>
        <v>20431.805</v>
      </c>
      <c r="I56" s="27">
        <f t="shared" si="65"/>
        <v>19617.547999999999</v>
      </c>
      <c r="J56" s="27">
        <f t="shared" si="66"/>
        <v>20677.282999999999</v>
      </c>
      <c r="K56" s="27">
        <f t="shared" si="67"/>
        <v>20242.212</v>
      </c>
      <c r="L56" s="65"/>
      <c r="M56" s="67">
        <f t="shared" si="68"/>
        <v>0</v>
      </c>
      <c r="N56" s="65" t="str">
        <f t="shared" si="2"/>
        <v/>
      </c>
      <c r="O56" s="65" t="str">
        <f t="shared" ref="O56:P56" si="72">N56</f>
        <v/>
      </c>
      <c r="P56" s="65" t="str">
        <f t="shared" si="72"/>
        <v/>
      </c>
      <c r="Q56" s="38"/>
      <c r="R56" s="3" t="str">
        <f t="shared" si="71"/>
        <v>Thiruppur</v>
      </c>
      <c r="S56" s="3" t="str">
        <f t="shared" si="8"/>
        <v>Dharapuram</v>
      </c>
      <c r="T56" s="3" t="str">
        <f t="shared" si="9"/>
        <v>Dharapuram</v>
      </c>
      <c r="U56" s="3" t="str">
        <f t="shared" si="10"/>
        <v>Thiruppur_Dharapuram_Dharapuram</v>
      </c>
      <c r="V56" s="3">
        <f>IF(_xlfn.XLOOKUP($U56,GCA!$H$3:$H$593,GCA!E$3:E$593,"",0,1)="","",_xlfn.XLOOKUP($U56,GCA!$H$3:$H$593,GCA!E$3:E$593,"",0,1))</f>
        <v>20431.805</v>
      </c>
      <c r="W56" s="3">
        <f>IF(_xlfn.XLOOKUP($U56,GCA!$H$3:$H$593,GCA!F$3:F$593,"",0,1)="","",_xlfn.XLOOKUP($U56,GCA!$H$3:$H$593,GCA!F$3:F$593,"",0,1))</f>
        <v>19617.547999999999</v>
      </c>
      <c r="X56" s="3">
        <f>IF(_xlfn.XLOOKUP($U56,GCA!$H$3:$H$593,GCA!G$3:G$593,"",0,1)="","",_xlfn.XLOOKUP($U56,GCA!$H$3:$H$593,GCA!G$3:G$593,"",0,1))</f>
        <v>20677.282999999999</v>
      </c>
    </row>
    <row r="57" spans="1:24" ht="13.95" customHeight="1">
      <c r="A57" s="49"/>
      <c r="B57" s="49"/>
      <c r="C57" s="48"/>
      <c r="D57" s="49"/>
      <c r="E57" s="50"/>
      <c r="F57" s="26" t="s">
        <v>603</v>
      </c>
      <c r="G57" s="26" t="s">
        <v>604</v>
      </c>
      <c r="H57" s="27">
        <f t="shared" si="64"/>
        <v>17837.400000000001</v>
      </c>
      <c r="I57" s="27">
        <f t="shared" si="65"/>
        <v>18063.974999999999</v>
      </c>
      <c r="J57" s="27">
        <f t="shared" si="66"/>
        <v>17031.02</v>
      </c>
      <c r="K57" s="27">
        <f t="shared" si="67"/>
        <v>17644.131666666668</v>
      </c>
      <c r="L57" s="65"/>
      <c r="M57" s="67">
        <f t="shared" si="68"/>
        <v>0</v>
      </c>
      <c r="N57" s="65" t="str">
        <f t="shared" si="2"/>
        <v/>
      </c>
      <c r="O57" s="65" t="str">
        <f t="shared" ref="O57:P57" si="73">N57</f>
        <v/>
      </c>
      <c r="P57" s="65" t="str">
        <f t="shared" si="73"/>
        <v/>
      </c>
      <c r="Q57" s="38"/>
      <c r="R57" s="3" t="str">
        <f t="shared" si="71"/>
        <v>Thiruppur</v>
      </c>
      <c r="S57" s="3" t="str">
        <f t="shared" si="8"/>
        <v>Dharapuram</v>
      </c>
      <c r="T57" s="3" t="str">
        <f t="shared" si="9"/>
        <v>Kundadam</v>
      </c>
      <c r="U57" s="3" t="str">
        <f t="shared" si="10"/>
        <v>Thiruppur_Dharapuram_Kundadam</v>
      </c>
      <c r="V57" s="3">
        <f>IF(_xlfn.XLOOKUP($U57,GCA!$H$3:$H$593,GCA!E$3:E$593,"",0,1)="","",_xlfn.XLOOKUP($U57,GCA!$H$3:$H$593,GCA!E$3:E$593,"",0,1))</f>
        <v>17837.400000000001</v>
      </c>
      <c r="W57" s="3">
        <f>IF(_xlfn.XLOOKUP($U57,GCA!$H$3:$H$593,GCA!F$3:F$593,"",0,1)="","",_xlfn.XLOOKUP($U57,GCA!$H$3:$H$593,GCA!F$3:F$593,"",0,1))</f>
        <v>18063.974999999999</v>
      </c>
      <c r="X57" s="3">
        <f>IF(_xlfn.XLOOKUP($U57,GCA!$H$3:$H$593,GCA!G$3:G$593,"",0,1)="","",_xlfn.XLOOKUP($U57,GCA!$H$3:$H$593,GCA!G$3:G$593,"",0,1))</f>
        <v>17031.02</v>
      </c>
    </row>
    <row r="58" spans="1:24" ht="13.95" customHeight="1">
      <c r="A58" s="49"/>
      <c r="B58" s="49"/>
      <c r="C58" s="48"/>
      <c r="D58" s="49"/>
      <c r="E58" s="50"/>
      <c r="F58" s="26" t="s">
        <v>603</v>
      </c>
      <c r="G58" s="26" t="s">
        <v>605</v>
      </c>
      <c r="H58" s="27">
        <f t="shared" si="64"/>
        <v>15770.22</v>
      </c>
      <c r="I58" s="27">
        <f t="shared" si="65"/>
        <v>15358.53</v>
      </c>
      <c r="J58" s="27">
        <f t="shared" si="66"/>
        <v>15312.92</v>
      </c>
      <c r="K58" s="27">
        <f t="shared" si="67"/>
        <v>15480.556666666665</v>
      </c>
      <c r="L58" s="65"/>
      <c r="M58" s="67">
        <f t="shared" si="68"/>
        <v>0</v>
      </c>
      <c r="N58" s="65" t="str">
        <f t="shared" si="2"/>
        <v/>
      </c>
      <c r="O58" s="65" t="str">
        <f t="shared" ref="O58:P58" si="74">N58</f>
        <v/>
      </c>
      <c r="P58" s="65" t="str">
        <f t="shared" si="74"/>
        <v/>
      </c>
      <c r="Q58" s="38"/>
      <c r="R58" s="3" t="str">
        <f t="shared" si="71"/>
        <v>Thiruppur</v>
      </c>
      <c r="S58" s="3" t="str">
        <f t="shared" si="8"/>
        <v>Dharapuram</v>
      </c>
      <c r="T58" s="3" t="str">
        <f t="shared" si="9"/>
        <v>Mulanur</v>
      </c>
      <c r="U58" s="3" t="str">
        <f t="shared" si="10"/>
        <v>Thiruppur_Dharapuram_Mulanur</v>
      </c>
      <c r="V58" s="3">
        <f>IF(_xlfn.XLOOKUP($U58,GCA!$H$3:$H$593,GCA!E$3:E$593,"",0,1)="","",_xlfn.XLOOKUP($U58,GCA!$H$3:$H$593,GCA!E$3:E$593,"",0,1))</f>
        <v>15770.22</v>
      </c>
      <c r="W58" s="3">
        <f>IF(_xlfn.XLOOKUP($U58,GCA!$H$3:$H$593,GCA!F$3:F$593,"",0,1)="","",_xlfn.XLOOKUP($U58,GCA!$H$3:$H$593,GCA!F$3:F$593,"",0,1))</f>
        <v>15358.53</v>
      </c>
      <c r="X58" s="3">
        <f>IF(_xlfn.XLOOKUP($U58,GCA!$H$3:$H$593,GCA!G$3:G$593,"",0,1)="","",_xlfn.XLOOKUP($U58,GCA!$H$3:$H$593,GCA!G$3:G$593,"",0,1))</f>
        <v>15312.92</v>
      </c>
    </row>
    <row r="59" spans="1:24" ht="13.95" customHeight="1">
      <c r="A59" s="49"/>
      <c r="B59" s="49"/>
      <c r="C59" s="48"/>
      <c r="D59" s="49"/>
      <c r="E59" s="50"/>
      <c r="F59" s="26" t="s">
        <v>603</v>
      </c>
      <c r="G59" s="26" t="s">
        <v>606</v>
      </c>
      <c r="H59" s="27">
        <f t="shared" si="64"/>
        <v>451.4</v>
      </c>
      <c r="I59" s="27">
        <f t="shared" si="65"/>
        <v>442.76</v>
      </c>
      <c r="J59" s="27">
        <f t="shared" si="66"/>
        <v>488.25</v>
      </c>
      <c r="K59" s="27">
        <f t="shared" si="67"/>
        <v>460.80333333333328</v>
      </c>
      <c r="L59" s="65"/>
      <c r="M59" s="67">
        <f t="shared" si="68"/>
        <v>0</v>
      </c>
      <c r="N59" s="65" t="str">
        <f t="shared" si="2"/>
        <v/>
      </c>
      <c r="O59" s="65" t="str">
        <f t="shared" ref="O59:P59" si="75">N59</f>
        <v/>
      </c>
      <c r="P59" s="65" t="str">
        <f t="shared" si="75"/>
        <v/>
      </c>
      <c r="Q59" s="38"/>
      <c r="R59" s="3" t="str">
        <f t="shared" si="71"/>
        <v>Thiruppur</v>
      </c>
      <c r="S59" s="3" t="str">
        <f t="shared" si="8"/>
        <v>Dharapuram</v>
      </c>
      <c r="T59" s="3" t="str">
        <f t="shared" si="9"/>
        <v>Vellakoil</v>
      </c>
      <c r="U59" s="3" t="str">
        <f t="shared" si="10"/>
        <v>Thiruppur_Dharapuram_Vellakoil</v>
      </c>
      <c r="V59" s="3">
        <f>IF(_xlfn.XLOOKUP($U59,GCA!$H$3:$H$593,GCA!E$3:E$593,"",0,1)="","",_xlfn.XLOOKUP($U59,GCA!$H$3:$H$593,GCA!E$3:E$593,"",0,1))</f>
        <v>451.4</v>
      </c>
      <c r="W59" s="3">
        <f>IF(_xlfn.XLOOKUP($U59,GCA!$H$3:$H$593,GCA!F$3:F$593,"",0,1)="","",_xlfn.XLOOKUP($U59,GCA!$H$3:$H$593,GCA!F$3:F$593,"",0,1))</f>
        <v>442.76</v>
      </c>
      <c r="X59" s="3">
        <f>IF(_xlfn.XLOOKUP($U59,GCA!$H$3:$H$593,GCA!G$3:G$593,"",0,1)="","",_xlfn.XLOOKUP($U59,GCA!$H$3:$H$593,GCA!G$3:G$593,"",0,1))</f>
        <v>488.25</v>
      </c>
    </row>
    <row r="60" spans="1:24" ht="13.95" customHeight="1">
      <c r="A60" s="49"/>
      <c r="B60" s="49"/>
      <c r="C60" s="48"/>
      <c r="D60" s="49"/>
      <c r="E60" s="50">
        <v>2</v>
      </c>
      <c r="F60" s="26" t="s">
        <v>607</v>
      </c>
      <c r="G60" s="26" t="s">
        <v>608</v>
      </c>
      <c r="H60" s="27">
        <f t="shared" si="64"/>
        <v>9086.7860000000001</v>
      </c>
      <c r="I60" s="27">
        <f t="shared" si="65"/>
        <v>9192.67</v>
      </c>
      <c r="J60" s="27">
        <f t="shared" si="66"/>
        <v>8977.3150000000005</v>
      </c>
      <c r="K60" s="27">
        <f t="shared" si="67"/>
        <v>9085.5903333333335</v>
      </c>
      <c r="L60" s="65">
        <f>SUM(K60:K65)</f>
        <v>52592.395333333334</v>
      </c>
      <c r="M60" s="67">
        <f t="shared" si="68"/>
        <v>2.2075150688345331</v>
      </c>
      <c r="N60" s="65">
        <f t="shared" si="2"/>
        <v>2</v>
      </c>
      <c r="O60" s="65">
        <f t="shared" ref="O60:P60" si="76">N60</f>
        <v>2</v>
      </c>
      <c r="P60" s="65">
        <f t="shared" si="76"/>
        <v>2</v>
      </c>
      <c r="Q60" s="38"/>
      <c r="R60" s="3" t="str">
        <f t="shared" si="71"/>
        <v>Thiruppur</v>
      </c>
      <c r="S60" s="3" t="str">
        <f t="shared" si="8"/>
        <v>Kangayam</v>
      </c>
      <c r="T60" s="3" t="str">
        <f t="shared" si="9"/>
        <v>Kangeyam</v>
      </c>
      <c r="U60" s="3" t="str">
        <f t="shared" si="10"/>
        <v>Thiruppur_Kangayam_Kangeyam</v>
      </c>
      <c r="V60" s="3">
        <f>IF(_xlfn.XLOOKUP($U60,GCA!$H$3:$H$593,GCA!E$3:E$593,"",0,1)="","",_xlfn.XLOOKUP($U60,GCA!$H$3:$H$593,GCA!E$3:E$593,"",0,1))</f>
        <v>9086.7860000000001</v>
      </c>
      <c r="W60" s="3">
        <f>IF(_xlfn.XLOOKUP($U60,GCA!$H$3:$H$593,GCA!F$3:F$593,"",0,1)="","",_xlfn.XLOOKUP($U60,GCA!$H$3:$H$593,GCA!F$3:F$593,"",0,1))</f>
        <v>9192.67</v>
      </c>
      <c r="X60" s="3">
        <f>IF(_xlfn.XLOOKUP($U60,GCA!$H$3:$H$593,GCA!G$3:G$593,"",0,1)="","",_xlfn.XLOOKUP($U60,GCA!$H$3:$H$593,GCA!G$3:G$593,"",0,1))</f>
        <v>8977.3150000000005</v>
      </c>
    </row>
    <row r="61" spans="1:24" ht="13.95" customHeight="1">
      <c r="A61" s="49"/>
      <c r="B61" s="49"/>
      <c r="C61" s="48"/>
      <c r="D61" s="49"/>
      <c r="E61" s="50"/>
      <c r="F61" s="26" t="s">
        <v>607</v>
      </c>
      <c r="G61" s="26" t="s">
        <v>604</v>
      </c>
      <c r="H61" s="27">
        <f t="shared" si="64"/>
        <v>3946.61</v>
      </c>
      <c r="I61" s="27">
        <f t="shared" si="65"/>
        <v>4001.835</v>
      </c>
      <c r="J61" s="27">
        <f t="shared" si="66"/>
        <v>3872.36</v>
      </c>
      <c r="K61" s="27">
        <f t="shared" si="67"/>
        <v>3940.2683333333334</v>
      </c>
      <c r="L61" s="65"/>
      <c r="M61" s="67">
        <f t="shared" si="68"/>
        <v>0</v>
      </c>
      <c r="N61" s="65" t="str">
        <f t="shared" si="2"/>
        <v/>
      </c>
      <c r="O61" s="65" t="str">
        <f t="shared" ref="O61:P61" si="77">N61</f>
        <v/>
      </c>
      <c r="P61" s="65" t="str">
        <f t="shared" si="77"/>
        <v/>
      </c>
      <c r="Q61" s="38"/>
      <c r="R61" s="3" t="str">
        <f t="shared" si="71"/>
        <v>Thiruppur</v>
      </c>
      <c r="S61" s="3" t="str">
        <f t="shared" si="8"/>
        <v>Kangayam</v>
      </c>
      <c r="T61" s="3" t="str">
        <f t="shared" si="9"/>
        <v>Kundadam</v>
      </c>
      <c r="U61" s="3" t="str">
        <f t="shared" si="10"/>
        <v>Thiruppur_Kangayam_Kundadam</v>
      </c>
      <c r="V61" s="3">
        <f>IF(_xlfn.XLOOKUP($U61,GCA!$H$3:$H$593,GCA!E$3:E$593,"",0,1)="","",_xlfn.XLOOKUP($U61,GCA!$H$3:$H$593,GCA!E$3:E$593,"",0,1))</f>
        <v>3946.61</v>
      </c>
      <c r="W61" s="3">
        <f>IF(_xlfn.XLOOKUP($U61,GCA!$H$3:$H$593,GCA!F$3:F$593,"",0,1)="","",_xlfn.XLOOKUP($U61,GCA!$H$3:$H$593,GCA!F$3:F$593,"",0,1))</f>
        <v>4001.835</v>
      </c>
      <c r="X61" s="3">
        <f>IF(_xlfn.XLOOKUP($U61,GCA!$H$3:$H$593,GCA!G$3:G$593,"",0,1)="","",_xlfn.XLOOKUP($U61,GCA!$H$3:$H$593,GCA!G$3:G$593,"",0,1))</f>
        <v>3872.36</v>
      </c>
    </row>
    <row r="62" spans="1:24" ht="13.95" customHeight="1">
      <c r="A62" s="49"/>
      <c r="B62" s="49"/>
      <c r="C62" s="48"/>
      <c r="D62" s="49"/>
      <c r="E62" s="50"/>
      <c r="F62" s="26" t="s">
        <v>607</v>
      </c>
      <c r="G62" s="26" t="s">
        <v>606</v>
      </c>
      <c r="H62" s="27">
        <f t="shared" si="64"/>
        <v>9618.31</v>
      </c>
      <c r="I62" s="27">
        <f t="shared" si="65"/>
        <v>9360.1049999999996</v>
      </c>
      <c r="J62" s="27">
        <f t="shared" si="66"/>
        <v>8438.0849999999991</v>
      </c>
      <c r="K62" s="27">
        <f t="shared" si="67"/>
        <v>9138.8333333333339</v>
      </c>
      <c r="L62" s="65"/>
      <c r="M62" s="67">
        <f t="shared" si="68"/>
        <v>0</v>
      </c>
      <c r="N62" s="65" t="str">
        <f t="shared" si="2"/>
        <v/>
      </c>
      <c r="O62" s="65" t="str">
        <f t="shared" ref="O62:P62" si="78">N62</f>
        <v/>
      </c>
      <c r="P62" s="65" t="str">
        <f t="shared" si="78"/>
        <v/>
      </c>
      <c r="Q62" s="38"/>
      <c r="R62" s="3" t="str">
        <f t="shared" si="71"/>
        <v>Thiruppur</v>
      </c>
      <c r="S62" s="3" t="str">
        <f t="shared" si="8"/>
        <v>Kangayam</v>
      </c>
      <c r="T62" s="3" t="str">
        <f t="shared" si="9"/>
        <v>Vellakoil</v>
      </c>
      <c r="U62" s="3" t="str">
        <f t="shared" si="10"/>
        <v>Thiruppur_Kangayam_Vellakoil</v>
      </c>
      <c r="V62" s="3">
        <f>IF(_xlfn.XLOOKUP($U62,GCA!$H$3:$H$593,GCA!E$3:E$593,"",0,1)="","",_xlfn.XLOOKUP($U62,GCA!$H$3:$H$593,GCA!E$3:E$593,"",0,1))</f>
        <v>9618.31</v>
      </c>
      <c r="W62" s="3">
        <f>IF(_xlfn.XLOOKUP($U62,GCA!$H$3:$H$593,GCA!F$3:F$593,"",0,1)="","",_xlfn.XLOOKUP($U62,GCA!$H$3:$H$593,GCA!F$3:F$593,"",0,1))</f>
        <v>9360.1049999999996</v>
      </c>
      <c r="X62" s="3">
        <f>IF(_xlfn.XLOOKUP($U62,GCA!$H$3:$H$593,GCA!G$3:G$593,"",0,1)="","",_xlfn.XLOOKUP($U62,GCA!$H$3:$H$593,GCA!G$3:G$593,"",0,1))</f>
        <v>8438.0849999999991</v>
      </c>
    </row>
    <row r="63" spans="1:24" ht="13.95" customHeight="1">
      <c r="A63" s="49"/>
      <c r="B63" s="49"/>
      <c r="C63" s="48"/>
      <c r="D63" s="49"/>
      <c r="E63" s="50"/>
      <c r="F63" s="26" t="s">
        <v>609</v>
      </c>
      <c r="G63" s="26" t="s">
        <v>609</v>
      </c>
      <c r="H63" s="27">
        <f t="shared" si="64"/>
        <v>14813.525</v>
      </c>
      <c r="I63" s="27">
        <f t="shared" si="65"/>
        <v>14374.36</v>
      </c>
      <c r="J63" s="27">
        <f t="shared" si="66"/>
        <v>14691.315000000001</v>
      </c>
      <c r="K63" s="27">
        <f t="shared" si="67"/>
        <v>14626.400000000001</v>
      </c>
      <c r="L63" s="65"/>
      <c r="M63" s="67">
        <f t="shared" si="68"/>
        <v>0</v>
      </c>
      <c r="N63" s="65" t="str">
        <f t="shared" si="2"/>
        <v/>
      </c>
      <c r="O63" s="65" t="str">
        <f t="shared" ref="O63:P63" si="79">N63</f>
        <v/>
      </c>
      <c r="P63" s="65" t="str">
        <f t="shared" si="79"/>
        <v/>
      </c>
      <c r="Q63" s="38"/>
      <c r="R63" s="3" t="str">
        <f t="shared" si="71"/>
        <v>Thiruppur</v>
      </c>
      <c r="S63" s="3" t="str">
        <f t="shared" si="8"/>
        <v>Madathukulam</v>
      </c>
      <c r="T63" s="3" t="str">
        <f t="shared" si="9"/>
        <v>Madathukulam</v>
      </c>
      <c r="U63" s="3" t="str">
        <f t="shared" si="10"/>
        <v>Thiruppur_Madathukulam_Madathukulam</v>
      </c>
      <c r="V63" s="3">
        <f>IF(_xlfn.XLOOKUP($U63,GCA!$H$3:$H$593,GCA!E$3:E$593,"",0,1)="","",_xlfn.XLOOKUP($U63,GCA!$H$3:$H$593,GCA!E$3:E$593,"",0,1))</f>
        <v>14813.525</v>
      </c>
      <c r="W63" s="3">
        <f>IF(_xlfn.XLOOKUP($U63,GCA!$H$3:$H$593,GCA!F$3:F$593,"",0,1)="","",_xlfn.XLOOKUP($U63,GCA!$H$3:$H$593,GCA!F$3:F$593,"",0,1))</f>
        <v>14374.36</v>
      </c>
      <c r="X63" s="3">
        <f>IF(_xlfn.XLOOKUP($U63,GCA!$H$3:$H$593,GCA!G$3:G$593,"",0,1)="","",_xlfn.XLOOKUP($U63,GCA!$H$3:$H$593,GCA!G$3:G$593,"",0,1))</f>
        <v>14691.315000000001</v>
      </c>
    </row>
    <row r="64" spans="1:24" ht="13.95" customHeight="1">
      <c r="A64" s="49"/>
      <c r="B64" s="49"/>
      <c r="C64" s="48"/>
      <c r="D64" s="49"/>
      <c r="E64" s="50"/>
      <c r="F64" s="26" t="s">
        <v>610</v>
      </c>
      <c r="G64" s="26" t="s">
        <v>610</v>
      </c>
      <c r="H64" s="27">
        <f t="shared" si="64"/>
        <v>8234.4</v>
      </c>
      <c r="I64" s="27">
        <f t="shared" si="65"/>
        <v>8070.79</v>
      </c>
      <c r="J64" s="27">
        <f t="shared" si="66"/>
        <v>8197.07</v>
      </c>
      <c r="K64" s="27">
        <f t="shared" si="67"/>
        <v>8167.4199999999992</v>
      </c>
      <c r="L64" s="65"/>
      <c r="M64" s="67">
        <f t="shared" si="68"/>
        <v>0</v>
      </c>
      <c r="N64" s="65" t="str">
        <f t="shared" si="2"/>
        <v/>
      </c>
      <c r="O64" s="65" t="str">
        <f t="shared" ref="O64:P64" si="80">N64</f>
        <v/>
      </c>
      <c r="P64" s="65" t="str">
        <f t="shared" si="80"/>
        <v/>
      </c>
      <c r="Q64" s="38"/>
      <c r="R64" s="3" t="str">
        <f t="shared" si="71"/>
        <v>Thiruppur</v>
      </c>
      <c r="S64" s="3" t="str">
        <f t="shared" si="8"/>
        <v>Palladam</v>
      </c>
      <c r="T64" s="3" t="str">
        <f t="shared" si="9"/>
        <v>Palladam</v>
      </c>
      <c r="U64" s="3" t="str">
        <f t="shared" si="10"/>
        <v>Thiruppur_Palladam_Palladam</v>
      </c>
      <c r="V64" s="3">
        <f>IF(_xlfn.XLOOKUP($U64,GCA!$H$3:$H$593,GCA!E$3:E$593,"",0,1)="","",_xlfn.XLOOKUP($U64,GCA!$H$3:$H$593,GCA!E$3:E$593,"",0,1))</f>
        <v>8234.4</v>
      </c>
      <c r="W64" s="3">
        <f>IF(_xlfn.XLOOKUP($U64,GCA!$H$3:$H$593,GCA!F$3:F$593,"",0,1)="","",_xlfn.XLOOKUP($U64,GCA!$H$3:$H$593,GCA!F$3:F$593,"",0,1))</f>
        <v>8070.79</v>
      </c>
      <c r="X64" s="3">
        <f>IF(_xlfn.XLOOKUP($U64,GCA!$H$3:$H$593,GCA!G$3:G$593,"",0,1)="","",_xlfn.XLOOKUP($U64,GCA!$H$3:$H$593,GCA!G$3:G$593,"",0,1))</f>
        <v>8197.07</v>
      </c>
    </row>
    <row r="65" spans="1:24" ht="13.95" customHeight="1">
      <c r="A65" s="49"/>
      <c r="B65" s="49"/>
      <c r="C65" s="48"/>
      <c r="D65" s="49"/>
      <c r="E65" s="50"/>
      <c r="F65" s="26" t="s">
        <v>610</v>
      </c>
      <c r="G65" s="26" t="s">
        <v>611</v>
      </c>
      <c r="H65" s="27">
        <f t="shared" si="64"/>
        <v>8104.18</v>
      </c>
      <c r="I65" s="27">
        <f t="shared" si="65"/>
        <v>7607.6450000000004</v>
      </c>
      <c r="J65" s="27">
        <f t="shared" si="66"/>
        <v>7189.8249999999998</v>
      </c>
      <c r="K65" s="27">
        <f t="shared" si="67"/>
        <v>7633.8833333333341</v>
      </c>
      <c r="L65" s="65"/>
      <c r="M65" s="67">
        <f t="shared" si="68"/>
        <v>0</v>
      </c>
      <c r="N65" s="65" t="str">
        <f t="shared" si="2"/>
        <v/>
      </c>
      <c r="O65" s="65" t="str">
        <f t="shared" ref="O65:P65" si="81">N65</f>
        <v/>
      </c>
      <c r="P65" s="65" t="str">
        <f t="shared" si="81"/>
        <v/>
      </c>
      <c r="Q65" s="38"/>
      <c r="R65" s="3" t="str">
        <f t="shared" si="71"/>
        <v>Thiruppur</v>
      </c>
      <c r="S65" s="3" t="str">
        <f t="shared" si="8"/>
        <v>Palladam</v>
      </c>
      <c r="T65" s="3" t="str">
        <f t="shared" si="9"/>
        <v>Pongalur</v>
      </c>
      <c r="U65" s="3" t="str">
        <f t="shared" si="10"/>
        <v>Thiruppur_Palladam_Pongalur</v>
      </c>
      <c r="V65" s="3">
        <f>IF(_xlfn.XLOOKUP($U65,GCA!$H$3:$H$593,GCA!E$3:E$593,"",0,1)="","",_xlfn.XLOOKUP($U65,GCA!$H$3:$H$593,GCA!E$3:E$593,"",0,1))</f>
        <v>8104.18</v>
      </c>
      <c r="W65" s="3">
        <f>IF(_xlfn.XLOOKUP($U65,GCA!$H$3:$H$593,GCA!F$3:F$593,"",0,1)="","",_xlfn.XLOOKUP($U65,GCA!$H$3:$H$593,GCA!F$3:F$593,"",0,1))</f>
        <v>7607.6450000000004</v>
      </c>
      <c r="X65" s="3">
        <f>IF(_xlfn.XLOOKUP($U65,GCA!$H$3:$H$593,GCA!G$3:G$593,"",0,1)="","",_xlfn.XLOOKUP($U65,GCA!$H$3:$H$593,GCA!G$3:G$593,"",0,1))</f>
        <v>7189.8249999999998</v>
      </c>
    </row>
    <row r="66" spans="1:24" ht="13.95" customHeight="1">
      <c r="A66" s="49"/>
      <c r="B66" s="49"/>
      <c r="C66" s="48"/>
      <c r="D66" s="49"/>
      <c r="E66" s="50">
        <v>3</v>
      </c>
      <c r="F66" s="26" t="s">
        <v>612</v>
      </c>
      <c r="G66" s="26" t="s">
        <v>470</v>
      </c>
      <c r="H66" s="27">
        <f t="shared" si="64"/>
        <v>1077.0450000000001</v>
      </c>
      <c r="I66" s="27">
        <f t="shared" si="65"/>
        <v>1095.855</v>
      </c>
      <c r="J66" s="27">
        <f t="shared" si="66"/>
        <v>1092.78</v>
      </c>
      <c r="K66" s="27">
        <f t="shared" si="67"/>
        <v>1088.5600000000002</v>
      </c>
      <c r="L66" s="65">
        <f>SUM(K66:K71)</f>
        <v>67791.972666666668</v>
      </c>
      <c r="M66" s="67">
        <f t="shared" si="68"/>
        <v>2.8455026674328976</v>
      </c>
      <c r="N66" s="65">
        <f t="shared" si="2"/>
        <v>3</v>
      </c>
      <c r="O66" s="65">
        <f t="shared" ref="O66:P66" si="82">N66</f>
        <v>3</v>
      </c>
      <c r="P66" s="65">
        <f t="shared" si="82"/>
        <v>3</v>
      </c>
      <c r="Q66" s="38"/>
      <c r="R66" s="3" t="str">
        <f t="shared" si="71"/>
        <v>Thiruppur</v>
      </c>
      <c r="S66" s="3" t="str">
        <f t="shared" si="8"/>
        <v>Thiruppur North</v>
      </c>
      <c r="T66" s="3" t="str">
        <f t="shared" si="9"/>
        <v>Thiruppur</v>
      </c>
      <c r="U66" s="3" t="str">
        <f t="shared" si="10"/>
        <v>Thiruppur_Thiruppur North_Thiruppur</v>
      </c>
      <c r="V66" s="3">
        <f>IF(_xlfn.XLOOKUP($U66,GCA!$H$3:$H$593,GCA!E$3:E$593,"",0,1)="","",_xlfn.XLOOKUP($U66,GCA!$H$3:$H$593,GCA!E$3:E$593,"",0,1))</f>
        <v>1077.0450000000001</v>
      </c>
      <c r="W66" s="3">
        <f>IF(_xlfn.XLOOKUP($U66,GCA!$H$3:$H$593,GCA!F$3:F$593,"",0,1)="","",_xlfn.XLOOKUP($U66,GCA!$H$3:$H$593,GCA!F$3:F$593,"",0,1))</f>
        <v>1095.855</v>
      </c>
      <c r="X66" s="3">
        <f>IF(_xlfn.XLOOKUP($U66,GCA!$H$3:$H$593,GCA!G$3:G$593,"",0,1)="","",_xlfn.XLOOKUP($U66,GCA!$H$3:$H$593,GCA!G$3:G$593,"",0,1))</f>
        <v>1092.78</v>
      </c>
    </row>
    <row r="67" spans="1:24" ht="13.95" customHeight="1">
      <c r="A67" s="49"/>
      <c r="B67" s="49"/>
      <c r="C67" s="48"/>
      <c r="D67" s="49"/>
      <c r="E67" s="50"/>
      <c r="F67" s="26" t="s">
        <v>613</v>
      </c>
      <c r="G67" s="26" t="s">
        <v>611</v>
      </c>
      <c r="H67" s="27">
        <f t="shared" si="64"/>
        <v>5806.88</v>
      </c>
      <c r="I67" s="27">
        <f t="shared" si="65"/>
        <v>5769.01</v>
      </c>
      <c r="J67" s="27">
        <f t="shared" si="66"/>
        <v>5766.6750000000002</v>
      </c>
      <c r="K67" s="27">
        <f t="shared" si="67"/>
        <v>5780.8549999999996</v>
      </c>
      <c r="L67" s="65"/>
      <c r="M67" s="67">
        <f t="shared" si="68"/>
        <v>0</v>
      </c>
      <c r="N67" s="65" t="str">
        <f t="shared" si="2"/>
        <v/>
      </c>
      <c r="O67" s="65" t="str">
        <f t="shared" ref="O67:P67" si="83">N67</f>
        <v/>
      </c>
      <c r="P67" s="65" t="str">
        <f t="shared" si="83"/>
        <v/>
      </c>
      <c r="Q67" s="38"/>
      <c r="R67" s="3" t="str">
        <f t="shared" si="71"/>
        <v>Thiruppur</v>
      </c>
      <c r="S67" s="3" t="str">
        <f t="shared" si="8"/>
        <v>Thiruppur South</v>
      </c>
      <c r="T67" s="3" t="str">
        <f t="shared" si="9"/>
        <v>Pongalur</v>
      </c>
      <c r="U67" s="3" t="str">
        <f t="shared" si="10"/>
        <v>Thiruppur_Thiruppur South_Pongalur</v>
      </c>
      <c r="V67" s="3">
        <f>IF(_xlfn.XLOOKUP($U67,GCA!$H$3:$H$593,GCA!E$3:E$593,"",0,1)="","",_xlfn.XLOOKUP($U67,GCA!$H$3:$H$593,GCA!E$3:E$593,"",0,1))</f>
        <v>5806.88</v>
      </c>
      <c r="W67" s="3">
        <f>IF(_xlfn.XLOOKUP($U67,GCA!$H$3:$H$593,GCA!F$3:F$593,"",0,1)="","",_xlfn.XLOOKUP($U67,GCA!$H$3:$H$593,GCA!F$3:F$593,"",0,1))</f>
        <v>5769.01</v>
      </c>
      <c r="X67" s="3">
        <f>IF(_xlfn.XLOOKUP($U67,GCA!$H$3:$H$593,GCA!G$3:G$593,"",0,1)="","",_xlfn.XLOOKUP($U67,GCA!$H$3:$H$593,GCA!G$3:G$593,"",0,1))</f>
        <v>5766.6750000000002</v>
      </c>
    </row>
    <row r="68" spans="1:24" ht="13.95" customHeight="1">
      <c r="A68" s="49"/>
      <c r="B68" s="49"/>
      <c r="C68" s="48"/>
      <c r="D68" s="49"/>
      <c r="E68" s="50"/>
      <c r="F68" s="26" t="s">
        <v>613</v>
      </c>
      <c r="G68" s="26" t="s">
        <v>470</v>
      </c>
      <c r="H68" s="27">
        <f t="shared" si="64"/>
        <v>1878.11</v>
      </c>
      <c r="I68" s="27">
        <f t="shared" si="65"/>
        <v>1824.9849999999999</v>
      </c>
      <c r="J68" s="27">
        <f t="shared" si="66"/>
        <v>1875.7249999999999</v>
      </c>
      <c r="K68" s="27">
        <f t="shared" si="67"/>
        <v>1859.6066666666666</v>
      </c>
      <c r="L68" s="65"/>
      <c r="M68" s="67">
        <f t="shared" si="68"/>
        <v>0</v>
      </c>
      <c r="N68" s="65" t="str">
        <f t="shared" si="2"/>
        <v/>
      </c>
      <c r="O68" s="65" t="str">
        <f t="shared" ref="O68:P68" si="84">N68</f>
        <v/>
      </c>
      <c r="P68" s="65" t="str">
        <f t="shared" si="84"/>
        <v/>
      </c>
      <c r="Q68" s="38"/>
      <c r="R68" s="3" t="str">
        <f t="shared" si="71"/>
        <v>Thiruppur</v>
      </c>
      <c r="S68" s="3" t="str">
        <f t="shared" si="8"/>
        <v>Thiruppur South</v>
      </c>
      <c r="T68" s="3" t="str">
        <f t="shared" si="9"/>
        <v>Thiruppur</v>
      </c>
      <c r="U68" s="3" t="str">
        <f t="shared" si="10"/>
        <v>Thiruppur_Thiruppur South_Thiruppur</v>
      </c>
      <c r="V68" s="3">
        <f>IF(_xlfn.XLOOKUP($U68,GCA!$H$3:$H$593,GCA!E$3:E$593,"",0,1)="","",_xlfn.XLOOKUP($U68,GCA!$H$3:$H$593,GCA!E$3:E$593,"",0,1))</f>
        <v>1878.11</v>
      </c>
      <c r="W68" s="3">
        <f>IF(_xlfn.XLOOKUP($U68,GCA!$H$3:$H$593,GCA!F$3:F$593,"",0,1)="","",_xlfn.XLOOKUP($U68,GCA!$H$3:$H$593,GCA!F$3:F$593,"",0,1))</f>
        <v>1824.9849999999999</v>
      </c>
      <c r="X68" s="3">
        <f>IF(_xlfn.XLOOKUP($U68,GCA!$H$3:$H$593,GCA!G$3:G$593,"",0,1)="","",_xlfn.XLOOKUP($U68,GCA!$H$3:$H$593,GCA!G$3:G$593,"",0,1))</f>
        <v>1875.7249999999999</v>
      </c>
    </row>
    <row r="69" spans="1:24" ht="13.95" customHeight="1">
      <c r="A69" s="49"/>
      <c r="B69" s="49"/>
      <c r="C69" s="48"/>
      <c r="D69" s="49"/>
      <c r="E69" s="50"/>
      <c r="F69" s="26" t="s">
        <v>614</v>
      </c>
      <c r="G69" s="26" t="s">
        <v>615</v>
      </c>
      <c r="H69" s="27">
        <f t="shared" si="64"/>
        <v>20445.187000000002</v>
      </c>
      <c r="I69" s="27">
        <f t="shared" si="65"/>
        <v>20028.045999999998</v>
      </c>
      <c r="J69" s="27">
        <f t="shared" si="66"/>
        <v>20324.891</v>
      </c>
      <c r="K69" s="27">
        <f t="shared" si="67"/>
        <v>20266.041333333331</v>
      </c>
      <c r="L69" s="65"/>
      <c r="M69" s="67">
        <f t="shared" si="68"/>
        <v>0</v>
      </c>
      <c r="N69" s="65" t="str">
        <f t="shared" si="2"/>
        <v/>
      </c>
      <c r="O69" s="65" t="str">
        <f t="shared" ref="O69:P69" si="85">N69</f>
        <v/>
      </c>
      <c r="P69" s="65" t="str">
        <f t="shared" si="85"/>
        <v/>
      </c>
      <c r="Q69" s="38"/>
      <c r="R69" s="3" t="str">
        <f t="shared" si="71"/>
        <v>Thiruppur</v>
      </c>
      <c r="S69" s="3" t="str">
        <f t="shared" si="8"/>
        <v>Udumalpettai</v>
      </c>
      <c r="T69" s="3" t="str">
        <f t="shared" si="9"/>
        <v>Gudimangalam</v>
      </c>
      <c r="U69" s="3" t="str">
        <f t="shared" si="10"/>
        <v>Thiruppur_Udumalpettai_Gudimangalam</v>
      </c>
      <c r="V69" s="3">
        <f>IF(_xlfn.XLOOKUP($U69,GCA!$H$3:$H$593,GCA!E$3:E$593,"",0,1)="","",_xlfn.XLOOKUP($U69,GCA!$H$3:$H$593,GCA!E$3:E$593,"",0,1))</f>
        <v>20445.187000000002</v>
      </c>
      <c r="W69" s="3">
        <f>IF(_xlfn.XLOOKUP($U69,GCA!$H$3:$H$593,GCA!F$3:F$593,"",0,1)="","",_xlfn.XLOOKUP($U69,GCA!$H$3:$H$593,GCA!F$3:F$593,"",0,1))</f>
        <v>20028.045999999998</v>
      </c>
      <c r="X69" s="3">
        <f>IF(_xlfn.XLOOKUP($U69,GCA!$H$3:$H$593,GCA!G$3:G$593,"",0,1)="","",_xlfn.XLOOKUP($U69,GCA!$H$3:$H$593,GCA!G$3:G$593,"",0,1))</f>
        <v>20324.891</v>
      </c>
    </row>
    <row r="70" spans="1:24" ht="13.95" customHeight="1">
      <c r="A70" s="49"/>
      <c r="B70" s="49"/>
      <c r="C70" s="48"/>
      <c r="D70" s="49"/>
      <c r="E70" s="50"/>
      <c r="F70" s="26" t="s">
        <v>614</v>
      </c>
      <c r="G70" s="26" t="s">
        <v>614</v>
      </c>
      <c r="H70" s="27">
        <f t="shared" si="64"/>
        <v>28521.531999999999</v>
      </c>
      <c r="I70" s="27">
        <f t="shared" si="65"/>
        <v>28300.472000000002</v>
      </c>
      <c r="J70" s="27">
        <f t="shared" si="66"/>
        <v>27646.87</v>
      </c>
      <c r="K70" s="27">
        <f t="shared" si="67"/>
        <v>28156.291333333331</v>
      </c>
      <c r="L70" s="65"/>
      <c r="M70" s="67">
        <f t="shared" si="68"/>
        <v>0</v>
      </c>
      <c r="N70" s="65" t="str">
        <f t="shared" ref="N70:N144" si="86">IF(M70&gt;=2, ROUND(M70,0), IF(M70&gt;1.1,2,""))</f>
        <v/>
      </c>
      <c r="O70" s="65" t="str">
        <f t="shared" ref="O70:P70" si="87">N70</f>
        <v/>
      </c>
      <c r="P70" s="65" t="str">
        <f t="shared" si="87"/>
        <v/>
      </c>
      <c r="Q70" s="38"/>
      <c r="R70" s="3" t="str">
        <f t="shared" si="71"/>
        <v>Thiruppur</v>
      </c>
      <c r="S70" s="3" t="str">
        <f t="shared" si="8"/>
        <v>Udumalpettai</v>
      </c>
      <c r="T70" s="3" t="str">
        <f t="shared" si="9"/>
        <v>Udumalpettai</v>
      </c>
      <c r="U70" s="3" t="str">
        <f t="shared" si="10"/>
        <v>Thiruppur_Udumalpettai_Udumalpettai</v>
      </c>
      <c r="V70" s="3">
        <f>IF(_xlfn.XLOOKUP($U70,GCA!$H$3:$H$593,GCA!E$3:E$593,"",0,1)="","",_xlfn.XLOOKUP($U70,GCA!$H$3:$H$593,GCA!E$3:E$593,"",0,1))</f>
        <v>28521.531999999999</v>
      </c>
      <c r="W70" s="3">
        <f>IF(_xlfn.XLOOKUP($U70,GCA!$H$3:$H$593,GCA!F$3:F$593,"",0,1)="","",_xlfn.XLOOKUP($U70,GCA!$H$3:$H$593,GCA!F$3:F$593,"",0,1))</f>
        <v>28300.472000000002</v>
      </c>
      <c r="X70" s="3">
        <f>IF(_xlfn.XLOOKUP($U70,GCA!$H$3:$H$593,GCA!G$3:G$593,"",0,1)="","",_xlfn.XLOOKUP($U70,GCA!$H$3:$H$593,GCA!G$3:G$593,"",0,1))</f>
        <v>27646.87</v>
      </c>
    </row>
    <row r="71" spans="1:24" ht="13.95" customHeight="1">
      <c r="A71" s="49"/>
      <c r="B71" s="49"/>
      <c r="C71" s="48"/>
      <c r="D71" s="49"/>
      <c r="E71" s="50"/>
      <c r="F71" s="26" t="s">
        <v>616</v>
      </c>
      <c r="G71" s="26" t="s">
        <v>616</v>
      </c>
      <c r="H71" s="27">
        <f t="shared" si="64"/>
        <v>10490.02</v>
      </c>
      <c r="I71" s="27">
        <f t="shared" si="65"/>
        <v>10921.514999999999</v>
      </c>
      <c r="J71" s="27">
        <f t="shared" si="66"/>
        <v>10510.32</v>
      </c>
      <c r="K71" s="27">
        <f t="shared" si="67"/>
        <v>10640.618333333334</v>
      </c>
      <c r="L71" s="65"/>
      <c r="M71" s="67">
        <f t="shared" si="68"/>
        <v>0</v>
      </c>
      <c r="N71" s="65" t="str">
        <f t="shared" si="86"/>
        <v/>
      </c>
      <c r="O71" s="65" t="str">
        <f t="shared" ref="O71:P71" si="88">N71</f>
        <v/>
      </c>
      <c r="P71" s="65" t="str">
        <f t="shared" si="88"/>
        <v/>
      </c>
      <c r="Q71" s="38"/>
      <c r="R71" s="3" t="str">
        <f t="shared" si="71"/>
        <v>Thiruppur</v>
      </c>
      <c r="S71" s="3" t="str">
        <f t="shared" ref="S71:S145" si="89">F71</f>
        <v>Uthukuli</v>
      </c>
      <c r="T71" s="3" t="str">
        <f t="shared" ref="T71:T145" si="90">G71</f>
        <v>Uthukuli</v>
      </c>
      <c r="U71" s="3" t="str">
        <f t="shared" ref="U71:U145" si="91">CONCATENATE(R71,"_",S71,"_",T71)</f>
        <v>Thiruppur_Uthukuli_Uthukuli</v>
      </c>
      <c r="V71" s="3">
        <f>IF(_xlfn.XLOOKUP($U71,GCA!$H$3:$H$593,GCA!E$3:E$593,"",0,1)="","",_xlfn.XLOOKUP($U71,GCA!$H$3:$H$593,GCA!E$3:E$593,"",0,1))</f>
        <v>10490.02</v>
      </c>
      <c r="W71" s="3">
        <f>IF(_xlfn.XLOOKUP($U71,GCA!$H$3:$H$593,GCA!F$3:F$593,"",0,1)="","",_xlfn.XLOOKUP($U71,GCA!$H$3:$H$593,GCA!F$3:F$593,"",0,1))</f>
        <v>10921.514999999999</v>
      </c>
      <c r="X71" s="3">
        <f>IF(_xlfn.XLOOKUP($U71,GCA!$H$3:$H$593,GCA!G$3:G$593,"",0,1)="","",_xlfn.XLOOKUP($U71,GCA!$H$3:$H$593,GCA!G$3:G$593,"",0,1))</f>
        <v>10510.32</v>
      </c>
    </row>
    <row r="72" spans="1:24" ht="13.2">
      <c r="A72" s="49"/>
      <c r="B72" s="49"/>
      <c r="C72" s="48"/>
      <c r="D72" s="49"/>
      <c r="E72" s="47" t="s">
        <v>564</v>
      </c>
      <c r="F72" s="47"/>
      <c r="G72" s="47"/>
      <c r="H72" s="29">
        <f t="shared" ref="H72" si="92">SUM(H54:H71)</f>
        <v>194972.08499999996</v>
      </c>
      <c r="I72" s="29">
        <f t="shared" ref="I72:P72" si="93">SUM(I54:I71)</f>
        <v>192939.261</v>
      </c>
      <c r="J72" s="29">
        <f t="shared" si="93"/>
        <v>191246.33400000003</v>
      </c>
      <c r="K72" s="29">
        <f t="shared" si="93"/>
        <v>193052.56</v>
      </c>
      <c r="L72" s="29">
        <f t="shared" si="93"/>
        <v>193052.56</v>
      </c>
      <c r="M72" s="30">
        <f t="shared" si="93"/>
        <v>8.1031950071111591</v>
      </c>
      <c r="N72" s="31">
        <f t="shared" si="93"/>
        <v>8</v>
      </c>
      <c r="O72" s="31">
        <f t="shared" si="93"/>
        <v>8</v>
      </c>
      <c r="P72" s="31">
        <f t="shared" si="93"/>
        <v>8</v>
      </c>
      <c r="Q72" s="38"/>
      <c r="R72" s="3" t="str">
        <f t="shared" si="71"/>
        <v>Thiruppur</v>
      </c>
      <c r="S72" s="3">
        <f t="shared" si="89"/>
        <v>0</v>
      </c>
      <c r="T72" s="3">
        <f t="shared" si="90"/>
        <v>0</v>
      </c>
      <c r="U72" s="3" t="str">
        <f t="shared" si="91"/>
        <v>Thiruppur_0_0</v>
      </c>
      <c r="V72" s="3" t="str">
        <f>IF(_xlfn.XLOOKUP($U72,GCA!$H$3:$H$593,GCA!E$3:E$593,"",0,1)="","",_xlfn.XLOOKUP($U72,GCA!$H$3:$H$593,GCA!E$3:E$593,"",0,1))</f>
        <v/>
      </c>
      <c r="W72" s="3" t="str">
        <f>IF(_xlfn.XLOOKUP($U72,GCA!$H$3:$H$593,GCA!F$3:F$593,"",0,1)="","",_xlfn.XLOOKUP($U72,GCA!$H$3:$H$593,GCA!F$3:F$593,"",0,1))</f>
        <v/>
      </c>
      <c r="X72" s="3" t="str">
        <f>IF(_xlfn.XLOOKUP($U72,GCA!$H$3:$H$593,GCA!G$3:G$593,"",0,1)="","",_xlfn.XLOOKUP($U72,GCA!$H$3:$H$593,GCA!G$3:G$593,"",0,1))</f>
        <v/>
      </c>
    </row>
    <row r="73" spans="1:24" ht="13.2">
      <c r="A73" s="49"/>
      <c r="B73" s="49"/>
      <c r="C73" s="54" t="s">
        <v>521</v>
      </c>
      <c r="D73" s="54"/>
      <c r="E73" s="54"/>
      <c r="F73" s="54"/>
      <c r="G73" s="54"/>
      <c r="H73" s="32">
        <f t="shared" ref="H73" si="94">SUM(H72,H53,H33,H24)</f>
        <v>615038.43200000003</v>
      </c>
      <c r="I73" s="32">
        <f t="shared" ref="I73:P73" si="95">SUM(I72,I53,I33,I24)</f>
        <v>601624.91100000008</v>
      </c>
      <c r="J73" s="32">
        <f t="shared" si="95"/>
        <v>618961.60100000002</v>
      </c>
      <c r="K73" s="32">
        <f t="shared" si="95"/>
        <v>611874.9813333333</v>
      </c>
      <c r="L73" s="32">
        <f t="shared" si="95"/>
        <v>611874.9813333333</v>
      </c>
      <c r="M73" s="33">
        <f t="shared" si="95"/>
        <v>25.682862189014742</v>
      </c>
      <c r="N73" s="34">
        <f t="shared" si="95"/>
        <v>27</v>
      </c>
      <c r="O73" s="34">
        <f t="shared" si="95"/>
        <v>27</v>
      </c>
      <c r="P73" s="34">
        <f t="shared" si="95"/>
        <v>27</v>
      </c>
      <c r="Q73" s="38"/>
      <c r="R73" s="3" t="str">
        <f t="shared" ref="R73:R119" si="96">C73</f>
        <v>SRO TOTAL</v>
      </c>
      <c r="S73" s="3">
        <f t="shared" si="89"/>
        <v>0</v>
      </c>
      <c r="T73" s="3">
        <f t="shared" si="90"/>
        <v>0</v>
      </c>
      <c r="U73" s="3" t="str">
        <f t="shared" si="91"/>
        <v>SRO TOTAL_0_0</v>
      </c>
      <c r="V73" s="3" t="str">
        <f>IF(_xlfn.XLOOKUP($U73,GCA!$H$3:$H$593,GCA!E$3:E$593,"",0,1)="","",_xlfn.XLOOKUP($U73,GCA!$H$3:$H$593,GCA!E$3:E$593,"",0,1))</f>
        <v/>
      </c>
      <c r="W73" s="3" t="str">
        <f>IF(_xlfn.XLOOKUP($U73,GCA!$H$3:$H$593,GCA!F$3:F$593,"",0,1)="","",_xlfn.XLOOKUP($U73,GCA!$H$3:$H$593,GCA!F$3:F$593,"",0,1))</f>
        <v/>
      </c>
      <c r="X73" s="3" t="str">
        <f>IF(_xlfn.XLOOKUP($U73,GCA!$H$3:$H$593,GCA!G$3:G$593,"",0,1)="","",_xlfn.XLOOKUP($U73,GCA!$H$3:$H$593,GCA!G$3:G$593,"",0,1))</f>
        <v/>
      </c>
    </row>
    <row r="74" spans="1:24" ht="13.2">
      <c r="A74" s="49"/>
      <c r="B74" s="49" t="s">
        <v>231</v>
      </c>
      <c r="C74" s="48" t="s">
        <v>231</v>
      </c>
      <c r="D74" s="49" t="s">
        <v>524</v>
      </c>
      <c r="E74" s="50">
        <v>1</v>
      </c>
      <c r="F74" s="26" t="s">
        <v>231</v>
      </c>
      <c r="G74" s="26" t="s">
        <v>231</v>
      </c>
      <c r="H74" s="27">
        <f t="shared" ref="H74:H88" si="97">V74</f>
        <v>23861</v>
      </c>
      <c r="I74" s="27">
        <f t="shared" ref="I74:I88" si="98">W74</f>
        <v>22863.3</v>
      </c>
      <c r="J74" s="27">
        <f t="shared" ref="J74:J88" si="99">X74</f>
        <v>21136.2</v>
      </c>
      <c r="K74" s="27">
        <f t="shared" ref="K74:K88" si="100">IFERROR(AVERAGE(H74:J74),"")</f>
        <v>22620.166666666668</v>
      </c>
      <c r="L74" s="65">
        <f>SUM(K74:K77)</f>
        <v>69760.846666666665</v>
      </c>
      <c r="M74" s="67">
        <f t="shared" ref="M74:M88" si="101">L74*$L$643/$L$642</f>
        <v>2.9281442546070378</v>
      </c>
      <c r="N74" s="65">
        <f t="shared" si="86"/>
        <v>3</v>
      </c>
      <c r="O74" s="65">
        <f t="shared" ref="O74:P74" si="102">N74</f>
        <v>3</v>
      </c>
      <c r="P74" s="65">
        <f t="shared" si="102"/>
        <v>3</v>
      </c>
      <c r="Q74" s="38"/>
      <c r="R74" s="3" t="str">
        <f t="shared" si="96"/>
        <v>Dharmapuri</v>
      </c>
      <c r="S74" s="3" t="str">
        <f t="shared" si="89"/>
        <v>Dharmapuri</v>
      </c>
      <c r="T74" s="3" t="str">
        <f t="shared" si="90"/>
        <v>Dharmapuri</v>
      </c>
      <c r="U74" s="3" t="str">
        <f t="shared" si="91"/>
        <v>Dharmapuri_Dharmapuri_Dharmapuri</v>
      </c>
      <c r="V74" s="3">
        <f>IF(_xlfn.XLOOKUP($U74,GCA!$H$3:$H$593,GCA!E$3:E$593,"",0,1)="","",_xlfn.XLOOKUP($U74,GCA!$H$3:$H$593,GCA!E$3:E$593,"",0,1))</f>
        <v>23861</v>
      </c>
      <c r="W74" s="3">
        <f>IF(_xlfn.XLOOKUP($U74,GCA!$H$3:$H$593,GCA!F$3:F$593,"",0,1)="","",_xlfn.XLOOKUP($U74,GCA!$H$3:$H$593,GCA!F$3:F$593,"",0,1))</f>
        <v>22863.3</v>
      </c>
      <c r="X74" s="3">
        <f>IF(_xlfn.XLOOKUP($U74,GCA!$H$3:$H$593,GCA!G$3:G$593,"",0,1)="","",_xlfn.XLOOKUP($U74,GCA!$H$3:$H$593,GCA!G$3:G$593,"",0,1))</f>
        <v>21136.2</v>
      </c>
    </row>
    <row r="75" spans="1:24" ht="13.2">
      <c r="A75" s="49"/>
      <c r="B75" s="49"/>
      <c r="C75" s="48"/>
      <c r="D75" s="49"/>
      <c r="E75" s="50"/>
      <c r="F75" s="26" t="s">
        <v>617</v>
      </c>
      <c r="G75" s="26" t="s">
        <v>617</v>
      </c>
      <c r="H75" s="27">
        <f t="shared" si="97"/>
        <v>36126</v>
      </c>
      <c r="I75" s="27">
        <f t="shared" si="98"/>
        <v>35476.5</v>
      </c>
      <c r="J75" s="27">
        <f t="shared" si="99"/>
        <v>33374.019999999997</v>
      </c>
      <c r="K75" s="27">
        <f t="shared" si="100"/>
        <v>34992.173333333332</v>
      </c>
      <c r="L75" s="65"/>
      <c r="M75" s="67">
        <f t="shared" si="101"/>
        <v>0</v>
      </c>
      <c r="N75" s="65" t="str">
        <f t="shared" si="86"/>
        <v/>
      </c>
      <c r="O75" s="65" t="str">
        <f t="shared" ref="O75:P75" si="103">N75</f>
        <v/>
      </c>
      <c r="P75" s="65" t="str">
        <f t="shared" si="103"/>
        <v/>
      </c>
      <c r="Q75" s="38"/>
      <c r="R75" s="3" t="str">
        <f t="shared" ref="R75:R89" si="104">R74</f>
        <v>Dharmapuri</v>
      </c>
      <c r="S75" s="3" t="str">
        <f t="shared" si="89"/>
        <v>Harur</v>
      </c>
      <c r="T75" s="3" t="str">
        <f t="shared" si="90"/>
        <v>Harur</v>
      </c>
      <c r="U75" s="3" t="str">
        <f t="shared" si="91"/>
        <v>Dharmapuri_Harur_Harur</v>
      </c>
      <c r="V75" s="3">
        <f>IF(_xlfn.XLOOKUP($U75,GCA!$H$3:$H$593,GCA!E$3:E$593,"",0,1)="","",_xlfn.XLOOKUP($U75,GCA!$H$3:$H$593,GCA!E$3:E$593,"",0,1))</f>
        <v>36126</v>
      </c>
      <c r="W75" s="3">
        <f>IF(_xlfn.XLOOKUP($U75,GCA!$H$3:$H$593,GCA!F$3:F$593,"",0,1)="","",_xlfn.XLOOKUP($U75,GCA!$H$3:$H$593,GCA!F$3:F$593,"",0,1))</f>
        <v>35476.5</v>
      </c>
      <c r="X75" s="3">
        <f>IF(_xlfn.XLOOKUP($U75,GCA!$H$3:$H$593,GCA!G$3:G$593,"",0,1)="","",_xlfn.XLOOKUP($U75,GCA!$H$3:$H$593,GCA!G$3:G$593,"",0,1))</f>
        <v>33374.019999999997</v>
      </c>
    </row>
    <row r="76" spans="1:24" ht="13.2">
      <c r="A76" s="49"/>
      <c r="B76" s="49"/>
      <c r="C76" s="48"/>
      <c r="D76" s="49"/>
      <c r="E76" s="50"/>
      <c r="F76" s="26" t="s">
        <v>617</v>
      </c>
      <c r="G76" s="26" t="s">
        <v>618</v>
      </c>
      <c r="H76" s="27">
        <f t="shared" si="97"/>
        <v>1734.4</v>
      </c>
      <c r="I76" s="27">
        <f t="shared" si="98"/>
        <v>1902.5</v>
      </c>
      <c r="J76" s="27">
        <f t="shared" si="99"/>
        <v>1680</v>
      </c>
      <c r="K76" s="27">
        <f t="shared" si="100"/>
        <v>1772.3</v>
      </c>
      <c r="L76" s="65"/>
      <c r="M76" s="67">
        <f t="shared" si="101"/>
        <v>0</v>
      </c>
      <c r="N76" s="65" t="str">
        <f t="shared" si="86"/>
        <v/>
      </c>
      <c r="O76" s="65" t="str">
        <f t="shared" ref="O76:P76" si="105">N76</f>
        <v/>
      </c>
      <c r="P76" s="65" t="str">
        <f t="shared" si="105"/>
        <v/>
      </c>
      <c r="Q76" s="38"/>
      <c r="R76" s="3" t="str">
        <f t="shared" si="104"/>
        <v>Dharmapuri</v>
      </c>
      <c r="S76" s="3" t="str">
        <f t="shared" si="89"/>
        <v>Harur</v>
      </c>
      <c r="T76" s="3" t="str">
        <f t="shared" si="90"/>
        <v>Kadathur</v>
      </c>
      <c r="U76" s="3" t="str">
        <f t="shared" si="91"/>
        <v>Dharmapuri_Harur_Kadathur</v>
      </c>
      <c r="V76" s="3">
        <f>IF(_xlfn.XLOOKUP($U76,GCA!$H$3:$H$593,GCA!E$3:E$593,"",0,1)="","",_xlfn.XLOOKUP($U76,GCA!$H$3:$H$593,GCA!E$3:E$593,"",0,1))</f>
        <v>1734.4</v>
      </c>
      <c r="W76" s="3">
        <f>IF(_xlfn.XLOOKUP($U76,GCA!$H$3:$H$593,GCA!F$3:F$593,"",0,1)="","",_xlfn.XLOOKUP($U76,GCA!$H$3:$H$593,GCA!F$3:F$593,"",0,1))</f>
        <v>1902.5</v>
      </c>
      <c r="X76" s="3">
        <f>IF(_xlfn.XLOOKUP($U76,GCA!$H$3:$H$593,GCA!G$3:G$593,"",0,1)="","",_xlfn.XLOOKUP($U76,GCA!$H$3:$H$593,GCA!G$3:G$593,"",0,1))</f>
        <v>1680</v>
      </c>
    </row>
    <row r="77" spans="1:24" ht="13.2">
      <c r="A77" s="49"/>
      <c r="B77" s="49"/>
      <c r="C77" s="48"/>
      <c r="D77" s="49"/>
      <c r="E77" s="50"/>
      <c r="F77" s="26" t="s">
        <v>617</v>
      </c>
      <c r="G77" s="26" t="s">
        <v>620</v>
      </c>
      <c r="H77" s="27">
        <f t="shared" si="97"/>
        <v>10910.2</v>
      </c>
      <c r="I77" s="27">
        <f t="shared" si="98"/>
        <v>9896</v>
      </c>
      <c r="J77" s="27">
        <f t="shared" si="99"/>
        <v>10322.42</v>
      </c>
      <c r="K77" s="27">
        <f t="shared" si="100"/>
        <v>10376.206666666667</v>
      </c>
      <c r="L77" s="65"/>
      <c r="M77" s="67">
        <f t="shared" si="101"/>
        <v>0</v>
      </c>
      <c r="N77" s="65" t="str">
        <f t="shared" si="86"/>
        <v/>
      </c>
      <c r="O77" s="65" t="str">
        <f t="shared" ref="O77:P77" si="106">N77</f>
        <v/>
      </c>
      <c r="P77" s="65" t="str">
        <f t="shared" si="106"/>
        <v/>
      </c>
      <c r="Q77" s="38"/>
      <c r="R77" s="3" t="str">
        <f t="shared" si="104"/>
        <v>Dharmapuri</v>
      </c>
      <c r="S77" s="3" t="str">
        <f t="shared" si="89"/>
        <v>Harur</v>
      </c>
      <c r="T77" s="3" t="str">
        <f t="shared" si="90"/>
        <v>Morappur</v>
      </c>
      <c r="U77" s="3" t="str">
        <f t="shared" si="91"/>
        <v>Dharmapuri_Harur_Morappur</v>
      </c>
      <c r="V77" s="3">
        <f>IF(_xlfn.XLOOKUP($U77,GCA!$H$3:$H$593,GCA!E$3:E$593,"",0,1)="","",_xlfn.XLOOKUP($U77,GCA!$H$3:$H$593,GCA!E$3:E$593,"",0,1))</f>
        <v>10910.2</v>
      </c>
      <c r="W77" s="3">
        <f>IF(_xlfn.XLOOKUP($U77,GCA!$H$3:$H$593,GCA!F$3:F$593,"",0,1)="","",_xlfn.XLOOKUP($U77,GCA!$H$3:$H$593,GCA!F$3:F$593,"",0,1))</f>
        <v>9896</v>
      </c>
      <c r="X77" s="3">
        <f>IF(_xlfn.XLOOKUP($U77,GCA!$H$3:$H$593,GCA!G$3:G$593,"",0,1)="","",_xlfn.XLOOKUP($U77,GCA!$H$3:$H$593,GCA!G$3:G$593,"",0,1))</f>
        <v>10322.42</v>
      </c>
    </row>
    <row r="78" spans="1:24" ht="13.2">
      <c r="A78" s="49"/>
      <c r="B78" s="49"/>
      <c r="C78" s="48"/>
      <c r="D78" s="49"/>
      <c r="E78" s="50">
        <v>2</v>
      </c>
      <c r="F78" s="26" t="s">
        <v>619</v>
      </c>
      <c r="G78" s="26" t="s">
        <v>620</v>
      </c>
      <c r="H78" s="27">
        <f t="shared" si="97"/>
        <v>10549</v>
      </c>
      <c r="I78" s="27">
        <f t="shared" si="98"/>
        <v>9354</v>
      </c>
      <c r="J78" s="27">
        <f t="shared" si="99"/>
        <v>9127</v>
      </c>
      <c r="K78" s="27">
        <f t="shared" si="100"/>
        <v>9676.6666666666661</v>
      </c>
      <c r="L78" s="65">
        <f>SUM(K78:K80)</f>
        <v>58380.485000000001</v>
      </c>
      <c r="M78" s="67">
        <f t="shared" si="101"/>
        <v>2.4504645499895359</v>
      </c>
      <c r="N78" s="65">
        <f t="shared" si="86"/>
        <v>2</v>
      </c>
      <c r="O78" s="65">
        <f t="shared" ref="O78:P78" si="107">N78</f>
        <v>2</v>
      </c>
      <c r="P78" s="65">
        <f t="shared" si="107"/>
        <v>2</v>
      </c>
      <c r="Q78" s="38"/>
      <c r="R78" s="3" t="str">
        <f t="shared" si="104"/>
        <v>Dharmapuri</v>
      </c>
      <c r="S78" s="3" t="str">
        <f t="shared" si="89"/>
        <v>Karimangalam</v>
      </c>
      <c r="T78" s="3" t="str">
        <f t="shared" si="90"/>
        <v>Morappur</v>
      </c>
      <c r="U78" s="3" t="str">
        <f t="shared" si="91"/>
        <v>Dharmapuri_Karimangalam_Morappur</v>
      </c>
      <c r="V78" s="3">
        <f>IF(_xlfn.XLOOKUP($U78,GCA!$H$3:$H$593,GCA!E$3:E$593,"",0,1)="","",_xlfn.XLOOKUP($U78,GCA!$H$3:$H$593,GCA!E$3:E$593,"",0,1))</f>
        <v>10549</v>
      </c>
      <c r="W78" s="3">
        <f>IF(_xlfn.XLOOKUP($U78,GCA!$H$3:$H$593,GCA!F$3:F$593,"",0,1)="","",_xlfn.XLOOKUP($U78,GCA!$H$3:$H$593,GCA!F$3:F$593,"",0,1))</f>
        <v>9354</v>
      </c>
      <c r="X78" s="3">
        <f>IF(_xlfn.XLOOKUP($U78,GCA!$H$3:$H$593,GCA!G$3:G$593,"",0,1)="","",_xlfn.XLOOKUP($U78,GCA!$H$3:$H$593,GCA!G$3:G$593,"",0,1))</f>
        <v>9127</v>
      </c>
    </row>
    <row r="79" spans="1:24" ht="13.2">
      <c r="A79" s="49"/>
      <c r="B79" s="49"/>
      <c r="C79" s="48"/>
      <c r="D79" s="49"/>
      <c r="E79" s="50"/>
      <c r="F79" s="26" t="s">
        <v>619</v>
      </c>
      <c r="G79" s="26" t="s">
        <v>619</v>
      </c>
      <c r="H79" s="27">
        <f t="shared" si="97"/>
        <v>22656.5</v>
      </c>
      <c r="I79" s="27">
        <f t="shared" si="98"/>
        <v>22249</v>
      </c>
      <c r="J79" s="27">
        <f t="shared" si="99"/>
        <v>25022</v>
      </c>
      <c r="K79" s="27">
        <f t="shared" si="100"/>
        <v>23309.166666666668</v>
      </c>
      <c r="L79" s="65"/>
      <c r="M79" s="67">
        <f t="shared" si="101"/>
        <v>0</v>
      </c>
      <c r="N79" s="65" t="str">
        <f t="shared" si="86"/>
        <v/>
      </c>
      <c r="O79" s="65" t="str">
        <f t="shared" ref="O79:P79" si="108">N79</f>
        <v/>
      </c>
      <c r="P79" s="65" t="str">
        <f t="shared" si="108"/>
        <v/>
      </c>
      <c r="Q79" s="38"/>
      <c r="R79" s="3" t="str">
        <f t="shared" si="104"/>
        <v>Dharmapuri</v>
      </c>
      <c r="S79" s="3" t="str">
        <f t="shared" si="89"/>
        <v>Karimangalam</v>
      </c>
      <c r="T79" s="3" t="str">
        <f t="shared" si="90"/>
        <v>Karimangalam</v>
      </c>
      <c r="U79" s="3" t="str">
        <f t="shared" si="91"/>
        <v>Dharmapuri_Karimangalam_Karimangalam</v>
      </c>
      <c r="V79" s="3">
        <f>IF(_xlfn.XLOOKUP($U79,GCA!$H$3:$H$593,GCA!E$3:E$593,"",0,1)="","",_xlfn.XLOOKUP($U79,GCA!$H$3:$H$593,GCA!E$3:E$593,"",0,1))</f>
        <v>22656.5</v>
      </c>
      <c r="W79" s="3">
        <f>IF(_xlfn.XLOOKUP($U79,GCA!$H$3:$H$593,GCA!F$3:F$593,"",0,1)="","",_xlfn.XLOOKUP($U79,GCA!$H$3:$H$593,GCA!F$3:F$593,"",0,1))</f>
        <v>22249</v>
      </c>
      <c r="X79" s="3">
        <f>IF(_xlfn.XLOOKUP($U79,GCA!$H$3:$H$593,GCA!G$3:G$593,"",0,1)="","",_xlfn.XLOOKUP($U79,GCA!$H$3:$H$593,GCA!G$3:G$593,"",0,1))</f>
        <v>25022</v>
      </c>
    </row>
    <row r="80" spans="1:24" ht="13.2">
      <c r="A80" s="49"/>
      <c r="B80" s="49"/>
      <c r="C80" s="48"/>
      <c r="D80" s="49"/>
      <c r="E80" s="50"/>
      <c r="F80" s="26" t="s">
        <v>1008</v>
      </c>
      <c r="G80" s="26" t="s">
        <v>1008</v>
      </c>
      <c r="H80" s="27">
        <f t="shared" si="97"/>
        <v>26100.255000000001</v>
      </c>
      <c r="I80" s="27">
        <f t="shared" si="98"/>
        <v>24538.7</v>
      </c>
      <c r="J80" s="27">
        <f t="shared" si="99"/>
        <v>25545</v>
      </c>
      <c r="K80" s="27">
        <f t="shared" si="100"/>
        <v>25394.651666666668</v>
      </c>
      <c r="L80" s="65"/>
      <c r="M80" s="67">
        <f t="shared" si="101"/>
        <v>0</v>
      </c>
      <c r="N80" s="65" t="str">
        <f t="shared" si="86"/>
        <v/>
      </c>
      <c r="O80" s="65" t="str">
        <f t="shared" ref="O80:P80" si="109">N80</f>
        <v/>
      </c>
      <c r="P80" s="65" t="str">
        <f t="shared" si="109"/>
        <v/>
      </c>
      <c r="Q80" s="38"/>
      <c r="R80" s="3" t="str">
        <f t="shared" si="104"/>
        <v>Dharmapuri</v>
      </c>
      <c r="S80" s="3" t="str">
        <f t="shared" si="89"/>
        <v>Nallampalli</v>
      </c>
      <c r="T80" s="3" t="str">
        <f t="shared" si="90"/>
        <v>Nallampalli</v>
      </c>
      <c r="U80" s="3" t="str">
        <f t="shared" si="91"/>
        <v>Dharmapuri_Nallampalli_Nallampalli</v>
      </c>
      <c r="V80" s="3">
        <f>IF(_xlfn.XLOOKUP($U80,GCA!$H$3:$H$593,GCA!E$3:E$593,"",0,1)="","",_xlfn.XLOOKUP($U80,GCA!$H$3:$H$593,GCA!E$3:E$593,"",0,1))</f>
        <v>26100.255000000001</v>
      </c>
      <c r="W80" s="3">
        <f>IF(_xlfn.XLOOKUP($U80,GCA!$H$3:$H$593,GCA!F$3:F$593,"",0,1)="","",_xlfn.XLOOKUP($U80,GCA!$H$3:$H$593,GCA!F$3:F$593,"",0,1))</f>
        <v>24538.7</v>
      </c>
      <c r="X80" s="3">
        <f>IF(_xlfn.XLOOKUP($U80,GCA!$H$3:$H$593,GCA!G$3:G$593,"",0,1)="","",_xlfn.XLOOKUP($U80,GCA!$H$3:$H$593,GCA!G$3:G$593,"",0,1))</f>
        <v>25545</v>
      </c>
    </row>
    <row r="81" spans="1:24" ht="13.2">
      <c r="A81" s="49"/>
      <c r="B81" s="49"/>
      <c r="C81" s="48"/>
      <c r="D81" s="49"/>
      <c r="E81" s="50">
        <v>3</v>
      </c>
      <c r="F81" s="26" t="s">
        <v>621</v>
      </c>
      <c r="G81" s="26" t="s">
        <v>619</v>
      </c>
      <c r="H81" s="27">
        <f t="shared" si="97"/>
        <v>9854</v>
      </c>
      <c r="I81" s="27">
        <f t="shared" si="98"/>
        <v>9481.7999999999993</v>
      </c>
      <c r="J81" s="27">
        <f t="shared" si="99"/>
        <v>8505</v>
      </c>
      <c r="K81" s="27">
        <f t="shared" si="100"/>
        <v>9280.2666666666664</v>
      </c>
      <c r="L81" s="65">
        <f>SUM(K81:K82)</f>
        <v>43399</v>
      </c>
      <c r="M81" s="67">
        <f t="shared" si="101"/>
        <v>1.8216311667331277</v>
      </c>
      <c r="N81" s="65">
        <f t="shared" si="86"/>
        <v>2</v>
      </c>
      <c r="O81" s="65">
        <f t="shared" ref="O81:P81" si="110">N81</f>
        <v>2</v>
      </c>
      <c r="P81" s="65">
        <f t="shared" si="110"/>
        <v>2</v>
      </c>
      <c r="Q81" s="38"/>
      <c r="R81" s="3" t="str">
        <f t="shared" si="104"/>
        <v>Dharmapuri</v>
      </c>
      <c r="S81" s="3" t="str">
        <f t="shared" si="89"/>
        <v>Palacode</v>
      </c>
      <c r="T81" s="3" t="str">
        <f t="shared" si="90"/>
        <v>Karimangalam</v>
      </c>
      <c r="U81" s="3" t="str">
        <f t="shared" si="91"/>
        <v>Dharmapuri_Palacode_Karimangalam</v>
      </c>
      <c r="V81" s="3">
        <f>IF(_xlfn.XLOOKUP($U81,GCA!$H$3:$H$593,GCA!E$3:E$593,"",0,1)="","",_xlfn.XLOOKUP($U81,GCA!$H$3:$H$593,GCA!E$3:E$593,"",0,1))</f>
        <v>9854</v>
      </c>
      <c r="W81" s="3">
        <f>IF(_xlfn.XLOOKUP($U81,GCA!$H$3:$H$593,GCA!F$3:F$593,"",0,1)="","",_xlfn.XLOOKUP($U81,GCA!$H$3:$H$593,GCA!F$3:F$593,"",0,1))</f>
        <v>9481.7999999999993</v>
      </c>
      <c r="X81" s="3">
        <f>IF(_xlfn.XLOOKUP($U81,GCA!$H$3:$H$593,GCA!G$3:G$593,"",0,1)="","",_xlfn.XLOOKUP($U81,GCA!$H$3:$H$593,GCA!G$3:G$593,"",0,1))</f>
        <v>8505</v>
      </c>
    </row>
    <row r="82" spans="1:24" ht="13.2">
      <c r="A82" s="49"/>
      <c r="B82" s="49"/>
      <c r="C82" s="48"/>
      <c r="D82" s="49"/>
      <c r="E82" s="50"/>
      <c r="F82" s="26" t="s">
        <v>621</v>
      </c>
      <c r="G82" s="26" t="s">
        <v>621</v>
      </c>
      <c r="H82" s="27">
        <f t="shared" si="97"/>
        <v>34830</v>
      </c>
      <c r="I82" s="27">
        <f t="shared" si="98"/>
        <v>33624.199999999997</v>
      </c>
      <c r="J82" s="27">
        <f t="shared" si="99"/>
        <v>33902</v>
      </c>
      <c r="K82" s="27">
        <f t="shared" si="100"/>
        <v>34118.73333333333</v>
      </c>
      <c r="L82" s="65"/>
      <c r="M82" s="67">
        <f t="shared" si="101"/>
        <v>0</v>
      </c>
      <c r="N82" s="65" t="str">
        <f t="shared" si="86"/>
        <v/>
      </c>
      <c r="O82" s="65" t="str">
        <f t="shared" ref="O82:P82" si="111">N82</f>
        <v/>
      </c>
      <c r="P82" s="65" t="str">
        <f t="shared" si="111"/>
        <v/>
      </c>
      <c r="Q82" s="38"/>
      <c r="R82" s="3" t="str">
        <f t="shared" si="104"/>
        <v>Dharmapuri</v>
      </c>
      <c r="S82" s="3" t="str">
        <f t="shared" si="89"/>
        <v>Palacode</v>
      </c>
      <c r="T82" s="3" t="str">
        <f t="shared" si="90"/>
        <v>Palacode</v>
      </c>
      <c r="U82" s="3" t="str">
        <f t="shared" si="91"/>
        <v>Dharmapuri_Palacode_Palacode</v>
      </c>
      <c r="V82" s="3">
        <f>IF(_xlfn.XLOOKUP($U82,GCA!$H$3:$H$593,GCA!E$3:E$593,"",0,1)="","",_xlfn.XLOOKUP($U82,GCA!$H$3:$H$593,GCA!E$3:E$593,"",0,1))</f>
        <v>34830</v>
      </c>
      <c r="W82" s="3">
        <f>IF(_xlfn.XLOOKUP($U82,GCA!$H$3:$H$593,GCA!F$3:F$593,"",0,1)="","",_xlfn.XLOOKUP($U82,GCA!$H$3:$H$593,GCA!F$3:F$593,"",0,1))</f>
        <v>33624.199999999997</v>
      </c>
      <c r="X82" s="3">
        <f>IF(_xlfn.XLOOKUP($U82,GCA!$H$3:$H$593,GCA!G$3:G$593,"",0,1)="","",_xlfn.XLOOKUP($U82,GCA!$H$3:$H$593,GCA!G$3:G$593,"",0,1))</f>
        <v>33902</v>
      </c>
    </row>
    <row r="83" spans="1:24" ht="13.2">
      <c r="A83" s="49"/>
      <c r="B83" s="49"/>
      <c r="C83" s="48"/>
      <c r="D83" s="49"/>
      <c r="E83" s="50">
        <v>4</v>
      </c>
      <c r="F83" s="26" t="s">
        <v>622</v>
      </c>
      <c r="G83" s="26" t="s">
        <v>617</v>
      </c>
      <c r="H83" s="27">
        <f t="shared" si="97"/>
        <v>5281.1</v>
      </c>
      <c r="I83" s="27">
        <f t="shared" si="98"/>
        <v>5647.4</v>
      </c>
      <c r="J83" s="27">
        <f t="shared" si="99"/>
        <v>6412.1</v>
      </c>
      <c r="K83" s="27">
        <f t="shared" si="100"/>
        <v>5780.2</v>
      </c>
      <c r="L83" s="65">
        <f>SUM(K83:K88)</f>
        <v>83175.17333333334</v>
      </c>
      <c r="M83" s="67">
        <f t="shared" si="101"/>
        <v>3.4911976783435139</v>
      </c>
      <c r="N83" s="65">
        <f t="shared" si="86"/>
        <v>3</v>
      </c>
      <c r="O83" s="65">
        <f t="shared" ref="O83:P83" si="112">N83</f>
        <v>3</v>
      </c>
      <c r="P83" s="65">
        <f t="shared" si="112"/>
        <v>3</v>
      </c>
      <c r="Q83" s="38"/>
      <c r="R83" s="3" t="str">
        <f t="shared" si="104"/>
        <v>Dharmapuri</v>
      </c>
      <c r="S83" s="3" t="str">
        <f t="shared" si="89"/>
        <v>Pappireddipatty</v>
      </c>
      <c r="T83" s="3" t="str">
        <f t="shared" si="90"/>
        <v>Harur</v>
      </c>
      <c r="U83" s="3" t="str">
        <f t="shared" si="91"/>
        <v>Dharmapuri_Pappireddipatty_Harur</v>
      </c>
      <c r="V83" s="3">
        <f>IF(_xlfn.XLOOKUP($U83,GCA!$H$3:$H$593,GCA!E$3:E$593,"",0,1)="","",_xlfn.XLOOKUP($U83,GCA!$H$3:$H$593,GCA!E$3:E$593,"",0,1))</f>
        <v>5281.1</v>
      </c>
      <c r="W83" s="3">
        <f>IF(_xlfn.XLOOKUP($U83,GCA!$H$3:$H$593,GCA!F$3:F$593,"",0,1)="","",_xlfn.XLOOKUP($U83,GCA!$H$3:$H$593,GCA!F$3:F$593,"",0,1))</f>
        <v>5647.4</v>
      </c>
      <c r="X83" s="3">
        <f>IF(_xlfn.XLOOKUP($U83,GCA!$H$3:$H$593,GCA!G$3:G$593,"",0,1)="","",_xlfn.XLOOKUP($U83,GCA!$H$3:$H$593,GCA!G$3:G$593,"",0,1))</f>
        <v>6412.1</v>
      </c>
    </row>
    <row r="84" spans="1:24" ht="13.2">
      <c r="A84" s="49"/>
      <c r="B84" s="49"/>
      <c r="C84" s="48"/>
      <c r="D84" s="49"/>
      <c r="E84" s="50"/>
      <c r="F84" s="26" t="s">
        <v>622</v>
      </c>
      <c r="G84" s="26" t="s">
        <v>618</v>
      </c>
      <c r="H84" s="27">
        <f t="shared" si="97"/>
        <v>17433.099999999999</v>
      </c>
      <c r="I84" s="27">
        <f t="shared" si="98"/>
        <v>17528</v>
      </c>
      <c r="J84" s="27">
        <f t="shared" si="99"/>
        <v>19823</v>
      </c>
      <c r="K84" s="27">
        <f t="shared" si="100"/>
        <v>18261.366666666665</v>
      </c>
      <c r="L84" s="65"/>
      <c r="M84" s="67">
        <f t="shared" si="101"/>
        <v>0</v>
      </c>
      <c r="N84" s="65" t="str">
        <f t="shared" si="86"/>
        <v/>
      </c>
      <c r="O84" s="65" t="str">
        <f t="shared" ref="O84:P84" si="113">N84</f>
        <v/>
      </c>
      <c r="P84" s="65" t="str">
        <f t="shared" si="113"/>
        <v/>
      </c>
      <c r="Q84" s="38"/>
      <c r="R84" s="3" t="str">
        <f t="shared" si="104"/>
        <v>Dharmapuri</v>
      </c>
      <c r="S84" s="3" t="str">
        <f t="shared" si="89"/>
        <v>Pappireddipatty</v>
      </c>
      <c r="T84" s="3" t="str">
        <f t="shared" si="90"/>
        <v>Kadathur</v>
      </c>
      <c r="U84" s="3" t="str">
        <f t="shared" si="91"/>
        <v>Dharmapuri_Pappireddipatty_Kadathur</v>
      </c>
      <c r="V84" s="3">
        <f>IF(_xlfn.XLOOKUP($U84,GCA!$H$3:$H$593,GCA!E$3:E$593,"",0,1)="","",_xlfn.XLOOKUP($U84,GCA!$H$3:$H$593,GCA!E$3:E$593,"",0,1))</f>
        <v>17433.099999999999</v>
      </c>
      <c r="W84" s="3">
        <f>IF(_xlfn.XLOOKUP($U84,GCA!$H$3:$H$593,GCA!F$3:F$593,"",0,1)="","",_xlfn.XLOOKUP($U84,GCA!$H$3:$H$593,GCA!F$3:F$593,"",0,1))</f>
        <v>17528</v>
      </c>
      <c r="X84" s="3">
        <f>IF(_xlfn.XLOOKUP($U84,GCA!$H$3:$H$593,GCA!G$3:G$593,"",0,1)="","",_xlfn.XLOOKUP($U84,GCA!$H$3:$H$593,GCA!G$3:G$593,"",0,1))</f>
        <v>19823</v>
      </c>
    </row>
    <row r="85" spans="1:24" ht="13.2">
      <c r="A85" s="49"/>
      <c r="B85" s="49"/>
      <c r="C85" s="48"/>
      <c r="D85" s="49"/>
      <c r="E85" s="50"/>
      <c r="F85" s="26" t="s">
        <v>622</v>
      </c>
      <c r="G85" s="26" t="s">
        <v>620</v>
      </c>
      <c r="H85" s="27">
        <f t="shared" si="97"/>
        <v>1141.5</v>
      </c>
      <c r="I85" s="27">
        <f t="shared" si="98"/>
        <v>1005</v>
      </c>
      <c r="J85" s="27">
        <f t="shared" si="99"/>
        <v>693</v>
      </c>
      <c r="K85" s="27">
        <f t="shared" si="100"/>
        <v>946.5</v>
      </c>
      <c r="L85" s="65"/>
      <c r="M85" s="67">
        <f t="shared" si="101"/>
        <v>0</v>
      </c>
      <c r="N85" s="65" t="str">
        <f t="shared" si="86"/>
        <v/>
      </c>
      <c r="O85" s="65" t="str">
        <f t="shared" ref="O85:P85" si="114">N85</f>
        <v/>
      </c>
      <c r="P85" s="65" t="str">
        <f t="shared" si="114"/>
        <v/>
      </c>
      <c r="Q85" s="38"/>
      <c r="R85" s="3" t="str">
        <f t="shared" si="104"/>
        <v>Dharmapuri</v>
      </c>
      <c r="S85" s="3" t="str">
        <f t="shared" si="89"/>
        <v>Pappireddipatty</v>
      </c>
      <c r="T85" s="3" t="str">
        <f t="shared" si="90"/>
        <v>Morappur</v>
      </c>
      <c r="U85" s="3" t="str">
        <f t="shared" si="91"/>
        <v>Dharmapuri_Pappireddipatty_Morappur</v>
      </c>
      <c r="V85" s="3">
        <f>IF(_xlfn.XLOOKUP($U85,GCA!$H$3:$H$593,GCA!E$3:E$593,"",0,1)="","",_xlfn.XLOOKUP($U85,GCA!$H$3:$H$593,GCA!E$3:E$593,"",0,1))</f>
        <v>1141.5</v>
      </c>
      <c r="W85" s="3">
        <f>IF(_xlfn.XLOOKUP($U85,GCA!$H$3:$H$593,GCA!F$3:F$593,"",0,1)="","",_xlfn.XLOOKUP($U85,GCA!$H$3:$H$593,GCA!F$3:F$593,"",0,1))</f>
        <v>1005</v>
      </c>
      <c r="X85" s="3">
        <f>IF(_xlfn.XLOOKUP($U85,GCA!$H$3:$H$593,GCA!G$3:G$593,"",0,1)="","",_xlfn.XLOOKUP($U85,GCA!$H$3:$H$593,GCA!G$3:G$593,"",0,1))</f>
        <v>693</v>
      </c>
    </row>
    <row r="86" spans="1:24" ht="13.2">
      <c r="A86" s="49"/>
      <c r="B86" s="49"/>
      <c r="C86" s="48"/>
      <c r="D86" s="49"/>
      <c r="E86" s="50"/>
      <c r="F86" s="26" t="s">
        <v>622</v>
      </c>
      <c r="G86" s="26" t="s">
        <v>622</v>
      </c>
      <c r="H86" s="27">
        <f t="shared" si="97"/>
        <v>31622.6</v>
      </c>
      <c r="I86" s="27">
        <f t="shared" si="98"/>
        <v>26836</v>
      </c>
      <c r="J86" s="27">
        <f t="shared" si="99"/>
        <v>26231.72</v>
      </c>
      <c r="K86" s="27">
        <f t="shared" si="100"/>
        <v>28230.10666666667</v>
      </c>
      <c r="L86" s="65"/>
      <c r="M86" s="67">
        <f t="shared" si="101"/>
        <v>0</v>
      </c>
      <c r="N86" s="65" t="str">
        <f t="shared" si="86"/>
        <v/>
      </c>
      <c r="O86" s="65" t="str">
        <f t="shared" ref="O86:P86" si="115">N86</f>
        <v/>
      </c>
      <c r="P86" s="65" t="str">
        <f t="shared" si="115"/>
        <v/>
      </c>
      <c r="Q86" s="38"/>
      <c r="R86" s="3" t="str">
        <f t="shared" si="104"/>
        <v>Dharmapuri</v>
      </c>
      <c r="S86" s="3" t="str">
        <f t="shared" si="89"/>
        <v>Pappireddipatty</v>
      </c>
      <c r="T86" s="3" t="str">
        <f t="shared" si="90"/>
        <v>Pappireddipatty</v>
      </c>
      <c r="U86" s="3" t="str">
        <f t="shared" si="91"/>
        <v>Dharmapuri_Pappireddipatty_Pappireddipatty</v>
      </c>
      <c r="V86" s="3">
        <f>IF(_xlfn.XLOOKUP($U86,GCA!$H$3:$H$593,GCA!E$3:E$593,"",0,1)="","",_xlfn.XLOOKUP($U86,GCA!$H$3:$H$593,GCA!E$3:E$593,"",0,1))</f>
        <v>31622.6</v>
      </c>
      <c r="W86" s="3">
        <f>IF(_xlfn.XLOOKUP($U86,GCA!$H$3:$H$593,GCA!F$3:F$593,"",0,1)="","",_xlfn.XLOOKUP($U86,GCA!$H$3:$H$593,GCA!F$3:F$593,"",0,1))</f>
        <v>26836</v>
      </c>
      <c r="X86" s="3">
        <f>IF(_xlfn.XLOOKUP($U86,GCA!$H$3:$H$593,GCA!G$3:G$593,"",0,1)="","",_xlfn.XLOOKUP($U86,GCA!$H$3:$H$593,GCA!G$3:G$593,"",0,1))</f>
        <v>26231.72</v>
      </c>
    </row>
    <row r="87" spans="1:24" ht="13.2">
      <c r="A87" s="49"/>
      <c r="B87" s="49"/>
      <c r="C87" s="48"/>
      <c r="D87" s="49"/>
      <c r="E87" s="50"/>
      <c r="F87" s="26" t="s">
        <v>623</v>
      </c>
      <c r="G87" s="26" t="s">
        <v>624</v>
      </c>
      <c r="H87" s="27">
        <f t="shared" si="97"/>
        <v>9552</v>
      </c>
      <c r="I87" s="27">
        <f t="shared" si="98"/>
        <v>10197.5</v>
      </c>
      <c r="J87" s="27">
        <f t="shared" si="99"/>
        <v>8946.3700000000008</v>
      </c>
      <c r="K87" s="27">
        <f t="shared" si="100"/>
        <v>9565.2900000000009</v>
      </c>
      <c r="L87" s="65"/>
      <c r="M87" s="67">
        <f t="shared" si="101"/>
        <v>0</v>
      </c>
      <c r="N87" s="65" t="str">
        <f t="shared" si="86"/>
        <v/>
      </c>
      <c r="O87" s="65" t="str">
        <f t="shared" ref="O87:P87" si="116">N87</f>
        <v/>
      </c>
      <c r="P87" s="65" t="str">
        <f t="shared" si="116"/>
        <v/>
      </c>
      <c r="Q87" s="38"/>
      <c r="R87" s="3" t="str">
        <f t="shared" si="104"/>
        <v>Dharmapuri</v>
      </c>
      <c r="S87" s="3" t="str">
        <f t="shared" si="89"/>
        <v>Pennagaram</v>
      </c>
      <c r="T87" s="3" t="str">
        <f t="shared" si="90"/>
        <v>Eriyur</v>
      </c>
      <c r="U87" s="3" t="str">
        <f t="shared" si="91"/>
        <v>Dharmapuri_Pennagaram_Eriyur</v>
      </c>
      <c r="V87" s="3">
        <f>IF(_xlfn.XLOOKUP($U87,GCA!$H$3:$H$593,GCA!E$3:E$593,"",0,1)="","",_xlfn.XLOOKUP($U87,GCA!$H$3:$H$593,GCA!E$3:E$593,"",0,1))</f>
        <v>9552</v>
      </c>
      <c r="W87" s="3">
        <f>IF(_xlfn.XLOOKUP($U87,GCA!$H$3:$H$593,GCA!F$3:F$593,"",0,1)="","",_xlfn.XLOOKUP($U87,GCA!$H$3:$H$593,GCA!F$3:F$593,"",0,1))</f>
        <v>10197.5</v>
      </c>
      <c r="X87" s="3">
        <f>IF(_xlfn.XLOOKUP($U87,GCA!$H$3:$H$593,GCA!G$3:G$593,"",0,1)="","",_xlfn.XLOOKUP($U87,GCA!$H$3:$H$593,GCA!G$3:G$593,"",0,1))</f>
        <v>8946.3700000000008</v>
      </c>
    </row>
    <row r="88" spans="1:24" ht="13.2">
      <c r="A88" s="49"/>
      <c r="B88" s="49"/>
      <c r="C88" s="48"/>
      <c r="D88" s="49"/>
      <c r="E88" s="50"/>
      <c r="F88" s="26" t="s">
        <v>623</v>
      </c>
      <c r="G88" s="26" t="s">
        <v>623</v>
      </c>
      <c r="H88" s="27">
        <f t="shared" si="97"/>
        <v>20899</v>
      </c>
      <c r="I88" s="27">
        <f t="shared" si="98"/>
        <v>20635.5</v>
      </c>
      <c r="J88" s="27">
        <f t="shared" si="99"/>
        <v>19640.63</v>
      </c>
      <c r="K88" s="27">
        <f t="shared" si="100"/>
        <v>20391.710000000003</v>
      </c>
      <c r="L88" s="65"/>
      <c r="M88" s="67">
        <f t="shared" si="101"/>
        <v>0</v>
      </c>
      <c r="N88" s="65" t="str">
        <f t="shared" si="86"/>
        <v/>
      </c>
      <c r="O88" s="65" t="str">
        <f t="shared" ref="O88:P88" si="117">N88</f>
        <v/>
      </c>
      <c r="P88" s="65" t="str">
        <f t="shared" si="117"/>
        <v/>
      </c>
      <c r="Q88" s="38"/>
      <c r="R88" s="3" t="str">
        <f t="shared" si="104"/>
        <v>Dharmapuri</v>
      </c>
      <c r="S88" s="3" t="str">
        <f t="shared" si="89"/>
        <v>Pennagaram</v>
      </c>
      <c r="T88" s="3" t="str">
        <f t="shared" si="90"/>
        <v>Pennagaram</v>
      </c>
      <c r="U88" s="3" t="str">
        <f t="shared" si="91"/>
        <v>Dharmapuri_Pennagaram_Pennagaram</v>
      </c>
      <c r="V88" s="3">
        <f>IF(_xlfn.XLOOKUP($U88,GCA!$H$3:$H$593,GCA!E$3:E$593,"",0,1)="","",_xlfn.XLOOKUP($U88,GCA!$H$3:$H$593,GCA!E$3:E$593,"",0,1))</f>
        <v>20899</v>
      </c>
      <c r="W88" s="3">
        <f>IF(_xlfn.XLOOKUP($U88,GCA!$H$3:$H$593,GCA!F$3:F$593,"",0,1)="","",_xlfn.XLOOKUP($U88,GCA!$H$3:$H$593,GCA!F$3:F$593,"",0,1))</f>
        <v>20635.5</v>
      </c>
      <c r="X88" s="3">
        <f>IF(_xlfn.XLOOKUP($U88,GCA!$H$3:$H$593,GCA!G$3:G$593,"",0,1)="","",_xlfn.XLOOKUP($U88,GCA!$H$3:$H$593,GCA!G$3:G$593,"",0,1))</f>
        <v>19640.63</v>
      </c>
    </row>
    <row r="89" spans="1:24" ht="13.2">
      <c r="A89" s="49"/>
      <c r="B89" s="49"/>
      <c r="C89" s="48"/>
      <c r="D89" s="49"/>
      <c r="E89" s="47" t="s">
        <v>564</v>
      </c>
      <c r="F89" s="47"/>
      <c r="G89" s="47"/>
      <c r="H89" s="29">
        <f t="shared" ref="H89:P89" si="118">SUM(H74:H88)</f>
        <v>262550.65500000003</v>
      </c>
      <c r="I89" s="29">
        <f t="shared" si="118"/>
        <v>251235.4</v>
      </c>
      <c r="J89" s="29">
        <f t="shared" si="118"/>
        <v>250360.46000000002</v>
      </c>
      <c r="K89" s="29">
        <f t="shared" si="118"/>
        <v>254715.50500000003</v>
      </c>
      <c r="L89" s="29">
        <f t="shared" si="118"/>
        <v>254715.505</v>
      </c>
      <c r="M89" s="30">
        <f t="shared" si="118"/>
        <v>10.691437649673215</v>
      </c>
      <c r="N89" s="31">
        <f t="shared" si="118"/>
        <v>10</v>
      </c>
      <c r="O89" s="31">
        <f t="shared" si="118"/>
        <v>10</v>
      </c>
      <c r="P89" s="31">
        <f t="shared" si="118"/>
        <v>10</v>
      </c>
      <c r="Q89" s="38"/>
      <c r="R89" s="3" t="str">
        <f t="shared" si="104"/>
        <v>Dharmapuri</v>
      </c>
      <c r="S89" s="3">
        <f t="shared" si="89"/>
        <v>0</v>
      </c>
      <c r="T89" s="3">
        <f t="shared" si="90"/>
        <v>0</v>
      </c>
      <c r="U89" s="3" t="str">
        <f t="shared" si="91"/>
        <v>Dharmapuri_0_0</v>
      </c>
      <c r="V89" s="3" t="str">
        <f>IF(_xlfn.XLOOKUP($U89,GCA!$H$3:$H$593,GCA!E$3:E$593,"",0,1)="","",_xlfn.XLOOKUP($U89,GCA!$H$3:$H$593,GCA!E$3:E$593,"",0,1))</f>
        <v/>
      </c>
      <c r="W89" s="3" t="str">
        <f>IF(_xlfn.XLOOKUP($U89,GCA!$H$3:$H$593,GCA!F$3:F$593,"",0,1)="","",_xlfn.XLOOKUP($U89,GCA!$H$3:$H$593,GCA!F$3:F$593,"",0,1))</f>
        <v/>
      </c>
      <c r="X89" s="3" t="str">
        <f>IF(_xlfn.XLOOKUP($U89,GCA!$H$3:$H$593,GCA!G$3:G$593,"",0,1)="","",_xlfn.XLOOKUP($U89,GCA!$H$3:$H$593,GCA!G$3:G$593,"",0,1))</f>
        <v/>
      </c>
    </row>
    <row r="90" spans="1:24" ht="13.2">
      <c r="A90" s="49"/>
      <c r="B90" s="49"/>
      <c r="C90" s="48" t="s">
        <v>232</v>
      </c>
      <c r="D90" s="49" t="s">
        <v>535</v>
      </c>
      <c r="E90" s="50">
        <v>1</v>
      </c>
      <c r="F90" s="26" t="s">
        <v>625</v>
      </c>
      <c r="G90" s="26" t="s">
        <v>626</v>
      </c>
      <c r="H90" s="27">
        <f t="shared" ref="H90:H105" si="119">V90</f>
        <v>25690.35</v>
      </c>
      <c r="I90" s="27">
        <f t="shared" ref="I90:I105" si="120">W90</f>
        <v>26935.59</v>
      </c>
      <c r="J90" s="27">
        <f t="shared" ref="J90:J105" si="121">X90</f>
        <v>26881.66</v>
      </c>
      <c r="K90" s="27">
        <f t="shared" ref="K90:K105" si="122">IFERROR(AVERAGE(H90:J90),"")</f>
        <v>26502.533333333336</v>
      </c>
      <c r="L90" s="65">
        <f>SUM(K90:K91)</f>
        <v>61992.668333333335</v>
      </c>
      <c r="M90" s="67">
        <f t="shared" ref="M90:M105" si="123">L90*$L$643/$L$642</f>
        <v>2.6020824614610896</v>
      </c>
      <c r="N90" s="65">
        <v>2</v>
      </c>
      <c r="O90" s="65">
        <f t="shared" ref="O90:P90" si="124">N90</f>
        <v>2</v>
      </c>
      <c r="P90" s="65">
        <f t="shared" si="124"/>
        <v>2</v>
      </c>
      <c r="Q90" s="38"/>
      <c r="R90" s="3" t="str">
        <f t="shared" si="96"/>
        <v>Krishnagiri</v>
      </c>
      <c r="S90" s="3" t="str">
        <f t="shared" si="89"/>
        <v>Denkanikotta</v>
      </c>
      <c r="T90" s="3" t="str">
        <f t="shared" si="90"/>
        <v>Kelamangalam</v>
      </c>
      <c r="U90" s="3" t="str">
        <f t="shared" si="91"/>
        <v>Krishnagiri_Denkanikotta_Kelamangalam</v>
      </c>
      <c r="V90" s="3">
        <f>IF(_xlfn.XLOOKUP($U90,GCA!$H$3:$H$593,GCA!E$3:E$593,"",0,1)="","",_xlfn.XLOOKUP($U90,GCA!$H$3:$H$593,GCA!E$3:E$593,"",0,1))</f>
        <v>25690.35</v>
      </c>
      <c r="W90" s="3">
        <f>IF(_xlfn.XLOOKUP($U90,GCA!$H$3:$H$593,GCA!F$3:F$593,"",0,1)="","",_xlfn.XLOOKUP($U90,GCA!$H$3:$H$593,GCA!F$3:F$593,"",0,1))</f>
        <v>26935.59</v>
      </c>
      <c r="X90" s="3">
        <f>IF(_xlfn.XLOOKUP($U90,GCA!$H$3:$H$593,GCA!G$3:G$593,"",0,1)="","",_xlfn.XLOOKUP($U90,GCA!$H$3:$H$593,GCA!G$3:G$593,"",0,1))</f>
        <v>26881.66</v>
      </c>
    </row>
    <row r="91" spans="1:24" ht="13.2">
      <c r="A91" s="49"/>
      <c r="B91" s="49"/>
      <c r="C91" s="48"/>
      <c r="D91" s="49"/>
      <c r="E91" s="50"/>
      <c r="F91" s="26" t="s">
        <v>625</v>
      </c>
      <c r="G91" s="26" t="s">
        <v>627</v>
      </c>
      <c r="H91" s="27">
        <f t="shared" si="119"/>
        <v>37020</v>
      </c>
      <c r="I91" s="27">
        <f t="shared" si="120"/>
        <v>35579.144999999997</v>
      </c>
      <c r="J91" s="27">
        <f t="shared" si="121"/>
        <v>33871.26</v>
      </c>
      <c r="K91" s="27">
        <f t="shared" si="122"/>
        <v>35490.135000000002</v>
      </c>
      <c r="L91" s="65"/>
      <c r="M91" s="67">
        <f t="shared" si="123"/>
        <v>0</v>
      </c>
      <c r="N91" s="65" t="str">
        <f t="shared" si="86"/>
        <v/>
      </c>
      <c r="O91" s="65" t="str">
        <f t="shared" ref="O91:P91" si="125">N91</f>
        <v/>
      </c>
      <c r="P91" s="65" t="str">
        <f t="shared" si="125"/>
        <v/>
      </c>
      <c r="Q91" s="38"/>
      <c r="R91" s="3" t="str">
        <f t="shared" ref="R91:R106" si="126">R90</f>
        <v>Krishnagiri</v>
      </c>
      <c r="S91" s="3" t="str">
        <f t="shared" si="89"/>
        <v>Denkanikotta</v>
      </c>
      <c r="T91" s="3" t="str">
        <f t="shared" si="90"/>
        <v>Thally</v>
      </c>
      <c r="U91" s="3" t="str">
        <f t="shared" si="91"/>
        <v>Krishnagiri_Denkanikotta_Thally</v>
      </c>
      <c r="V91" s="3">
        <f>IF(_xlfn.XLOOKUP($U91,GCA!$H$3:$H$593,GCA!E$3:E$593,"",0,1)="","",_xlfn.XLOOKUP($U91,GCA!$H$3:$H$593,GCA!E$3:E$593,"",0,1))</f>
        <v>37020</v>
      </c>
      <c r="W91" s="3">
        <f>IF(_xlfn.XLOOKUP($U91,GCA!$H$3:$H$593,GCA!F$3:F$593,"",0,1)="","",_xlfn.XLOOKUP($U91,GCA!$H$3:$H$593,GCA!F$3:F$593,"",0,1))</f>
        <v>35579.144999999997</v>
      </c>
      <c r="X91" s="3">
        <f>IF(_xlfn.XLOOKUP($U91,GCA!$H$3:$H$593,GCA!G$3:G$593,"",0,1)="","",_xlfn.XLOOKUP($U91,GCA!$H$3:$H$593,GCA!G$3:G$593,"",0,1))</f>
        <v>33871.26</v>
      </c>
    </row>
    <row r="92" spans="1:24" ht="13.2">
      <c r="A92" s="49"/>
      <c r="B92" s="49"/>
      <c r="C92" s="48"/>
      <c r="D92" s="49"/>
      <c r="E92" s="50">
        <v>2</v>
      </c>
      <c r="F92" s="26" t="s">
        <v>628</v>
      </c>
      <c r="G92" s="26" t="s">
        <v>627</v>
      </c>
      <c r="H92" s="27">
        <f t="shared" si="119"/>
        <v>11893</v>
      </c>
      <c r="I92" s="27">
        <f t="shared" si="120"/>
        <v>10510.2</v>
      </c>
      <c r="J92" s="27">
        <f t="shared" si="121"/>
        <v>12344.7</v>
      </c>
      <c r="K92" s="27">
        <f t="shared" si="122"/>
        <v>11582.633333333333</v>
      </c>
      <c r="L92" s="65">
        <f>SUM(K92:K96)</f>
        <v>55040.965000000004</v>
      </c>
      <c r="M92" s="67">
        <f t="shared" si="123"/>
        <v>2.3102914189512949</v>
      </c>
      <c r="N92" s="65">
        <f t="shared" si="86"/>
        <v>2</v>
      </c>
      <c r="O92" s="65">
        <f t="shared" ref="O92:P92" si="127">N92</f>
        <v>2</v>
      </c>
      <c r="P92" s="65">
        <f t="shared" si="127"/>
        <v>2</v>
      </c>
      <c r="Q92" s="38"/>
      <c r="R92" s="3" t="str">
        <f t="shared" si="126"/>
        <v>Krishnagiri</v>
      </c>
      <c r="S92" s="3" t="str">
        <f t="shared" si="89"/>
        <v>Anchetti</v>
      </c>
      <c r="T92" s="3" t="str">
        <f t="shared" si="90"/>
        <v>Thally</v>
      </c>
      <c r="U92" s="3" t="str">
        <f t="shared" si="91"/>
        <v>Krishnagiri_Anchetti_Thally</v>
      </c>
      <c r="V92" s="3">
        <f>IF(_xlfn.XLOOKUP($U92,GCA!$H$3:$H$593,GCA!E$3:E$593,"",0,1)="","",_xlfn.XLOOKUP($U92,GCA!$H$3:$H$593,GCA!E$3:E$593,"",0,1))</f>
        <v>11893</v>
      </c>
      <c r="W92" s="3">
        <f>IF(_xlfn.XLOOKUP($U92,GCA!$H$3:$H$593,GCA!F$3:F$593,"",0,1)="","",_xlfn.XLOOKUP($U92,GCA!$H$3:$H$593,GCA!F$3:F$593,"",0,1))</f>
        <v>10510.2</v>
      </c>
      <c r="X92" s="3">
        <f>IF(_xlfn.XLOOKUP($U92,GCA!$H$3:$H$593,GCA!G$3:G$593,"",0,1)="","",_xlfn.XLOOKUP($U92,GCA!$H$3:$H$593,GCA!G$3:G$593,"",0,1))</f>
        <v>12344.7</v>
      </c>
    </row>
    <row r="93" spans="1:24" ht="13.2">
      <c r="A93" s="49"/>
      <c r="B93" s="49"/>
      <c r="C93" s="48"/>
      <c r="D93" s="49"/>
      <c r="E93" s="50"/>
      <c r="F93" s="26" t="s">
        <v>629</v>
      </c>
      <c r="G93" s="26" t="s">
        <v>629</v>
      </c>
      <c r="H93" s="27">
        <f t="shared" si="119"/>
        <v>18883.305</v>
      </c>
      <c r="I93" s="27">
        <f t="shared" si="120"/>
        <v>19343.11</v>
      </c>
      <c r="J93" s="27">
        <f t="shared" si="121"/>
        <v>19621.924999999999</v>
      </c>
      <c r="K93" s="27">
        <f t="shared" si="122"/>
        <v>19282.78</v>
      </c>
      <c r="L93" s="65"/>
      <c r="M93" s="67">
        <f t="shared" si="123"/>
        <v>0</v>
      </c>
      <c r="N93" s="65" t="str">
        <f t="shared" si="86"/>
        <v/>
      </c>
      <c r="O93" s="65" t="str">
        <f t="shared" ref="O93:P93" si="128">N93</f>
        <v/>
      </c>
      <c r="P93" s="65" t="str">
        <f t="shared" si="128"/>
        <v/>
      </c>
      <c r="Q93" s="38"/>
      <c r="R93" s="3" t="str">
        <f t="shared" si="126"/>
        <v>Krishnagiri</v>
      </c>
      <c r="S93" s="3" t="str">
        <f t="shared" si="89"/>
        <v>Bargur</v>
      </c>
      <c r="T93" s="3" t="str">
        <f t="shared" si="90"/>
        <v>Bargur</v>
      </c>
      <c r="U93" s="3" t="str">
        <f t="shared" si="91"/>
        <v>Krishnagiri_Bargur_Bargur</v>
      </c>
      <c r="V93" s="3">
        <f>IF(_xlfn.XLOOKUP($U93,GCA!$H$3:$H$593,GCA!E$3:E$593,"",0,1)="","",_xlfn.XLOOKUP($U93,GCA!$H$3:$H$593,GCA!E$3:E$593,"",0,1))</f>
        <v>18883.305</v>
      </c>
      <c r="W93" s="3">
        <f>IF(_xlfn.XLOOKUP($U93,GCA!$H$3:$H$593,GCA!F$3:F$593,"",0,1)="","",_xlfn.XLOOKUP($U93,GCA!$H$3:$H$593,GCA!F$3:F$593,"",0,1))</f>
        <v>19343.11</v>
      </c>
      <c r="X93" s="3">
        <f>IF(_xlfn.XLOOKUP($U93,GCA!$H$3:$H$593,GCA!G$3:G$593,"",0,1)="","",_xlfn.XLOOKUP($U93,GCA!$H$3:$H$593,GCA!G$3:G$593,"",0,1))</f>
        <v>19621.924999999999</v>
      </c>
    </row>
    <row r="94" spans="1:24" ht="13.2">
      <c r="A94" s="49"/>
      <c r="B94" s="49"/>
      <c r="C94" s="48"/>
      <c r="D94" s="49"/>
      <c r="E94" s="50"/>
      <c r="F94" s="26" t="s">
        <v>629</v>
      </c>
      <c r="G94" s="26" t="s">
        <v>630</v>
      </c>
      <c r="H94" s="27">
        <f t="shared" si="119"/>
        <v>4180.03</v>
      </c>
      <c r="I94" s="27">
        <f t="shared" si="120"/>
        <v>4360.125</v>
      </c>
      <c r="J94" s="27">
        <f t="shared" si="121"/>
        <v>3895.44</v>
      </c>
      <c r="K94" s="27">
        <f t="shared" si="122"/>
        <v>4145.1983333333328</v>
      </c>
      <c r="L94" s="65"/>
      <c r="M94" s="67">
        <f t="shared" si="123"/>
        <v>0</v>
      </c>
      <c r="N94" s="65" t="str">
        <f t="shared" si="86"/>
        <v/>
      </c>
      <c r="O94" s="65" t="str">
        <f t="shared" ref="O94:P94" si="129">N94</f>
        <v/>
      </c>
      <c r="P94" s="65" t="str">
        <f t="shared" si="129"/>
        <v/>
      </c>
      <c r="Q94" s="38"/>
      <c r="R94" s="3" t="str">
        <f t="shared" si="126"/>
        <v>Krishnagiri</v>
      </c>
      <c r="S94" s="3" t="str">
        <f t="shared" si="89"/>
        <v>Bargur</v>
      </c>
      <c r="T94" s="3" t="str">
        <f t="shared" si="90"/>
        <v>Mathur</v>
      </c>
      <c r="U94" s="3" t="str">
        <f t="shared" si="91"/>
        <v>Krishnagiri_Bargur_Mathur</v>
      </c>
      <c r="V94" s="3">
        <f>IF(_xlfn.XLOOKUP($U94,GCA!$H$3:$H$593,GCA!E$3:E$593,"",0,1)="","",_xlfn.XLOOKUP($U94,GCA!$H$3:$H$593,GCA!E$3:E$593,"",0,1))</f>
        <v>4180.03</v>
      </c>
      <c r="W94" s="3">
        <f>IF(_xlfn.XLOOKUP($U94,GCA!$H$3:$H$593,GCA!F$3:F$593,"",0,1)="","",_xlfn.XLOOKUP($U94,GCA!$H$3:$H$593,GCA!F$3:F$593,"",0,1))</f>
        <v>4360.125</v>
      </c>
      <c r="X94" s="3">
        <f>IF(_xlfn.XLOOKUP($U94,GCA!$H$3:$H$593,GCA!G$3:G$593,"",0,1)="","",_xlfn.XLOOKUP($U94,GCA!$H$3:$H$593,GCA!G$3:G$593,"",0,1))</f>
        <v>3895.44</v>
      </c>
    </row>
    <row r="95" spans="1:24" ht="13.2">
      <c r="A95" s="49"/>
      <c r="B95" s="49"/>
      <c r="C95" s="48"/>
      <c r="D95" s="49"/>
      <c r="E95" s="50"/>
      <c r="F95" s="26" t="s">
        <v>631</v>
      </c>
      <c r="G95" s="26" t="s">
        <v>631</v>
      </c>
      <c r="H95" s="27">
        <f t="shared" si="119"/>
        <v>24338.936000000002</v>
      </c>
      <c r="I95" s="27">
        <f t="shared" si="120"/>
        <v>17166.02</v>
      </c>
      <c r="J95" s="27">
        <f t="shared" si="121"/>
        <v>17369.349999999999</v>
      </c>
      <c r="K95" s="27">
        <f t="shared" si="122"/>
        <v>19624.768666666667</v>
      </c>
      <c r="L95" s="65"/>
      <c r="M95" s="67">
        <f t="shared" si="123"/>
        <v>0</v>
      </c>
      <c r="N95" s="65" t="str">
        <f t="shared" si="86"/>
        <v/>
      </c>
      <c r="O95" s="65" t="str">
        <f t="shared" ref="O95:P95" si="130">N95</f>
        <v/>
      </c>
      <c r="P95" s="65" t="str">
        <f t="shared" si="130"/>
        <v/>
      </c>
      <c r="Q95" s="38"/>
      <c r="R95" s="3" t="str">
        <f t="shared" si="126"/>
        <v>Krishnagiri</v>
      </c>
      <c r="S95" s="3" t="str">
        <f t="shared" si="89"/>
        <v>Hosur</v>
      </c>
      <c r="T95" s="3" t="str">
        <f t="shared" si="90"/>
        <v>Hosur</v>
      </c>
      <c r="U95" s="3" t="str">
        <f t="shared" si="91"/>
        <v>Krishnagiri_Hosur_Hosur</v>
      </c>
      <c r="V95" s="3">
        <f>IF(_xlfn.XLOOKUP($U95,GCA!$H$3:$H$593,GCA!E$3:E$593,"",0,1)="","",_xlfn.XLOOKUP($U95,GCA!$H$3:$H$593,GCA!E$3:E$593,"",0,1))</f>
        <v>24338.936000000002</v>
      </c>
      <c r="W95" s="3">
        <f>IF(_xlfn.XLOOKUP($U95,GCA!$H$3:$H$593,GCA!F$3:F$593,"",0,1)="","",_xlfn.XLOOKUP($U95,GCA!$H$3:$H$593,GCA!F$3:F$593,"",0,1))</f>
        <v>17166.02</v>
      </c>
      <c r="X95" s="3">
        <f>IF(_xlfn.XLOOKUP($U95,GCA!$H$3:$H$593,GCA!G$3:G$593,"",0,1)="","",_xlfn.XLOOKUP($U95,GCA!$H$3:$H$593,GCA!G$3:G$593,"",0,1))</f>
        <v>17369.349999999999</v>
      </c>
    </row>
    <row r="96" spans="1:24" ht="13.2">
      <c r="A96" s="49"/>
      <c r="B96" s="49"/>
      <c r="C96" s="48"/>
      <c r="D96" s="49"/>
      <c r="E96" s="50"/>
      <c r="F96" s="26" t="s">
        <v>631</v>
      </c>
      <c r="G96" s="26" t="s">
        <v>632</v>
      </c>
      <c r="H96" s="27">
        <f t="shared" si="119"/>
        <v>268.60000000000002</v>
      </c>
      <c r="I96" s="27">
        <f t="shared" si="120"/>
        <v>290.82499999999999</v>
      </c>
      <c r="J96" s="27">
        <f t="shared" si="121"/>
        <v>657.32899999999995</v>
      </c>
      <c r="K96" s="27">
        <f t="shared" si="122"/>
        <v>405.58466666666664</v>
      </c>
      <c r="L96" s="65"/>
      <c r="M96" s="67">
        <f t="shared" si="123"/>
        <v>0</v>
      </c>
      <c r="N96" s="65" t="str">
        <f t="shared" si="86"/>
        <v/>
      </c>
      <c r="O96" s="65" t="str">
        <f t="shared" ref="O96:P96" si="131">N96</f>
        <v/>
      </c>
      <c r="P96" s="65" t="str">
        <f t="shared" si="131"/>
        <v/>
      </c>
      <c r="Q96" s="38"/>
      <c r="R96" s="3" t="str">
        <f t="shared" si="126"/>
        <v>Krishnagiri</v>
      </c>
      <c r="S96" s="3" t="str">
        <f t="shared" si="89"/>
        <v>Hosur</v>
      </c>
      <c r="T96" s="3" t="str">
        <f t="shared" si="90"/>
        <v>Shoolagiri</v>
      </c>
      <c r="U96" s="3" t="str">
        <f t="shared" si="91"/>
        <v>Krishnagiri_Hosur_Shoolagiri</v>
      </c>
      <c r="V96" s="3">
        <f>IF(_xlfn.XLOOKUP($U96,GCA!$H$3:$H$593,GCA!E$3:E$593,"",0,1)="","",_xlfn.XLOOKUP($U96,GCA!$H$3:$H$593,GCA!E$3:E$593,"",0,1))</f>
        <v>268.60000000000002</v>
      </c>
      <c r="W96" s="3">
        <f>IF(_xlfn.XLOOKUP($U96,GCA!$H$3:$H$593,GCA!F$3:F$593,"",0,1)="","",_xlfn.XLOOKUP($U96,GCA!$H$3:$H$593,GCA!F$3:F$593,"",0,1))</f>
        <v>290.82499999999999</v>
      </c>
      <c r="X96" s="3">
        <f>IF(_xlfn.XLOOKUP($U96,GCA!$H$3:$H$593,GCA!G$3:G$593,"",0,1)="","",_xlfn.XLOOKUP($U96,GCA!$H$3:$H$593,GCA!G$3:G$593,"",0,1))</f>
        <v>657.32899999999995</v>
      </c>
    </row>
    <row r="97" spans="1:24" ht="13.2">
      <c r="A97" s="49"/>
      <c r="B97" s="49"/>
      <c r="C97" s="48"/>
      <c r="D97" s="49"/>
      <c r="E97" s="50">
        <v>3</v>
      </c>
      <c r="F97" s="26" t="s">
        <v>232</v>
      </c>
      <c r="G97" s="26" t="s">
        <v>633</v>
      </c>
      <c r="H97" s="27">
        <f t="shared" si="119"/>
        <v>15995.665000000001</v>
      </c>
      <c r="I97" s="27">
        <f t="shared" si="120"/>
        <v>16103.234</v>
      </c>
      <c r="J97" s="27">
        <f t="shared" si="121"/>
        <v>19386.294000000002</v>
      </c>
      <c r="K97" s="27">
        <f t="shared" si="122"/>
        <v>17161.731</v>
      </c>
      <c r="L97" s="65">
        <f>SUM(K97:K99)</f>
        <v>42283.75233333333</v>
      </c>
      <c r="M97" s="67">
        <f t="shared" si="123"/>
        <v>1.7748197215794053</v>
      </c>
      <c r="N97" s="65">
        <f t="shared" si="86"/>
        <v>2</v>
      </c>
      <c r="O97" s="65">
        <f t="shared" ref="O97:P97" si="132">N97</f>
        <v>2</v>
      </c>
      <c r="P97" s="65">
        <f t="shared" si="132"/>
        <v>2</v>
      </c>
      <c r="Q97" s="38"/>
      <c r="R97" s="3" t="str">
        <f t="shared" si="126"/>
        <v>Krishnagiri</v>
      </c>
      <c r="S97" s="3" t="str">
        <f t="shared" si="89"/>
        <v>Krishnagiri</v>
      </c>
      <c r="T97" s="3" t="str">
        <f t="shared" si="90"/>
        <v>Kaveripattinam</v>
      </c>
      <c r="U97" s="3" t="str">
        <f t="shared" si="91"/>
        <v>Krishnagiri_Krishnagiri_Kaveripattinam</v>
      </c>
      <c r="V97" s="3">
        <f>IF(_xlfn.XLOOKUP($U97,GCA!$H$3:$H$593,GCA!E$3:E$593,"",0,1)="","",_xlfn.XLOOKUP($U97,GCA!$H$3:$H$593,GCA!E$3:E$593,"",0,1))</f>
        <v>15995.665000000001</v>
      </c>
      <c r="W97" s="3">
        <f>IF(_xlfn.XLOOKUP($U97,GCA!$H$3:$H$593,GCA!F$3:F$593,"",0,1)="","",_xlfn.XLOOKUP($U97,GCA!$H$3:$H$593,GCA!F$3:F$593,"",0,1))</f>
        <v>16103.234</v>
      </c>
      <c r="X97" s="3">
        <f>IF(_xlfn.XLOOKUP($U97,GCA!$H$3:$H$593,GCA!G$3:G$593,"",0,1)="","",_xlfn.XLOOKUP($U97,GCA!$H$3:$H$593,GCA!G$3:G$593,"",0,1))</f>
        <v>19386.294000000002</v>
      </c>
    </row>
    <row r="98" spans="1:24" ht="13.2">
      <c r="A98" s="49"/>
      <c r="B98" s="49"/>
      <c r="C98" s="48"/>
      <c r="D98" s="49"/>
      <c r="E98" s="50"/>
      <c r="F98" s="26" t="s">
        <v>232</v>
      </c>
      <c r="G98" s="26" t="s">
        <v>232</v>
      </c>
      <c r="H98" s="27">
        <f t="shared" si="119"/>
        <v>14503.638999999999</v>
      </c>
      <c r="I98" s="27">
        <f t="shared" si="120"/>
        <v>14115.800999999999</v>
      </c>
      <c r="J98" s="27">
        <f t="shared" si="121"/>
        <v>14261.161</v>
      </c>
      <c r="K98" s="27">
        <f t="shared" si="122"/>
        <v>14293.533666666664</v>
      </c>
      <c r="L98" s="65"/>
      <c r="M98" s="67">
        <f t="shared" si="123"/>
        <v>0</v>
      </c>
      <c r="N98" s="65" t="str">
        <f t="shared" si="86"/>
        <v/>
      </c>
      <c r="O98" s="65" t="str">
        <f t="shared" ref="O98:P98" si="133">N98</f>
        <v/>
      </c>
      <c r="P98" s="65" t="str">
        <f t="shared" si="133"/>
        <v/>
      </c>
      <c r="Q98" s="38"/>
      <c r="R98" s="3" t="str">
        <f t="shared" si="126"/>
        <v>Krishnagiri</v>
      </c>
      <c r="S98" s="3" t="str">
        <f t="shared" si="89"/>
        <v>Krishnagiri</v>
      </c>
      <c r="T98" s="3" t="str">
        <f t="shared" si="90"/>
        <v>Krishnagiri</v>
      </c>
      <c r="U98" s="3" t="str">
        <f t="shared" si="91"/>
        <v>Krishnagiri_Krishnagiri_Krishnagiri</v>
      </c>
      <c r="V98" s="3">
        <f>IF(_xlfn.XLOOKUP($U98,GCA!$H$3:$H$593,GCA!E$3:E$593,"",0,1)="","",_xlfn.XLOOKUP($U98,GCA!$H$3:$H$593,GCA!E$3:E$593,"",0,1))</f>
        <v>14503.638999999999</v>
      </c>
      <c r="W98" s="3">
        <f>IF(_xlfn.XLOOKUP($U98,GCA!$H$3:$H$593,GCA!F$3:F$593,"",0,1)="","",_xlfn.XLOOKUP($U98,GCA!$H$3:$H$593,GCA!F$3:F$593,"",0,1))</f>
        <v>14115.800999999999</v>
      </c>
      <c r="X98" s="3">
        <f>IF(_xlfn.XLOOKUP($U98,GCA!$H$3:$H$593,GCA!G$3:G$593,"",0,1)="","",_xlfn.XLOOKUP($U98,GCA!$H$3:$H$593,GCA!G$3:G$593,"",0,1))</f>
        <v>14261.161</v>
      </c>
    </row>
    <row r="99" spans="1:24" ht="13.2">
      <c r="A99" s="49"/>
      <c r="B99" s="49"/>
      <c r="C99" s="48"/>
      <c r="D99" s="49"/>
      <c r="E99" s="50"/>
      <c r="F99" s="26" t="s">
        <v>232</v>
      </c>
      <c r="G99" s="26" t="s">
        <v>634</v>
      </c>
      <c r="H99" s="27">
        <f t="shared" si="119"/>
        <v>11004.11</v>
      </c>
      <c r="I99" s="27">
        <f t="shared" si="120"/>
        <v>10954.931</v>
      </c>
      <c r="J99" s="27">
        <f t="shared" si="121"/>
        <v>10526.422</v>
      </c>
      <c r="K99" s="27">
        <f t="shared" si="122"/>
        <v>10828.487666666668</v>
      </c>
      <c r="L99" s="65"/>
      <c r="M99" s="67">
        <f t="shared" si="123"/>
        <v>0</v>
      </c>
      <c r="N99" s="65" t="str">
        <f t="shared" si="86"/>
        <v/>
      </c>
      <c r="O99" s="65" t="str">
        <f t="shared" ref="O99:P99" si="134">N99</f>
        <v/>
      </c>
      <c r="P99" s="65" t="str">
        <f t="shared" si="134"/>
        <v/>
      </c>
      <c r="Q99" s="38"/>
      <c r="R99" s="3" t="str">
        <f t="shared" si="126"/>
        <v>Krishnagiri</v>
      </c>
      <c r="S99" s="3" t="str">
        <f t="shared" si="89"/>
        <v>Krishnagiri</v>
      </c>
      <c r="T99" s="3" t="str">
        <f t="shared" si="90"/>
        <v>Veppanapalli</v>
      </c>
      <c r="U99" s="3" t="str">
        <f t="shared" si="91"/>
        <v>Krishnagiri_Krishnagiri_Veppanapalli</v>
      </c>
      <c r="V99" s="3">
        <f>IF(_xlfn.XLOOKUP($U99,GCA!$H$3:$H$593,GCA!E$3:E$593,"",0,1)="","",_xlfn.XLOOKUP($U99,GCA!$H$3:$H$593,GCA!E$3:E$593,"",0,1))</f>
        <v>11004.11</v>
      </c>
      <c r="W99" s="3">
        <f>IF(_xlfn.XLOOKUP($U99,GCA!$H$3:$H$593,GCA!F$3:F$593,"",0,1)="","",_xlfn.XLOOKUP($U99,GCA!$H$3:$H$593,GCA!F$3:F$593,"",0,1))</f>
        <v>10954.931</v>
      </c>
      <c r="X99" s="3">
        <f>IF(_xlfn.XLOOKUP($U99,GCA!$H$3:$H$593,GCA!G$3:G$593,"",0,1)="","",_xlfn.XLOOKUP($U99,GCA!$H$3:$H$593,GCA!G$3:G$593,"",0,1))</f>
        <v>10526.422</v>
      </c>
    </row>
    <row r="100" spans="1:24" ht="13.2">
      <c r="A100" s="49"/>
      <c r="B100" s="49"/>
      <c r="C100" s="48"/>
      <c r="D100" s="49"/>
      <c r="E100" s="50">
        <v>4</v>
      </c>
      <c r="F100" s="26" t="s">
        <v>635</v>
      </c>
      <c r="G100" s="26" t="s">
        <v>629</v>
      </c>
      <c r="H100" s="27">
        <f t="shared" si="119"/>
        <v>10042.094999999999</v>
      </c>
      <c r="I100" s="27">
        <f t="shared" si="120"/>
        <v>10064.67</v>
      </c>
      <c r="J100" s="27">
        <f t="shared" si="121"/>
        <v>10302.305</v>
      </c>
      <c r="K100" s="27">
        <f t="shared" si="122"/>
        <v>10136.356666666667</v>
      </c>
      <c r="L100" s="65">
        <f>SUM(K100:K103)</f>
        <v>49773.162333333326</v>
      </c>
      <c r="M100" s="67">
        <f t="shared" si="123"/>
        <v>2.0891804828053036</v>
      </c>
      <c r="N100" s="65">
        <f t="shared" si="86"/>
        <v>2</v>
      </c>
      <c r="O100" s="65">
        <f t="shared" ref="O100:P100" si="135">N100</f>
        <v>2</v>
      </c>
      <c r="P100" s="65">
        <f t="shared" si="135"/>
        <v>2</v>
      </c>
      <c r="Q100" s="38"/>
      <c r="R100" s="3" t="str">
        <f t="shared" si="126"/>
        <v>Krishnagiri</v>
      </c>
      <c r="S100" s="3" t="str">
        <f t="shared" si="89"/>
        <v>Pochampalli</v>
      </c>
      <c r="T100" s="3" t="str">
        <f t="shared" si="90"/>
        <v>Bargur</v>
      </c>
      <c r="U100" s="3" t="str">
        <f t="shared" si="91"/>
        <v>Krishnagiri_Pochampalli_Bargur</v>
      </c>
      <c r="V100" s="3">
        <f>IF(_xlfn.XLOOKUP($U100,GCA!$H$3:$H$593,GCA!E$3:E$593,"",0,1)="","",_xlfn.XLOOKUP($U100,GCA!$H$3:$H$593,GCA!E$3:E$593,"",0,1))</f>
        <v>10042.094999999999</v>
      </c>
      <c r="W100" s="3">
        <f>IF(_xlfn.XLOOKUP($U100,GCA!$H$3:$H$593,GCA!F$3:F$593,"",0,1)="","",_xlfn.XLOOKUP($U100,GCA!$H$3:$H$593,GCA!F$3:F$593,"",0,1))</f>
        <v>10064.67</v>
      </c>
      <c r="X100" s="3">
        <f>IF(_xlfn.XLOOKUP($U100,GCA!$H$3:$H$593,GCA!G$3:G$593,"",0,1)="","",_xlfn.XLOOKUP($U100,GCA!$H$3:$H$593,GCA!G$3:G$593,"",0,1))</f>
        <v>10302.305</v>
      </c>
    </row>
    <row r="101" spans="1:24" ht="13.2">
      <c r="A101" s="49"/>
      <c r="B101" s="49"/>
      <c r="C101" s="48"/>
      <c r="D101" s="49"/>
      <c r="E101" s="50"/>
      <c r="F101" s="26" t="s">
        <v>635</v>
      </c>
      <c r="G101" s="26" t="s">
        <v>633</v>
      </c>
      <c r="H101" s="27">
        <f t="shared" si="119"/>
        <v>11053.485000000001</v>
      </c>
      <c r="I101" s="27">
        <f t="shared" si="120"/>
        <v>10886.550999999999</v>
      </c>
      <c r="J101" s="27">
        <f t="shared" si="121"/>
        <v>11720.215</v>
      </c>
      <c r="K101" s="27">
        <f t="shared" si="122"/>
        <v>11220.083666666667</v>
      </c>
      <c r="L101" s="65"/>
      <c r="M101" s="67">
        <f t="shared" si="123"/>
        <v>0</v>
      </c>
      <c r="N101" s="65" t="str">
        <f t="shared" si="86"/>
        <v/>
      </c>
      <c r="O101" s="65" t="str">
        <f t="shared" ref="O101:P101" si="136">N101</f>
        <v/>
      </c>
      <c r="P101" s="65" t="str">
        <f t="shared" si="136"/>
        <v/>
      </c>
      <c r="Q101" s="38"/>
      <c r="R101" s="3" t="str">
        <f t="shared" si="126"/>
        <v>Krishnagiri</v>
      </c>
      <c r="S101" s="3" t="str">
        <f t="shared" si="89"/>
        <v>Pochampalli</v>
      </c>
      <c r="T101" s="3" t="str">
        <f t="shared" si="90"/>
        <v>Kaveripattinam</v>
      </c>
      <c r="U101" s="3" t="str">
        <f t="shared" si="91"/>
        <v>Krishnagiri_Pochampalli_Kaveripattinam</v>
      </c>
      <c r="V101" s="3">
        <f>IF(_xlfn.XLOOKUP($U101,GCA!$H$3:$H$593,GCA!E$3:E$593,"",0,1)="","",_xlfn.XLOOKUP($U101,GCA!$H$3:$H$593,GCA!E$3:E$593,"",0,1))</f>
        <v>11053.485000000001</v>
      </c>
      <c r="W101" s="3">
        <f>IF(_xlfn.XLOOKUP($U101,GCA!$H$3:$H$593,GCA!F$3:F$593,"",0,1)="","",_xlfn.XLOOKUP($U101,GCA!$H$3:$H$593,GCA!F$3:F$593,"",0,1))</f>
        <v>10886.550999999999</v>
      </c>
      <c r="X101" s="3">
        <f>IF(_xlfn.XLOOKUP($U101,GCA!$H$3:$H$593,GCA!G$3:G$593,"",0,1)="","",_xlfn.XLOOKUP($U101,GCA!$H$3:$H$593,GCA!G$3:G$593,"",0,1))</f>
        <v>11720.215</v>
      </c>
    </row>
    <row r="102" spans="1:24" ht="13.2">
      <c r="A102" s="49"/>
      <c r="B102" s="49"/>
      <c r="C102" s="48"/>
      <c r="D102" s="49"/>
      <c r="E102" s="50"/>
      <c r="F102" s="26" t="s">
        <v>635</v>
      </c>
      <c r="G102" s="26" t="s">
        <v>630</v>
      </c>
      <c r="H102" s="27">
        <f t="shared" si="119"/>
        <v>6853.3950000000004</v>
      </c>
      <c r="I102" s="27">
        <f t="shared" si="120"/>
        <v>6976.75</v>
      </c>
      <c r="J102" s="27">
        <f t="shared" si="121"/>
        <v>6735.375</v>
      </c>
      <c r="K102" s="27">
        <f t="shared" si="122"/>
        <v>6855.1733333333332</v>
      </c>
      <c r="L102" s="65"/>
      <c r="M102" s="67">
        <f t="shared" si="123"/>
        <v>0</v>
      </c>
      <c r="N102" s="65" t="str">
        <f t="shared" si="86"/>
        <v/>
      </c>
      <c r="O102" s="65" t="str">
        <f t="shared" ref="O102:P102" si="137">N102</f>
        <v/>
      </c>
      <c r="P102" s="65" t="str">
        <f t="shared" si="137"/>
        <v/>
      </c>
      <c r="Q102" s="38"/>
      <c r="R102" s="3" t="str">
        <f t="shared" si="126"/>
        <v>Krishnagiri</v>
      </c>
      <c r="S102" s="3" t="str">
        <f t="shared" si="89"/>
        <v>Pochampalli</v>
      </c>
      <c r="T102" s="3" t="str">
        <f t="shared" si="90"/>
        <v>Mathur</v>
      </c>
      <c r="U102" s="3" t="str">
        <f t="shared" si="91"/>
        <v>Krishnagiri_Pochampalli_Mathur</v>
      </c>
      <c r="V102" s="3">
        <f>IF(_xlfn.XLOOKUP($U102,GCA!$H$3:$H$593,GCA!E$3:E$593,"",0,1)="","",_xlfn.XLOOKUP($U102,GCA!$H$3:$H$593,GCA!E$3:E$593,"",0,1))</f>
        <v>6853.3950000000004</v>
      </c>
      <c r="W102" s="3">
        <f>IF(_xlfn.XLOOKUP($U102,GCA!$H$3:$H$593,GCA!F$3:F$593,"",0,1)="","",_xlfn.XLOOKUP($U102,GCA!$H$3:$H$593,GCA!F$3:F$593,"",0,1))</f>
        <v>6976.75</v>
      </c>
      <c r="X102" s="3">
        <f>IF(_xlfn.XLOOKUP($U102,GCA!$H$3:$H$593,GCA!G$3:G$593,"",0,1)="","",_xlfn.XLOOKUP($U102,GCA!$H$3:$H$593,GCA!G$3:G$593,"",0,1))</f>
        <v>6735.375</v>
      </c>
    </row>
    <row r="103" spans="1:24" ht="13.2">
      <c r="A103" s="49"/>
      <c r="B103" s="49"/>
      <c r="C103" s="48"/>
      <c r="D103" s="49"/>
      <c r="E103" s="50"/>
      <c r="F103" s="26" t="s">
        <v>632</v>
      </c>
      <c r="G103" s="26" t="s">
        <v>632</v>
      </c>
      <c r="H103" s="27">
        <f t="shared" si="119"/>
        <v>21542.55</v>
      </c>
      <c r="I103" s="27">
        <f t="shared" si="120"/>
        <v>22528.005000000001</v>
      </c>
      <c r="J103" s="27">
        <f t="shared" si="121"/>
        <v>20614.091</v>
      </c>
      <c r="K103" s="27">
        <f t="shared" si="122"/>
        <v>21561.548666666666</v>
      </c>
      <c r="L103" s="65"/>
      <c r="M103" s="67">
        <f t="shared" si="123"/>
        <v>0</v>
      </c>
      <c r="N103" s="65" t="str">
        <f t="shared" si="86"/>
        <v/>
      </c>
      <c r="O103" s="65" t="str">
        <f t="shared" ref="O103:P103" si="138">N103</f>
        <v/>
      </c>
      <c r="P103" s="65" t="str">
        <f t="shared" si="138"/>
        <v/>
      </c>
      <c r="Q103" s="38"/>
      <c r="R103" s="3" t="str">
        <f t="shared" si="126"/>
        <v>Krishnagiri</v>
      </c>
      <c r="S103" s="3" t="str">
        <f t="shared" si="89"/>
        <v>Shoolagiri</v>
      </c>
      <c r="T103" s="3" t="str">
        <f t="shared" si="90"/>
        <v>Shoolagiri</v>
      </c>
      <c r="U103" s="3" t="str">
        <f t="shared" si="91"/>
        <v>Krishnagiri_Shoolagiri_Shoolagiri</v>
      </c>
      <c r="V103" s="3">
        <f>IF(_xlfn.XLOOKUP($U103,GCA!$H$3:$H$593,GCA!E$3:E$593,"",0,1)="","",_xlfn.XLOOKUP($U103,GCA!$H$3:$H$593,GCA!E$3:E$593,"",0,1))</f>
        <v>21542.55</v>
      </c>
      <c r="W103" s="3">
        <f>IF(_xlfn.XLOOKUP($U103,GCA!$H$3:$H$593,GCA!F$3:F$593,"",0,1)="","",_xlfn.XLOOKUP($U103,GCA!$H$3:$H$593,GCA!F$3:F$593,"",0,1))</f>
        <v>22528.005000000001</v>
      </c>
      <c r="X103" s="3">
        <f>IF(_xlfn.XLOOKUP($U103,GCA!$H$3:$H$593,GCA!G$3:G$593,"",0,1)="","",_xlfn.XLOOKUP($U103,GCA!$H$3:$H$593,GCA!G$3:G$593,"",0,1))</f>
        <v>20614.091</v>
      </c>
    </row>
    <row r="104" spans="1:24" ht="13.2">
      <c r="A104" s="49"/>
      <c r="B104" s="49"/>
      <c r="C104" s="48"/>
      <c r="D104" s="49"/>
      <c r="E104" s="50">
        <v>5</v>
      </c>
      <c r="F104" s="26" t="s">
        <v>636</v>
      </c>
      <c r="G104" s="26" t="s">
        <v>630</v>
      </c>
      <c r="H104" s="27">
        <f t="shared" si="119"/>
        <v>11365.424999999999</v>
      </c>
      <c r="I104" s="27">
        <f t="shared" si="120"/>
        <v>11053.83</v>
      </c>
      <c r="J104" s="27">
        <f t="shared" si="121"/>
        <v>10297.594999999999</v>
      </c>
      <c r="K104" s="27">
        <f t="shared" si="122"/>
        <v>10905.616666666667</v>
      </c>
      <c r="L104" s="65">
        <f>SUM(K104:K105)</f>
        <v>34441.781999999999</v>
      </c>
      <c r="M104" s="67">
        <f t="shared" si="123"/>
        <v>1.4456605804057245</v>
      </c>
      <c r="N104" s="65">
        <f t="shared" si="86"/>
        <v>2</v>
      </c>
      <c r="O104" s="65">
        <f t="shared" ref="O104:P104" si="139">N104</f>
        <v>2</v>
      </c>
      <c r="P104" s="65">
        <f t="shared" si="139"/>
        <v>2</v>
      </c>
      <c r="Q104" s="38"/>
      <c r="R104" s="3" t="str">
        <f t="shared" si="126"/>
        <v>Krishnagiri</v>
      </c>
      <c r="S104" s="3" t="str">
        <f t="shared" si="89"/>
        <v>Uthangarai</v>
      </c>
      <c r="T104" s="3" t="str">
        <f t="shared" si="90"/>
        <v>Mathur</v>
      </c>
      <c r="U104" s="3" t="str">
        <f t="shared" si="91"/>
        <v>Krishnagiri_Uthangarai_Mathur</v>
      </c>
      <c r="V104" s="3">
        <f>IF(_xlfn.XLOOKUP($U104,GCA!$H$3:$H$593,GCA!E$3:E$593,"",0,1)="","",_xlfn.XLOOKUP($U104,GCA!$H$3:$H$593,GCA!E$3:E$593,"",0,1))</f>
        <v>11365.424999999999</v>
      </c>
      <c r="W104" s="3">
        <f>IF(_xlfn.XLOOKUP($U104,GCA!$H$3:$H$593,GCA!F$3:F$593,"",0,1)="","",_xlfn.XLOOKUP($U104,GCA!$H$3:$H$593,GCA!F$3:F$593,"",0,1))</f>
        <v>11053.83</v>
      </c>
      <c r="X104" s="3">
        <f>IF(_xlfn.XLOOKUP($U104,GCA!$H$3:$H$593,GCA!G$3:G$593,"",0,1)="","",_xlfn.XLOOKUP($U104,GCA!$H$3:$H$593,GCA!G$3:G$593,"",0,1))</f>
        <v>10297.594999999999</v>
      </c>
    </row>
    <row r="105" spans="1:24" ht="13.2">
      <c r="A105" s="49"/>
      <c r="B105" s="49"/>
      <c r="C105" s="48"/>
      <c r="D105" s="49"/>
      <c r="E105" s="50"/>
      <c r="F105" s="26" t="s">
        <v>636</v>
      </c>
      <c r="G105" s="26" t="s">
        <v>636</v>
      </c>
      <c r="H105" s="27">
        <f t="shared" si="119"/>
        <v>24616.79</v>
      </c>
      <c r="I105" s="27">
        <f t="shared" si="120"/>
        <v>23288.861000000001</v>
      </c>
      <c r="J105" s="27">
        <f t="shared" si="121"/>
        <v>22702.845000000001</v>
      </c>
      <c r="K105" s="27">
        <f t="shared" si="122"/>
        <v>23536.165333333334</v>
      </c>
      <c r="L105" s="65"/>
      <c r="M105" s="67">
        <f t="shared" si="123"/>
        <v>0</v>
      </c>
      <c r="N105" s="65" t="str">
        <f t="shared" si="86"/>
        <v/>
      </c>
      <c r="O105" s="65" t="str">
        <f t="shared" ref="O105:P105" si="140">N105</f>
        <v/>
      </c>
      <c r="P105" s="65" t="str">
        <f t="shared" si="140"/>
        <v/>
      </c>
      <c r="Q105" s="38"/>
      <c r="R105" s="3" t="str">
        <f t="shared" si="126"/>
        <v>Krishnagiri</v>
      </c>
      <c r="S105" s="3" t="str">
        <f t="shared" si="89"/>
        <v>Uthangarai</v>
      </c>
      <c r="T105" s="3" t="str">
        <f t="shared" si="90"/>
        <v>Uthangarai</v>
      </c>
      <c r="U105" s="3" t="str">
        <f t="shared" si="91"/>
        <v>Krishnagiri_Uthangarai_Uthangarai</v>
      </c>
      <c r="V105" s="3">
        <f>IF(_xlfn.XLOOKUP($U105,GCA!$H$3:$H$593,GCA!E$3:E$593,"",0,1)="","",_xlfn.XLOOKUP($U105,GCA!$H$3:$H$593,GCA!E$3:E$593,"",0,1))</f>
        <v>24616.79</v>
      </c>
      <c r="W105" s="3">
        <f>IF(_xlfn.XLOOKUP($U105,GCA!$H$3:$H$593,GCA!F$3:F$593,"",0,1)="","",_xlfn.XLOOKUP($U105,GCA!$H$3:$H$593,GCA!F$3:F$593,"",0,1))</f>
        <v>23288.861000000001</v>
      </c>
      <c r="X105" s="3">
        <f>IF(_xlfn.XLOOKUP($U105,GCA!$H$3:$H$593,GCA!G$3:G$593,"",0,1)="","",_xlfn.XLOOKUP($U105,GCA!$H$3:$H$593,GCA!G$3:G$593,"",0,1))</f>
        <v>22702.845000000001</v>
      </c>
    </row>
    <row r="106" spans="1:24" ht="13.2">
      <c r="A106" s="49"/>
      <c r="B106" s="49"/>
      <c r="C106" s="48"/>
      <c r="D106" s="49"/>
      <c r="E106" s="47" t="s">
        <v>564</v>
      </c>
      <c r="F106" s="47"/>
      <c r="G106" s="47"/>
      <c r="H106" s="29">
        <f t="shared" ref="H106" si="141">SUM(H90:H105)</f>
        <v>249251.375</v>
      </c>
      <c r="I106" s="29">
        <f t="shared" ref="I106:P106" si="142">SUM(I90:I105)</f>
        <v>240157.64800000002</v>
      </c>
      <c r="J106" s="29">
        <f t="shared" si="142"/>
        <v>241187.96699999995</v>
      </c>
      <c r="K106" s="29">
        <f t="shared" si="142"/>
        <v>243532.33000000002</v>
      </c>
      <c r="L106" s="29">
        <f t="shared" si="142"/>
        <v>243532.33000000002</v>
      </c>
      <c r="M106" s="30">
        <f t="shared" si="142"/>
        <v>10.222034665202816</v>
      </c>
      <c r="N106" s="31">
        <f t="shared" si="142"/>
        <v>10</v>
      </c>
      <c r="O106" s="31">
        <f t="shared" si="142"/>
        <v>10</v>
      </c>
      <c r="P106" s="31">
        <f t="shared" si="142"/>
        <v>10</v>
      </c>
      <c r="Q106" s="38"/>
      <c r="R106" s="3" t="str">
        <f t="shared" si="126"/>
        <v>Krishnagiri</v>
      </c>
      <c r="S106" s="3">
        <f t="shared" si="89"/>
        <v>0</v>
      </c>
      <c r="T106" s="3">
        <f t="shared" si="90"/>
        <v>0</v>
      </c>
      <c r="U106" s="3" t="str">
        <f t="shared" si="91"/>
        <v>Krishnagiri_0_0</v>
      </c>
      <c r="V106" s="3" t="str">
        <f>IF(_xlfn.XLOOKUP($U106,GCA!$H$3:$H$593,GCA!E$3:E$593,"",0,1)="","",_xlfn.XLOOKUP($U106,GCA!$H$3:$H$593,GCA!E$3:E$593,"",0,1))</f>
        <v/>
      </c>
      <c r="W106" s="3" t="str">
        <f>IF(_xlfn.XLOOKUP($U106,GCA!$H$3:$H$593,GCA!F$3:F$593,"",0,1)="","",_xlfn.XLOOKUP($U106,GCA!$H$3:$H$593,GCA!F$3:F$593,"",0,1))</f>
        <v/>
      </c>
      <c r="X106" s="3" t="str">
        <f>IF(_xlfn.XLOOKUP($U106,GCA!$H$3:$H$593,GCA!G$3:G$593,"",0,1)="","",_xlfn.XLOOKUP($U106,GCA!$H$3:$H$593,GCA!G$3:G$593,"",0,1))</f>
        <v/>
      </c>
    </row>
    <row r="107" spans="1:24" ht="13.2">
      <c r="A107" s="49"/>
      <c r="B107" s="49"/>
      <c r="C107" s="48" t="s">
        <v>497</v>
      </c>
      <c r="D107" s="49" t="s">
        <v>546</v>
      </c>
      <c r="E107" s="50">
        <v>1</v>
      </c>
      <c r="F107" s="26" t="s">
        <v>833</v>
      </c>
      <c r="G107" s="26" t="s">
        <v>834</v>
      </c>
      <c r="H107" s="27">
        <f t="shared" ref="H107:H116" si="143">V107</f>
        <v>9637.5550000000003</v>
      </c>
      <c r="I107" s="27">
        <f t="shared" ref="I107:I116" si="144">W107</f>
        <v>9848.92</v>
      </c>
      <c r="J107" s="27">
        <f t="shared" ref="J107:J116" si="145">X107</f>
        <v>9089.52</v>
      </c>
      <c r="K107" s="27">
        <f t="shared" ref="K107:K116" si="146">IFERROR(AVERAGE(H107:J107),"")</f>
        <v>9525.3316666666669</v>
      </c>
      <c r="L107" s="65">
        <f>SUM(K107:K116)</f>
        <v>81615.142333333337</v>
      </c>
      <c r="M107" s="67">
        <f t="shared" ref="M107:M116" si="147">L107*$L$643/$L$642</f>
        <v>3.425716881765946</v>
      </c>
      <c r="N107" s="65">
        <f t="shared" ref="N107:N116" si="148">IF(M107&gt;=2, ROUND(M107,0), IF(M107&gt;1.1,2,""))</f>
        <v>3</v>
      </c>
      <c r="O107" s="65">
        <f t="shared" ref="O107:O116" si="149">N107</f>
        <v>3</v>
      </c>
      <c r="P107" s="65">
        <f t="shared" ref="P107:P116" si="150">O107</f>
        <v>3</v>
      </c>
      <c r="Q107" s="38"/>
      <c r="R107" s="3" t="str">
        <f t="shared" ref="R107" si="151">C107</f>
        <v>Tirupathur</v>
      </c>
      <c r="S107" s="3" t="str">
        <f t="shared" si="89"/>
        <v>Ambur</v>
      </c>
      <c r="T107" s="3" t="str">
        <f t="shared" si="90"/>
        <v>Madhanur</v>
      </c>
      <c r="U107" s="3" t="str">
        <f t="shared" si="91"/>
        <v>Tirupathur_Ambur_Madhanur</v>
      </c>
      <c r="V107" s="3">
        <f>IF(_xlfn.XLOOKUP($U107,GCA!$H$3:$H$593,GCA!E$3:E$593,"",0,1)="","",_xlfn.XLOOKUP($U107,GCA!$H$3:$H$593,GCA!E$3:E$593,"",0,1))</f>
        <v>9637.5550000000003</v>
      </c>
      <c r="W107" s="3">
        <f>IF(_xlfn.XLOOKUP($U107,GCA!$H$3:$H$593,GCA!F$3:F$593,"",0,1)="","",_xlfn.XLOOKUP($U107,GCA!$H$3:$H$593,GCA!F$3:F$593,"",0,1))</f>
        <v>9848.92</v>
      </c>
      <c r="X107" s="3">
        <f>IF(_xlfn.XLOOKUP($U107,GCA!$H$3:$H$593,GCA!G$3:G$593,"",0,1)="","",_xlfn.XLOOKUP($U107,GCA!$H$3:$H$593,GCA!G$3:G$593,"",0,1))</f>
        <v>9089.52</v>
      </c>
    </row>
    <row r="108" spans="1:24" ht="13.2">
      <c r="A108" s="49"/>
      <c r="B108" s="49"/>
      <c r="C108" s="48"/>
      <c r="D108" s="49"/>
      <c r="E108" s="50"/>
      <c r="F108" s="26" t="s">
        <v>835</v>
      </c>
      <c r="G108" s="26" t="s">
        <v>836</v>
      </c>
      <c r="H108" s="27">
        <f t="shared" si="143"/>
        <v>8250.2450000000008</v>
      </c>
      <c r="I108" s="27">
        <f t="shared" si="144"/>
        <v>7264.2449999999999</v>
      </c>
      <c r="J108" s="27">
        <f t="shared" si="145"/>
        <v>7556.77</v>
      </c>
      <c r="K108" s="27">
        <f t="shared" si="146"/>
        <v>7690.420000000001</v>
      </c>
      <c r="L108" s="65"/>
      <c r="M108" s="67">
        <f t="shared" si="147"/>
        <v>0</v>
      </c>
      <c r="N108" s="65" t="str">
        <f t="shared" si="148"/>
        <v/>
      </c>
      <c r="O108" s="65" t="str">
        <f t="shared" si="149"/>
        <v/>
      </c>
      <c r="P108" s="65" t="str">
        <f t="shared" si="150"/>
        <v/>
      </c>
      <c r="Q108" s="38"/>
      <c r="R108" s="3" t="str">
        <f t="shared" ref="R108:R117" si="152">R107</f>
        <v>Tirupathur</v>
      </c>
      <c r="S108" s="3" t="str">
        <f t="shared" si="89"/>
        <v>Natrampalli</v>
      </c>
      <c r="T108" s="3" t="str">
        <f t="shared" si="90"/>
        <v>Jolarpettai</v>
      </c>
      <c r="U108" s="3" t="str">
        <f t="shared" si="91"/>
        <v>Tirupathur_Natrampalli_Jolarpettai</v>
      </c>
      <c r="V108" s="3">
        <f>IF(_xlfn.XLOOKUP($U108,GCA!$H$3:$H$593,GCA!E$3:E$593,"",0,1)="","",_xlfn.XLOOKUP($U108,GCA!$H$3:$H$593,GCA!E$3:E$593,"",0,1))</f>
        <v>8250.2450000000008</v>
      </c>
      <c r="W108" s="3">
        <f>IF(_xlfn.XLOOKUP($U108,GCA!$H$3:$H$593,GCA!F$3:F$593,"",0,1)="","",_xlfn.XLOOKUP($U108,GCA!$H$3:$H$593,GCA!F$3:F$593,"",0,1))</f>
        <v>7264.2449999999999</v>
      </c>
      <c r="X108" s="3">
        <f>IF(_xlfn.XLOOKUP($U108,GCA!$H$3:$H$593,GCA!G$3:G$593,"",0,1)="","",_xlfn.XLOOKUP($U108,GCA!$H$3:$H$593,GCA!G$3:G$593,"",0,1))</f>
        <v>7556.77</v>
      </c>
    </row>
    <row r="109" spans="1:24" ht="13.2">
      <c r="A109" s="49"/>
      <c r="B109" s="49"/>
      <c r="C109" s="48"/>
      <c r="D109" s="49"/>
      <c r="E109" s="50"/>
      <c r="F109" s="26" t="s">
        <v>835</v>
      </c>
      <c r="G109" s="26" t="s">
        <v>835</v>
      </c>
      <c r="H109" s="27">
        <f t="shared" si="143"/>
        <v>10010.5</v>
      </c>
      <c r="I109" s="27">
        <f t="shared" si="144"/>
        <v>9432.66</v>
      </c>
      <c r="J109" s="27">
        <f t="shared" si="145"/>
        <v>8689.1350000000002</v>
      </c>
      <c r="K109" s="27">
        <f t="shared" si="146"/>
        <v>9377.4316666666655</v>
      </c>
      <c r="L109" s="65"/>
      <c r="M109" s="67">
        <f t="shared" si="147"/>
        <v>0</v>
      </c>
      <c r="N109" s="65" t="str">
        <f t="shared" si="148"/>
        <v/>
      </c>
      <c r="O109" s="65" t="str">
        <f t="shared" si="149"/>
        <v/>
      </c>
      <c r="P109" s="65" t="str">
        <f t="shared" si="150"/>
        <v/>
      </c>
      <c r="Q109" s="38"/>
      <c r="R109" s="3" t="str">
        <f t="shared" si="152"/>
        <v>Tirupathur</v>
      </c>
      <c r="S109" s="3" t="str">
        <f t="shared" si="89"/>
        <v>Natrampalli</v>
      </c>
      <c r="T109" s="3" t="str">
        <f t="shared" si="90"/>
        <v>Natrampalli</v>
      </c>
      <c r="U109" s="3" t="str">
        <f t="shared" si="91"/>
        <v>Tirupathur_Natrampalli_Natrampalli</v>
      </c>
      <c r="V109" s="3">
        <f>IF(_xlfn.XLOOKUP($U109,GCA!$H$3:$H$593,GCA!E$3:E$593,"",0,1)="","",_xlfn.XLOOKUP($U109,GCA!$H$3:$H$593,GCA!E$3:E$593,"",0,1))</f>
        <v>10010.5</v>
      </c>
      <c r="W109" s="3">
        <f>IF(_xlfn.XLOOKUP($U109,GCA!$H$3:$H$593,GCA!F$3:F$593,"",0,1)="","",_xlfn.XLOOKUP($U109,GCA!$H$3:$H$593,GCA!F$3:F$593,"",0,1))</f>
        <v>9432.66</v>
      </c>
      <c r="X109" s="3">
        <f>IF(_xlfn.XLOOKUP($U109,GCA!$H$3:$H$593,GCA!G$3:G$593,"",0,1)="","",_xlfn.XLOOKUP($U109,GCA!$H$3:$H$593,GCA!G$3:G$593,"",0,1))</f>
        <v>8689.1350000000002</v>
      </c>
    </row>
    <row r="110" spans="1:24" ht="13.2">
      <c r="A110" s="49"/>
      <c r="B110" s="49"/>
      <c r="C110" s="48"/>
      <c r="D110" s="49"/>
      <c r="E110" s="50"/>
      <c r="F110" s="26" t="s">
        <v>837</v>
      </c>
      <c r="G110" s="26" t="s">
        <v>838</v>
      </c>
      <c r="H110" s="27">
        <f t="shared" si="143"/>
        <v>3531.08</v>
      </c>
      <c r="I110" s="27">
        <f t="shared" si="144"/>
        <v>3149.42</v>
      </c>
      <c r="J110" s="27">
        <f t="shared" si="145"/>
        <v>3779.6149999999998</v>
      </c>
      <c r="K110" s="27">
        <f t="shared" si="146"/>
        <v>3486.7049999999999</v>
      </c>
      <c r="L110" s="65"/>
      <c r="M110" s="67">
        <f t="shared" si="147"/>
        <v>0</v>
      </c>
      <c r="N110" s="65" t="str">
        <f t="shared" si="148"/>
        <v/>
      </c>
      <c r="O110" s="65" t="str">
        <f t="shared" si="149"/>
        <v/>
      </c>
      <c r="P110" s="65" t="str">
        <f t="shared" si="150"/>
        <v/>
      </c>
      <c r="Q110" s="38"/>
      <c r="R110" s="3" t="str">
        <f t="shared" si="152"/>
        <v>Tirupathur</v>
      </c>
      <c r="S110" s="3" t="str">
        <f t="shared" si="89"/>
        <v>Thirupathur</v>
      </c>
      <c r="T110" s="3" t="str">
        <f t="shared" si="90"/>
        <v>Alangayam</v>
      </c>
      <c r="U110" s="3" t="str">
        <f t="shared" si="91"/>
        <v>Tirupathur_Thirupathur_Alangayam</v>
      </c>
      <c r="V110" s="3">
        <f>IF(_xlfn.XLOOKUP($U110,GCA!$H$3:$H$593,GCA!E$3:E$593,"",0,1)="","",_xlfn.XLOOKUP($U110,GCA!$H$3:$H$593,GCA!E$3:E$593,"",0,1))</f>
        <v>3531.08</v>
      </c>
      <c r="W110" s="3">
        <f>IF(_xlfn.XLOOKUP($U110,GCA!$H$3:$H$593,GCA!F$3:F$593,"",0,1)="","",_xlfn.XLOOKUP($U110,GCA!$H$3:$H$593,GCA!F$3:F$593,"",0,1))</f>
        <v>3149.42</v>
      </c>
      <c r="X110" s="3">
        <f>IF(_xlfn.XLOOKUP($U110,GCA!$H$3:$H$593,GCA!G$3:G$593,"",0,1)="","",_xlfn.XLOOKUP($U110,GCA!$H$3:$H$593,GCA!G$3:G$593,"",0,1))</f>
        <v>3779.6149999999998</v>
      </c>
    </row>
    <row r="111" spans="1:24" ht="13.2">
      <c r="A111" s="49"/>
      <c r="B111" s="49"/>
      <c r="C111" s="48"/>
      <c r="D111" s="49"/>
      <c r="E111" s="50"/>
      <c r="F111" s="26" t="s">
        <v>837</v>
      </c>
      <c r="G111" s="26" t="s">
        <v>836</v>
      </c>
      <c r="H111" s="27">
        <f t="shared" si="143"/>
        <v>4390.2250000000004</v>
      </c>
      <c r="I111" s="27">
        <f t="shared" si="144"/>
        <v>3774.07</v>
      </c>
      <c r="J111" s="27">
        <f t="shared" si="145"/>
        <v>4216.4250000000002</v>
      </c>
      <c r="K111" s="27">
        <f t="shared" si="146"/>
        <v>4126.9066666666668</v>
      </c>
      <c r="L111" s="65"/>
      <c r="M111" s="67">
        <f t="shared" si="147"/>
        <v>0</v>
      </c>
      <c r="N111" s="65" t="str">
        <f t="shared" si="148"/>
        <v/>
      </c>
      <c r="O111" s="65" t="str">
        <f t="shared" si="149"/>
        <v/>
      </c>
      <c r="P111" s="65" t="str">
        <f t="shared" si="150"/>
        <v/>
      </c>
      <c r="Q111" s="38"/>
      <c r="R111" s="3" t="str">
        <f t="shared" si="152"/>
        <v>Tirupathur</v>
      </c>
      <c r="S111" s="3" t="str">
        <f t="shared" si="89"/>
        <v>Thirupathur</v>
      </c>
      <c r="T111" s="3" t="str">
        <f t="shared" si="90"/>
        <v>Jolarpettai</v>
      </c>
      <c r="U111" s="3" t="str">
        <f t="shared" si="91"/>
        <v>Tirupathur_Thirupathur_Jolarpettai</v>
      </c>
      <c r="V111" s="3">
        <f>IF(_xlfn.XLOOKUP($U111,GCA!$H$3:$H$593,GCA!E$3:E$593,"",0,1)="","",_xlfn.XLOOKUP($U111,GCA!$H$3:$H$593,GCA!E$3:E$593,"",0,1))</f>
        <v>4390.2250000000004</v>
      </c>
      <c r="W111" s="3">
        <f>IF(_xlfn.XLOOKUP($U111,GCA!$H$3:$H$593,GCA!F$3:F$593,"",0,1)="","",_xlfn.XLOOKUP($U111,GCA!$H$3:$H$593,GCA!F$3:F$593,"",0,1))</f>
        <v>3774.07</v>
      </c>
      <c r="X111" s="3">
        <f>IF(_xlfn.XLOOKUP($U111,GCA!$H$3:$H$593,GCA!G$3:G$593,"",0,1)="","",_xlfn.XLOOKUP($U111,GCA!$H$3:$H$593,GCA!G$3:G$593,"",0,1))</f>
        <v>4216.4250000000002</v>
      </c>
    </row>
    <row r="112" spans="1:24" ht="13.2">
      <c r="A112" s="49"/>
      <c r="B112" s="49"/>
      <c r="C112" s="48"/>
      <c r="D112" s="49"/>
      <c r="E112" s="50"/>
      <c r="F112" s="26" t="s">
        <v>837</v>
      </c>
      <c r="G112" s="26" t="s">
        <v>839</v>
      </c>
      <c r="H112" s="27">
        <f t="shared" si="143"/>
        <v>16405.57</v>
      </c>
      <c r="I112" s="27">
        <f t="shared" si="144"/>
        <v>17180.91</v>
      </c>
      <c r="J112" s="27">
        <f t="shared" si="145"/>
        <v>16238.715</v>
      </c>
      <c r="K112" s="27">
        <f t="shared" si="146"/>
        <v>16608.398333333331</v>
      </c>
      <c r="L112" s="65"/>
      <c r="M112" s="67">
        <f t="shared" si="147"/>
        <v>0</v>
      </c>
      <c r="N112" s="65" t="str">
        <f t="shared" si="148"/>
        <v/>
      </c>
      <c r="O112" s="65" t="str">
        <f t="shared" si="149"/>
        <v/>
      </c>
      <c r="P112" s="65" t="str">
        <f t="shared" si="150"/>
        <v/>
      </c>
      <c r="Q112" s="38"/>
      <c r="R112" s="3" t="str">
        <f t="shared" si="152"/>
        <v>Tirupathur</v>
      </c>
      <c r="S112" s="3" t="str">
        <f t="shared" si="89"/>
        <v>Thirupathur</v>
      </c>
      <c r="T112" s="3" t="str">
        <f t="shared" si="90"/>
        <v>Kandhili</v>
      </c>
      <c r="U112" s="3" t="str">
        <f t="shared" si="91"/>
        <v>Tirupathur_Thirupathur_Kandhili</v>
      </c>
      <c r="V112" s="3">
        <f>IF(_xlfn.XLOOKUP($U112,GCA!$H$3:$H$593,GCA!E$3:E$593,"",0,1)="","",_xlfn.XLOOKUP($U112,GCA!$H$3:$H$593,GCA!E$3:E$593,"",0,1))</f>
        <v>16405.57</v>
      </c>
      <c r="W112" s="3">
        <f>IF(_xlfn.XLOOKUP($U112,GCA!$H$3:$H$593,GCA!F$3:F$593,"",0,1)="","",_xlfn.XLOOKUP($U112,GCA!$H$3:$H$593,GCA!F$3:F$593,"",0,1))</f>
        <v>17180.91</v>
      </c>
      <c r="X112" s="3">
        <f>IF(_xlfn.XLOOKUP($U112,GCA!$H$3:$H$593,GCA!G$3:G$593,"",0,1)="","",_xlfn.XLOOKUP($U112,GCA!$H$3:$H$593,GCA!G$3:G$593,"",0,1))</f>
        <v>16238.715</v>
      </c>
    </row>
    <row r="113" spans="1:24" ht="13.2">
      <c r="A113" s="49"/>
      <c r="B113" s="49"/>
      <c r="C113" s="48"/>
      <c r="D113" s="49"/>
      <c r="E113" s="50"/>
      <c r="F113" s="26" t="s">
        <v>837</v>
      </c>
      <c r="G113" s="26" t="s">
        <v>837</v>
      </c>
      <c r="H113" s="27">
        <f t="shared" si="143"/>
        <v>15877.258</v>
      </c>
      <c r="I113" s="27">
        <f t="shared" si="144"/>
        <v>16056.635</v>
      </c>
      <c r="J113" s="27">
        <f t="shared" si="145"/>
        <v>15253.25</v>
      </c>
      <c r="K113" s="27">
        <f t="shared" si="146"/>
        <v>15729.047666666665</v>
      </c>
      <c r="L113" s="65"/>
      <c r="M113" s="67">
        <f t="shared" si="147"/>
        <v>0</v>
      </c>
      <c r="N113" s="65" t="str">
        <f t="shared" si="148"/>
        <v/>
      </c>
      <c r="O113" s="65" t="str">
        <f t="shared" si="149"/>
        <v/>
      </c>
      <c r="P113" s="65" t="str">
        <f t="shared" si="150"/>
        <v/>
      </c>
      <c r="Q113" s="38"/>
      <c r="R113" s="3" t="str">
        <f t="shared" si="152"/>
        <v>Tirupathur</v>
      </c>
      <c r="S113" s="3" t="str">
        <f t="shared" si="89"/>
        <v>Thirupathur</v>
      </c>
      <c r="T113" s="3" t="str">
        <f t="shared" si="90"/>
        <v>Thirupathur</v>
      </c>
      <c r="U113" s="3" t="str">
        <f t="shared" si="91"/>
        <v>Tirupathur_Thirupathur_Thirupathur</v>
      </c>
      <c r="V113" s="3">
        <f>IF(_xlfn.XLOOKUP($U113,GCA!$H$3:$H$593,GCA!E$3:E$593,"",0,1)="","",_xlfn.XLOOKUP($U113,GCA!$H$3:$H$593,GCA!E$3:E$593,"",0,1))</f>
        <v>15877.258</v>
      </c>
      <c r="W113" s="3">
        <f>IF(_xlfn.XLOOKUP($U113,GCA!$H$3:$H$593,GCA!F$3:F$593,"",0,1)="","",_xlfn.XLOOKUP($U113,GCA!$H$3:$H$593,GCA!F$3:F$593,"",0,1))</f>
        <v>16056.635</v>
      </c>
      <c r="X113" s="3">
        <f>IF(_xlfn.XLOOKUP($U113,GCA!$H$3:$H$593,GCA!G$3:G$593,"",0,1)="","",_xlfn.XLOOKUP($U113,GCA!$H$3:$H$593,GCA!G$3:G$593,"",0,1))</f>
        <v>15253.25</v>
      </c>
    </row>
    <row r="114" spans="1:24" ht="13.2">
      <c r="A114" s="49"/>
      <c r="B114" s="49"/>
      <c r="C114" s="48"/>
      <c r="D114" s="49"/>
      <c r="E114" s="50"/>
      <c r="F114" s="26" t="s">
        <v>840</v>
      </c>
      <c r="G114" s="26" t="s">
        <v>838</v>
      </c>
      <c r="H114" s="27">
        <f t="shared" si="143"/>
        <v>11230.22</v>
      </c>
      <c r="I114" s="27">
        <f t="shared" si="144"/>
        <v>10984.388999999999</v>
      </c>
      <c r="J114" s="27">
        <f t="shared" si="145"/>
        <v>11018.11</v>
      </c>
      <c r="K114" s="27">
        <f t="shared" si="146"/>
        <v>11077.572999999999</v>
      </c>
      <c r="L114" s="65"/>
      <c r="M114" s="67">
        <f t="shared" si="147"/>
        <v>0</v>
      </c>
      <c r="N114" s="65" t="str">
        <f t="shared" si="148"/>
        <v/>
      </c>
      <c r="O114" s="65" t="str">
        <f t="shared" si="149"/>
        <v/>
      </c>
      <c r="P114" s="65" t="str">
        <f t="shared" si="150"/>
        <v/>
      </c>
      <c r="Q114" s="38"/>
      <c r="R114" s="3" t="str">
        <f t="shared" si="152"/>
        <v>Tirupathur</v>
      </c>
      <c r="S114" s="3" t="str">
        <f t="shared" si="89"/>
        <v>Vaniyambadi</v>
      </c>
      <c r="T114" s="3" t="str">
        <f t="shared" si="90"/>
        <v>Alangayam</v>
      </c>
      <c r="U114" s="3" t="str">
        <f t="shared" si="91"/>
        <v>Tirupathur_Vaniyambadi_Alangayam</v>
      </c>
      <c r="V114" s="3">
        <f>IF(_xlfn.XLOOKUP($U114,GCA!$H$3:$H$593,GCA!E$3:E$593,"",0,1)="","",_xlfn.XLOOKUP($U114,GCA!$H$3:$H$593,GCA!E$3:E$593,"",0,1))</f>
        <v>11230.22</v>
      </c>
      <c r="W114" s="3">
        <f>IF(_xlfn.XLOOKUP($U114,GCA!$H$3:$H$593,GCA!F$3:F$593,"",0,1)="","",_xlfn.XLOOKUP($U114,GCA!$H$3:$H$593,GCA!F$3:F$593,"",0,1))</f>
        <v>10984.388999999999</v>
      </c>
      <c r="X114" s="3">
        <f>IF(_xlfn.XLOOKUP($U114,GCA!$H$3:$H$593,GCA!G$3:G$593,"",0,1)="","",_xlfn.XLOOKUP($U114,GCA!$H$3:$H$593,GCA!G$3:G$593,"",0,1))</f>
        <v>11018.11</v>
      </c>
    </row>
    <row r="115" spans="1:24" ht="13.2">
      <c r="A115" s="49"/>
      <c r="B115" s="49"/>
      <c r="C115" s="48"/>
      <c r="D115" s="49"/>
      <c r="E115" s="50"/>
      <c r="F115" s="26" t="s">
        <v>840</v>
      </c>
      <c r="G115" s="26" t="s">
        <v>836</v>
      </c>
      <c r="H115" s="27">
        <f t="shared" si="143"/>
        <v>363.75</v>
      </c>
      <c r="I115" s="27">
        <f t="shared" si="144"/>
        <v>408.375</v>
      </c>
      <c r="J115" s="27">
        <f t="shared" si="145"/>
        <v>354.97500000000002</v>
      </c>
      <c r="K115" s="27">
        <f t="shared" si="146"/>
        <v>375.7</v>
      </c>
      <c r="L115" s="65"/>
      <c r="M115" s="67">
        <f t="shared" si="147"/>
        <v>0</v>
      </c>
      <c r="N115" s="65" t="str">
        <f t="shared" si="148"/>
        <v/>
      </c>
      <c r="O115" s="65" t="str">
        <f t="shared" si="149"/>
        <v/>
      </c>
      <c r="P115" s="65" t="str">
        <f t="shared" si="150"/>
        <v/>
      </c>
      <c r="Q115" s="38"/>
      <c r="R115" s="3" t="str">
        <f t="shared" si="152"/>
        <v>Tirupathur</v>
      </c>
      <c r="S115" s="3" t="str">
        <f t="shared" si="89"/>
        <v>Vaniyambadi</v>
      </c>
      <c r="T115" s="3" t="str">
        <f t="shared" si="90"/>
        <v>Jolarpettai</v>
      </c>
      <c r="U115" s="3" t="str">
        <f t="shared" si="91"/>
        <v>Tirupathur_Vaniyambadi_Jolarpettai</v>
      </c>
      <c r="V115" s="3">
        <f>IF(_xlfn.XLOOKUP($U115,GCA!$H$3:$H$593,GCA!E$3:E$593,"",0,1)="","",_xlfn.XLOOKUP($U115,GCA!$H$3:$H$593,GCA!E$3:E$593,"",0,1))</f>
        <v>363.75</v>
      </c>
      <c r="W115" s="3">
        <f>IF(_xlfn.XLOOKUP($U115,GCA!$H$3:$H$593,GCA!F$3:F$593,"",0,1)="","",_xlfn.XLOOKUP($U115,GCA!$H$3:$H$593,GCA!F$3:F$593,"",0,1))</f>
        <v>408.375</v>
      </c>
      <c r="X115" s="3">
        <f>IF(_xlfn.XLOOKUP($U115,GCA!$H$3:$H$593,GCA!G$3:G$593,"",0,1)="","",_xlfn.XLOOKUP($U115,GCA!$H$3:$H$593,GCA!G$3:G$593,"",0,1))</f>
        <v>354.97500000000002</v>
      </c>
    </row>
    <row r="116" spans="1:24" ht="13.2">
      <c r="A116" s="49"/>
      <c r="B116" s="49"/>
      <c r="C116" s="48"/>
      <c r="D116" s="49"/>
      <c r="E116" s="50"/>
      <c r="F116" s="26" t="s">
        <v>840</v>
      </c>
      <c r="G116" s="26" t="s">
        <v>835</v>
      </c>
      <c r="H116" s="27">
        <f t="shared" si="143"/>
        <v>3786</v>
      </c>
      <c r="I116" s="27">
        <f t="shared" si="144"/>
        <v>3319.17</v>
      </c>
      <c r="J116" s="27">
        <f t="shared" si="145"/>
        <v>3747.7150000000001</v>
      </c>
      <c r="K116" s="27">
        <f t="shared" si="146"/>
        <v>3617.6283333333336</v>
      </c>
      <c r="L116" s="65"/>
      <c r="M116" s="67">
        <f t="shared" si="147"/>
        <v>0</v>
      </c>
      <c r="N116" s="65" t="str">
        <f t="shared" si="148"/>
        <v/>
      </c>
      <c r="O116" s="65" t="str">
        <f t="shared" si="149"/>
        <v/>
      </c>
      <c r="P116" s="65" t="str">
        <f t="shared" si="150"/>
        <v/>
      </c>
      <c r="Q116" s="38"/>
      <c r="R116" s="3" t="str">
        <f t="shared" si="152"/>
        <v>Tirupathur</v>
      </c>
      <c r="S116" s="3" t="str">
        <f t="shared" si="89"/>
        <v>Vaniyambadi</v>
      </c>
      <c r="T116" s="3" t="str">
        <f t="shared" si="90"/>
        <v>Natrampalli</v>
      </c>
      <c r="U116" s="3" t="str">
        <f t="shared" si="91"/>
        <v>Tirupathur_Vaniyambadi_Natrampalli</v>
      </c>
      <c r="V116" s="3">
        <f>IF(_xlfn.XLOOKUP($U116,GCA!$H$3:$H$593,GCA!E$3:E$593,"",0,1)="","",_xlfn.XLOOKUP($U116,GCA!$H$3:$H$593,GCA!E$3:E$593,"",0,1))</f>
        <v>3786</v>
      </c>
      <c r="W116" s="3">
        <f>IF(_xlfn.XLOOKUP($U116,GCA!$H$3:$H$593,GCA!F$3:F$593,"",0,1)="","",_xlfn.XLOOKUP($U116,GCA!$H$3:$H$593,GCA!F$3:F$593,"",0,1))</f>
        <v>3319.17</v>
      </c>
      <c r="X116" s="3">
        <f>IF(_xlfn.XLOOKUP($U116,GCA!$H$3:$H$593,GCA!G$3:G$593,"",0,1)="","",_xlfn.XLOOKUP($U116,GCA!$H$3:$H$593,GCA!G$3:G$593,"",0,1))</f>
        <v>3747.7150000000001</v>
      </c>
    </row>
    <row r="117" spans="1:24" ht="13.2">
      <c r="A117" s="49"/>
      <c r="B117" s="49"/>
      <c r="C117" s="48"/>
      <c r="D117" s="49"/>
      <c r="E117" s="47" t="s">
        <v>564</v>
      </c>
      <c r="F117" s="47"/>
      <c r="G117" s="47"/>
      <c r="H117" s="29">
        <f t="shared" ref="H117:P117" si="153">SUM(H107:H116)</f>
        <v>83482.403000000006</v>
      </c>
      <c r="I117" s="29">
        <f t="shared" si="153"/>
        <v>81418.793999999994</v>
      </c>
      <c r="J117" s="29">
        <f t="shared" si="153"/>
        <v>79944.23000000001</v>
      </c>
      <c r="K117" s="29">
        <f t="shared" si="153"/>
        <v>81615.142333333337</v>
      </c>
      <c r="L117" s="29">
        <f t="shared" si="153"/>
        <v>81615.142333333337</v>
      </c>
      <c r="M117" s="30">
        <f t="shared" si="153"/>
        <v>3.425716881765946</v>
      </c>
      <c r="N117" s="31">
        <f t="shared" si="153"/>
        <v>3</v>
      </c>
      <c r="O117" s="31">
        <f t="shared" si="153"/>
        <v>3</v>
      </c>
      <c r="P117" s="31">
        <f t="shared" si="153"/>
        <v>3</v>
      </c>
      <c r="Q117" s="38"/>
      <c r="R117" s="3" t="str">
        <f t="shared" si="152"/>
        <v>Tirupathur</v>
      </c>
      <c r="S117" s="3">
        <f t="shared" si="89"/>
        <v>0</v>
      </c>
      <c r="T117" s="3">
        <f t="shared" si="90"/>
        <v>0</v>
      </c>
      <c r="U117" s="3" t="str">
        <f t="shared" si="91"/>
        <v>Tirupathur_0_0</v>
      </c>
      <c r="V117" s="3" t="str">
        <f>IF(_xlfn.XLOOKUP($U117,GCA!$H$3:$H$593,GCA!E$3:E$593,"",0,1)="","",_xlfn.XLOOKUP($U117,GCA!$H$3:$H$593,GCA!E$3:E$593,"",0,1))</f>
        <v/>
      </c>
      <c r="W117" s="3" t="str">
        <f>IF(_xlfn.XLOOKUP($U117,GCA!$H$3:$H$593,GCA!F$3:F$593,"",0,1)="","",_xlfn.XLOOKUP($U117,GCA!$H$3:$H$593,GCA!F$3:F$593,"",0,1))</f>
        <v/>
      </c>
      <c r="X117" s="3" t="str">
        <f>IF(_xlfn.XLOOKUP($U117,GCA!$H$3:$H$593,GCA!G$3:G$593,"",0,1)="","",_xlfn.XLOOKUP($U117,GCA!$H$3:$H$593,GCA!G$3:G$593,"",0,1))</f>
        <v/>
      </c>
    </row>
    <row r="118" spans="1:24" ht="13.2">
      <c r="A118" s="49"/>
      <c r="B118" s="49"/>
      <c r="C118" s="54" t="s">
        <v>521</v>
      </c>
      <c r="D118" s="54"/>
      <c r="E118" s="54"/>
      <c r="F118" s="54"/>
      <c r="G118" s="54"/>
      <c r="H118" s="32">
        <f>SUM(H106,H89,H117)</f>
        <v>595284.43300000008</v>
      </c>
      <c r="I118" s="32">
        <f t="shared" ref="I118:P118" si="154">SUM(I106,I89,I117)</f>
        <v>572811.84199999995</v>
      </c>
      <c r="J118" s="32">
        <f t="shared" si="154"/>
        <v>571492.65700000001</v>
      </c>
      <c r="K118" s="32">
        <f t="shared" si="154"/>
        <v>579862.97733333346</v>
      </c>
      <c r="L118" s="32">
        <f t="shared" si="154"/>
        <v>579862.97733333334</v>
      </c>
      <c r="M118" s="46">
        <f t="shared" si="154"/>
        <v>24.339189196641978</v>
      </c>
      <c r="N118" s="32">
        <f t="shared" si="154"/>
        <v>23</v>
      </c>
      <c r="O118" s="32">
        <f t="shared" si="154"/>
        <v>23</v>
      </c>
      <c r="P118" s="32">
        <f t="shared" si="154"/>
        <v>23</v>
      </c>
      <c r="Q118" s="38"/>
      <c r="R118" s="3" t="str">
        <f t="shared" si="96"/>
        <v>SRO TOTAL</v>
      </c>
      <c r="S118" s="3">
        <f t="shared" si="89"/>
        <v>0</v>
      </c>
      <c r="T118" s="3">
        <f t="shared" si="90"/>
        <v>0</v>
      </c>
      <c r="U118" s="3" t="str">
        <f t="shared" si="91"/>
        <v>SRO TOTAL_0_0</v>
      </c>
      <c r="V118" s="3" t="str">
        <f>IF(_xlfn.XLOOKUP($U118,GCA!$H$3:$H$593,GCA!E$3:E$593,"",0,1)="","",_xlfn.XLOOKUP($U118,GCA!$H$3:$H$593,GCA!E$3:E$593,"",0,1))</f>
        <v/>
      </c>
      <c r="W118" s="3" t="str">
        <f>IF(_xlfn.XLOOKUP($U118,GCA!$H$3:$H$593,GCA!F$3:F$593,"",0,1)="","",_xlfn.XLOOKUP($U118,GCA!$H$3:$H$593,GCA!F$3:F$593,"",0,1))</f>
        <v/>
      </c>
      <c r="X118" s="3" t="str">
        <f>IF(_xlfn.XLOOKUP($U118,GCA!$H$3:$H$593,GCA!G$3:G$593,"",0,1)="","",_xlfn.XLOOKUP($U118,GCA!$H$3:$H$593,GCA!G$3:G$593,"",0,1))</f>
        <v/>
      </c>
    </row>
    <row r="119" spans="1:24" ht="13.2">
      <c r="A119" s="49"/>
      <c r="B119" s="49" t="s">
        <v>233</v>
      </c>
      <c r="C119" s="48" t="s">
        <v>233</v>
      </c>
      <c r="D119" s="49" t="s">
        <v>525</v>
      </c>
      <c r="E119" s="50">
        <v>1</v>
      </c>
      <c r="F119" s="26" t="s">
        <v>637</v>
      </c>
      <c r="G119" s="26" t="s">
        <v>637</v>
      </c>
      <c r="H119" s="27">
        <f t="shared" ref="H119:H144" si="155">V119</f>
        <v>18276.419999999998</v>
      </c>
      <c r="I119" s="27">
        <f t="shared" ref="I119:I144" si="156">W119</f>
        <v>18458.599999999999</v>
      </c>
      <c r="J119" s="27">
        <f t="shared" ref="J119:J144" si="157">X119</f>
        <v>17424.71</v>
      </c>
      <c r="K119" s="27">
        <f t="shared" ref="K119:K144" si="158">IFERROR(AVERAGE(H119:J119),"")</f>
        <v>18053.243333333332</v>
      </c>
      <c r="L119" s="65">
        <f>SUM(K119:K121)</f>
        <v>47933.035999999993</v>
      </c>
      <c r="M119" s="67">
        <f t="shared" ref="M119:M144" si="159">L119*$L$643/$L$642</f>
        <v>2.0119429547625751</v>
      </c>
      <c r="N119" s="65">
        <f t="shared" si="86"/>
        <v>2</v>
      </c>
      <c r="O119" s="65">
        <f t="shared" ref="O119:P119" si="160">N119</f>
        <v>2</v>
      </c>
      <c r="P119" s="65">
        <f t="shared" si="160"/>
        <v>2</v>
      </c>
      <c r="Q119" s="38"/>
      <c r="R119" s="3" t="str">
        <f t="shared" si="96"/>
        <v>Salem</v>
      </c>
      <c r="S119" s="3" t="str">
        <f t="shared" si="89"/>
        <v>Attur</v>
      </c>
      <c r="T119" s="3" t="str">
        <f t="shared" si="90"/>
        <v>Attur</v>
      </c>
      <c r="U119" s="3" t="str">
        <f t="shared" si="91"/>
        <v>Salem_Attur_Attur</v>
      </c>
      <c r="V119" s="3">
        <f>IF(_xlfn.XLOOKUP($U119,GCA!$H$3:$H$593,GCA!E$3:E$593,"",0,1)="","",_xlfn.XLOOKUP($U119,GCA!$H$3:$H$593,GCA!E$3:E$593,"",0,1))</f>
        <v>18276.419999999998</v>
      </c>
      <c r="W119" s="3">
        <f>IF(_xlfn.XLOOKUP($U119,GCA!$H$3:$H$593,GCA!F$3:F$593,"",0,1)="","",_xlfn.XLOOKUP($U119,GCA!$H$3:$H$593,GCA!F$3:F$593,"",0,1))</f>
        <v>18458.599999999999</v>
      </c>
      <c r="X119" s="3">
        <f>IF(_xlfn.XLOOKUP($U119,GCA!$H$3:$H$593,GCA!G$3:G$593,"",0,1)="","",_xlfn.XLOOKUP($U119,GCA!$H$3:$H$593,GCA!G$3:G$593,"",0,1))</f>
        <v>17424.71</v>
      </c>
    </row>
    <row r="120" spans="1:24" ht="13.2">
      <c r="A120" s="49"/>
      <c r="B120" s="49"/>
      <c r="C120" s="48"/>
      <c r="D120" s="49"/>
      <c r="E120" s="50"/>
      <c r="F120" s="26" t="s">
        <v>638</v>
      </c>
      <c r="G120" s="26" t="s">
        <v>638</v>
      </c>
      <c r="H120" s="27">
        <f t="shared" si="155"/>
        <v>18551.505000000001</v>
      </c>
      <c r="I120" s="27">
        <f t="shared" si="156"/>
        <v>18154.68</v>
      </c>
      <c r="J120" s="27">
        <f t="shared" si="157"/>
        <v>17668.922999999999</v>
      </c>
      <c r="K120" s="27">
        <f t="shared" si="158"/>
        <v>18125.035999999996</v>
      </c>
      <c r="L120" s="65"/>
      <c r="M120" s="67">
        <f t="shared" si="159"/>
        <v>0</v>
      </c>
      <c r="N120" s="65" t="str">
        <f t="shared" si="86"/>
        <v/>
      </c>
      <c r="O120" s="65" t="str">
        <f t="shared" ref="O120:P120" si="161">N120</f>
        <v/>
      </c>
      <c r="P120" s="65" t="str">
        <f t="shared" si="161"/>
        <v/>
      </c>
      <c r="Q120" s="38"/>
      <c r="R120" s="3" t="str">
        <f t="shared" ref="R120:R145" si="162">R119</f>
        <v>Salem</v>
      </c>
      <c r="S120" s="3" t="str">
        <f t="shared" si="89"/>
        <v>Edappadi</v>
      </c>
      <c r="T120" s="3" t="str">
        <f t="shared" si="90"/>
        <v>Edappadi</v>
      </c>
      <c r="U120" s="3" t="str">
        <f t="shared" si="91"/>
        <v>Salem_Edappadi_Edappadi</v>
      </c>
      <c r="V120" s="3">
        <f>IF(_xlfn.XLOOKUP($U120,GCA!$H$3:$H$593,GCA!E$3:E$593,"",0,1)="","",_xlfn.XLOOKUP($U120,GCA!$H$3:$H$593,GCA!E$3:E$593,"",0,1))</f>
        <v>18551.505000000001</v>
      </c>
      <c r="W120" s="3">
        <f>IF(_xlfn.XLOOKUP($U120,GCA!$H$3:$H$593,GCA!F$3:F$593,"",0,1)="","",_xlfn.XLOOKUP($U120,GCA!$H$3:$H$593,GCA!F$3:F$593,"",0,1))</f>
        <v>18154.68</v>
      </c>
      <c r="X120" s="3">
        <f>IF(_xlfn.XLOOKUP($U120,GCA!$H$3:$H$593,GCA!G$3:G$593,"",0,1)="","",_xlfn.XLOOKUP($U120,GCA!$H$3:$H$593,GCA!G$3:G$593,"",0,1))</f>
        <v>17668.922999999999</v>
      </c>
    </row>
    <row r="121" spans="1:24" ht="13.2">
      <c r="A121" s="49"/>
      <c r="B121" s="49"/>
      <c r="C121" s="48"/>
      <c r="D121" s="49"/>
      <c r="E121" s="50"/>
      <c r="F121" s="26" t="s">
        <v>638</v>
      </c>
      <c r="G121" s="26" t="s">
        <v>639</v>
      </c>
      <c r="H121" s="27">
        <f t="shared" si="155"/>
        <v>11821.51</v>
      </c>
      <c r="I121" s="27">
        <f t="shared" si="156"/>
        <v>11550.63</v>
      </c>
      <c r="J121" s="27">
        <f t="shared" si="157"/>
        <v>11892.13</v>
      </c>
      <c r="K121" s="27">
        <f t="shared" si="158"/>
        <v>11754.756666666666</v>
      </c>
      <c r="L121" s="65"/>
      <c r="M121" s="67">
        <f t="shared" si="159"/>
        <v>0</v>
      </c>
      <c r="N121" s="65" t="str">
        <f t="shared" si="86"/>
        <v/>
      </c>
      <c r="O121" s="65" t="str">
        <f t="shared" ref="O121:P121" si="163">N121</f>
        <v/>
      </c>
      <c r="P121" s="65" t="str">
        <f t="shared" si="163"/>
        <v/>
      </c>
      <c r="Q121" s="38"/>
      <c r="R121" s="3" t="str">
        <f t="shared" si="162"/>
        <v>Salem</v>
      </c>
      <c r="S121" s="3" t="str">
        <f t="shared" si="89"/>
        <v>Edappadi</v>
      </c>
      <c r="T121" s="3" t="str">
        <f t="shared" si="90"/>
        <v>Konganapuram</v>
      </c>
      <c r="U121" s="3" t="str">
        <f t="shared" si="91"/>
        <v>Salem_Edappadi_Konganapuram</v>
      </c>
      <c r="V121" s="3">
        <f>IF(_xlfn.XLOOKUP($U121,GCA!$H$3:$H$593,GCA!E$3:E$593,"",0,1)="","",_xlfn.XLOOKUP($U121,GCA!$H$3:$H$593,GCA!E$3:E$593,"",0,1))</f>
        <v>11821.51</v>
      </c>
      <c r="W121" s="3">
        <f>IF(_xlfn.XLOOKUP($U121,GCA!$H$3:$H$593,GCA!F$3:F$593,"",0,1)="","",_xlfn.XLOOKUP($U121,GCA!$H$3:$H$593,GCA!F$3:F$593,"",0,1))</f>
        <v>11550.63</v>
      </c>
      <c r="X121" s="3">
        <f>IF(_xlfn.XLOOKUP($U121,GCA!$H$3:$H$593,GCA!G$3:G$593,"",0,1)="","",_xlfn.XLOOKUP($U121,GCA!$H$3:$H$593,GCA!G$3:G$593,"",0,1))</f>
        <v>11892.13</v>
      </c>
    </row>
    <row r="122" spans="1:24" ht="13.2">
      <c r="A122" s="49"/>
      <c r="B122" s="49"/>
      <c r="C122" s="48"/>
      <c r="D122" s="49"/>
      <c r="E122" s="50">
        <v>2</v>
      </c>
      <c r="F122" s="26" t="s">
        <v>640</v>
      </c>
      <c r="G122" s="26" t="s">
        <v>640</v>
      </c>
      <c r="H122" s="27">
        <f t="shared" si="155"/>
        <v>23435.13</v>
      </c>
      <c r="I122" s="27">
        <f t="shared" si="156"/>
        <v>22650.48</v>
      </c>
      <c r="J122" s="27">
        <f t="shared" si="157"/>
        <v>22197.68</v>
      </c>
      <c r="K122" s="27">
        <f t="shared" si="158"/>
        <v>22761.096666666668</v>
      </c>
      <c r="L122" s="65">
        <f>SUM(K122:K124)</f>
        <v>42593.23333333333</v>
      </c>
      <c r="M122" s="67">
        <f t="shared" si="159"/>
        <v>1.7878098880604703</v>
      </c>
      <c r="N122" s="65">
        <f t="shared" si="86"/>
        <v>2</v>
      </c>
      <c r="O122" s="65">
        <f t="shared" ref="O122:P122" si="164">N122</f>
        <v>2</v>
      </c>
      <c r="P122" s="65">
        <f t="shared" si="164"/>
        <v>2</v>
      </c>
      <c r="Q122" s="38"/>
      <c r="R122" s="3" t="str">
        <f t="shared" si="162"/>
        <v>Salem</v>
      </c>
      <c r="S122" s="3" t="str">
        <f t="shared" si="89"/>
        <v>Gangavalli</v>
      </c>
      <c r="T122" s="3" t="str">
        <f t="shared" si="90"/>
        <v>Gangavalli</v>
      </c>
      <c r="U122" s="3" t="str">
        <f t="shared" si="91"/>
        <v>Salem_Gangavalli_Gangavalli</v>
      </c>
      <c r="V122" s="3">
        <f>IF(_xlfn.XLOOKUP($U122,GCA!$H$3:$H$593,GCA!E$3:E$593,"",0,1)="","",_xlfn.XLOOKUP($U122,GCA!$H$3:$H$593,GCA!E$3:E$593,"",0,1))</f>
        <v>23435.13</v>
      </c>
      <c r="W122" s="3">
        <f>IF(_xlfn.XLOOKUP($U122,GCA!$H$3:$H$593,GCA!F$3:F$593,"",0,1)="","",_xlfn.XLOOKUP($U122,GCA!$H$3:$H$593,GCA!F$3:F$593,"",0,1))</f>
        <v>22650.48</v>
      </c>
      <c r="X122" s="3">
        <f>IF(_xlfn.XLOOKUP($U122,GCA!$H$3:$H$593,GCA!G$3:G$593,"",0,1)="","",_xlfn.XLOOKUP($U122,GCA!$H$3:$H$593,GCA!G$3:G$593,"",0,1))</f>
        <v>22197.68</v>
      </c>
    </row>
    <row r="123" spans="1:24" ht="13.2">
      <c r="A123" s="49"/>
      <c r="B123" s="49"/>
      <c r="C123" s="48"/>
      <c r="D123" s="49"/>
      <c r="E123" s="50"/>
      <c r="F123" s="26" t="s">
        <v>641</v>
      </c>
      <c r="G123" s="26" t="s">
        <v>641</v>
      </c>
      <c r="H123" s="27">
        <f t="shared" si="155"/>
        <v>16983.8</v>
      </c>
      <c r="I123" s="27">
        <f t="shared" si="156"/>
        <v>17424.400000000001</v>
      </c>
      <c r="J123" s="27">
        <f t="shared" si="157"/>
        <v>17883.099999999999</v>
      </c>
      <c r="K123" s="27">
        <f t="shared" si="158"/>
        <v>17430.433333333331</v>
      </c>
      <c r="L123" s="65"/>
      <c r="M123" s="67">
        <f t="shared" si="159"/>
        <v>0</v>
      </c>
      <c r="N123" s="65" t="str">
        <f t="shared" si="86"/>
        <v/>
      </c>
      <c r="O123" s="65" t="str">
        <f t="shared" ref="O123:P123" si="165">N123</f>
        <v/>
      </c>
      <c r="P123" s="65" t="str">
        <f t="shared" si="165"/>
        <v/>
      </c>
      <c r="Q123" s="38"/>
      <c r="R123" s="3" t="str">
        <f t="shared" si="162"/>
        <v>Salem</v>
      </c>
      <c r="S123" s="3" t="str">
        <f t="shared" si="89"/>
        <v>Kadayampatti</v>
      </c>
      <c r="T123" s="3" t="str">
        <f t="shared" si="90"/>
        <v>Kadayampatti</v>
      </c>
      <c r="U123" s="3" t="str">
        <f t="shared" si="91"/>
        <v>Salem_Kadayampatti_Kadayampatti</v>
      </c>
      <c r="V123" s="3">
        <f>IF(_xlfn.XLOOKUP($U123,GCA!$H$3:$H$593,GCA!E$3:E$593,"",0,1)="","",_xlfn.XLOOKUP($U123,GCA!$H$3:$H$593,GCA!E$3:E$593,"",0,1))</f>
        <v>16983.8</v>
      </c>
      <c r="W123" s="3">
        <f>IF(_xlfn.XLOOKUP($U123,GCA!$H$3:$H$593,GCA!F$3:F$593,"",0,1)="","",_xlfn.XLOOKUP($U123,GCA!$H$3:$H$593,GCA!F$3:F$593,"",0,1))</f>
        <v>17424.400000000001</v>
      </c>
      <c r="X123" s="3">
        <f>IF(_xlfn.XLOOKUP($U123,GCA!$H$3:$H$593,GCA!G$3:G$593,"",0,1)="","",_xlfn.XLOOKUP($U123,GCA!$H$3:$H$593,GCA!G$3:G$593,"",0,1))</f>
        <v>17883.099999999999</v>
      </c>
    </row>
    <row r="124" spans="1:24" ht="13.2">
      <c r="A124" s="49"/>
      <c r="B124" s="49"/>
      <c r="C124" s="48"/>
      <c r="D124" s="49"/>
      <c r="E124" s="50"/>
      <c r="F124" s="26" t="s">
        <v>641</v>
      </c>
      <c r="G124" s="26" t="s">
        <v>642</v>
      </c>
      <c r="H124" s="27">
        <f t="shared" si="155"/>
        <v>2209.5</v>
      </c>
      <c r="I124" s="27">
        <f t="shared" si="156"/>
        <v>2391.1999999999998</v>
      </c>
      <c r="J124" s="27">
        <f t="shared" si="157"/>
        <v>2604.41</v>
      </c>
      <c r="K124" s="27">
        <f t="shared" si="158"/>
        <v>2401.7033333333334</v>
      </c>
      <c r="L124" s="65"/>
      <c r="M124" s="67">
        <f t="shared" si="159"/>
        <v>0</v>
      </c>
      <c r="N124" s="65" t="str">
        <f t="shared" si="86"/>
        <v/>
      </c>
      <c r="O124" s="65" t="str">
        <f t="shared" ref="O124:P124" si="166">N124</f>
        <v/>
      </c>
      <c r="P124" s="65" t="str">
        <f t="shared" si="166"/>
        <v/>
      </c>
      <c r="Q124" s="38"/>
      <c r="R124" s="3" t="str">
        <f t="shared" si="162"/>
        <v>Salem</v>
      </c>
      <c r="S124" s="3" t="str">
        <f t="shared" si="89"/>
        <v>Kadayampatti</v>
      </c>
      <c r="T124" s="3" t="str">
        <f t="shared" si="90"/>
        <v>Omalur</v>
      </c>
      <c r="U124" s="3" t="str">
        <f t="shared" si="91"/>
        <v>Salem_Kadayampatti_Omalur</v>
      </c>
      <c r="V124" s="3">
        <f>IF(_xlfn.XLOOKUP($U124,GCA!$H$3:$H$593,GCA!E$3:E$593,"",0,1)="","",_xlfn.XLOOKUP($U124,GCA!$H$3:$H$593,GCA!E$3:E$593,"",0,1))</f>
        <v>2209.5</v>
      </c>
      <c r="W124" s="3">
        <f>IF(_xlfn.XLOOKUP($U124,GCA!$H$3:$H$593,GCA!F$3:F$593,"",0,1)="","",_xlfn.XLOOKUP($U124,GCA!$H$3:$H$593,GCA!F$3:F$593,"",0,1))</f>
        <v>2391.1999999999998</v>
      </c>
      <c r="X124" s="3">
        <f>IF(_xlfn.XLOOKUP($U124,GCA!$H$3:$H$593,GCA!G$3:G$593,"",0,1)="","",_xlfn.XLOOKUP($U124,GCA!$H$3:$H$593,GCA!G$3:G$593,"",0,1))</f>
        <v>2604.41</v>
      </c>
    </row>
    <row r="125" spans="1:24" ht="13.2">
      <c r="A125" s="49"/>
      <c r="B125" s="49"/>
      <c r="C125" s="48"/>
      <c r="D125" s="49"/>
      <c r="E125" s="50">
        <v>3</v>
      </c>
      <c r="F125" s="26" t="s">
        <v>643</v>
      </c>
      <c r="G125" s="26" t="s">
        <v>644</v>
      </c>
      <c r="H125" s="27">
        <f t="shared" si="155"/>
        <v>15999.34</v>
      </c>
      <c r="I125" s="27">
        <f t="shared" si="156"/>
        <v>17640.14</v>
      </c>
      <c r="J125" s="27">
        <f t="shared" si="157"/>
        <v>18293.509999999998</v>
      </c>
      <c r="K125" s="27">
        <f t="shared" si="158"/>
        <v>17310.996666666662</v>
      </c>
      <c r="L125" s="65">
        <f>SUM(K125:K129)</f>
        <v>70193.76999999999</v>
      </c>
      <c r="M125" s="67">
        <f t="shared" si="159"/>
        <v>2.9463157939698332</v>
      </c>
      <c r="N125" s="65">
        <f t="shared" si="86"/>
        <v>3</v>
      </c>
      <c r="O125" s="65">
        <f t="shared" ref="O125:P125" si="167">N125</f>
        <v>3</v>
      </c>
      <c r="P125" s="65">
        <f t="shared" si="167"/>
        <v>3</v>
      </c>
      <c r="Q125" s="38"/>
      <c r="R125" s="3" t="str">
        <f t="shared" si="162"/>
        <v>Salem</v>
      </c>
      <c r="S125" s="3" t="str">
        <f t="shared" si="89"/>
        <v>Mettur</v>
      </c>
      <c r="T125" s="3" t="str">
        <f t="shared" si="90"/>
        <v>Kolathur</v>
      </c>
      <c r="U125" s="3" t="str">
        <f t="shared" si="91"/>
        <v>Salem_Mettur_Kolathur</v>
      </c>
      <c r="V125" s="3">
        <f>IF(_xlfn.XLOOKUP($U125,GCA!$H$3:$H$593,GCA!E$3:E$593,"",0,1)="","",_xlfn.XLOOKUP($U125,GCA!$H$3:$H$593,GCA!E$3:E$593,"",0,1))</f>
        <v>15999.34</v>
      </c>
      <c r="W125" s="3">
        <f>IF(_xlfn.XLOOKUP($U125,GCA!$H$3:$H$593,GCA!F$3:F$593,"",0,1)="","",_xlfn.XLOOKUP($U125,GCA!$H$3:$H$593,GCA!F$3:F$593,"",0,1))</f>
        <v>17640.14</v>
      </c>
      <c r="X125" s="3">
        <f>IF(_xlfn.XLOOKUP($U125,GCA!$H$3:$H$593,GCA!G$3:G$593,"",0,1)="","",_xlfn.XLOOKUP($U125,GCA!$H$3:$H$593,GCA!G$3:G$593,"",0,1))</f>
        <v>18293.509999999998</v>
      </c>
    </row>
    <row r="126" spans="1:24" ht="13.2">
      <c r="A126" s="49"/>
      <c r="B126" s="49"/>
      <c r="C126" s="48"/>
      <c r="D126" s="49"/>
      <c r="E126" s="50"/>
      <c r="F126" s="26" t="s">
        <v>643</v>
      </c>
      <c r="G126" s="26" t="s">
        <v>645</v>
      </c>
      <c r="H126" s="27">
        <f t="shared" si="155"/>
        <v>14688.3</v>
      </c>
      <c r="I126" s="27">
        <f t="shared" si="156"/>
        <v>14634.4</v>
      </c>
      <c r="J126" s="27">
        <f t="shared" si="157"/>
        <v>15820.865</v>
      </c>
      <c r="K126" s="27">
        <f t="shared" si="158"/>
        <v>15047.854999999998</v>
      </c>
      <c r="L126" s="65"/>
      <c r="M126" s="67">
        <f t="shared" si="159"/>
        <v>0</v>
      </c>
      <c r="N126" s="65" t="str">
        <f t="shared" si="86"/>
        <v/>
      </c>
      <c r="O126" s="65" t="str">
        <f t="shared" ref="O126:P126" si="168">N126</f>
        <v/>
      </c>
      <c r="P126" s="65" t="str">
        <f t="shared" si="168"/>
        <v/>
      </c>
      <c r="Q126" s="38"/>
      <c r="R126" s="3" t="str">
        <f t="shared" si="162"/>
        <v>Salem</v>
      </c>
      <c r="S126" s="3" t="str">
        <f t="shared" si="89"/>
        <v>Mettur</v>
      </c>
      <c r="T126" s="3" t="str">
        <f t="shared" si="90"/>
        <v>Mecheri</v>
      </c>
      <c r="U126" s="3" t="str">
        <f t="shared" si="91"/>
        <v>Salem_Mettur_Mecheri</v>
      </c>
      <c r="V126" s="3">
        <f>IF(_xlfn.XLOOKUP($U126,GCA!$H$3:$H$593,GCA!E$3:E$593,"",0,1)="","",_xlfn.XLOOKUP($U126,GCA!$H$3:$H$593,GCA!E$3:E$593,"",0,1))</f>
        <v>14688.3</v>
      </c>
      <c r="W126" s="3">
        <f>IF(_xlfn.XLOOKUP($U126,GCA!$H$3:$H$593,GCA!F$3:F$593,"",0,1)="","",_xlfn.XLOOKUP($U126,GCA!$H$3:$H$593,GCA!F$3:F$593,"",0,1))</f>
        <v>14634.4</v>
      </c>
      <c r="X126" s="3">
        <f>IF(_xlfn.XLOOKUP($U126,GCA!$H$3:$H$593,GCA!G$3:G$593,"",0,1)="","",_xlfn.XLOOKUP($U126,GCA!$H$3:$H$593,GCA!G$3:G$593,"",0,1))</f>
        <v>15820.865</v>
      </c>
    </row>
    <row r="127" spans="1:24" ht="13.2">
      <c r="A127" s="49"/>
      <c r="B127" s="49"/>
      <c r="C127" s="48"/>
      <c r="D127" s="49"/>
      <c r="E127" s="50"/>
      <c r="F127" s="26" t="s">
        <v>643</v>
      </c>
      <c r="G127" s="26" t="s">
        <v>646</v>
      </c>
      <c r="H127" s="27">
        <f t="shared" si="155"/>
        <v>11666.82</v>
      </c>
      <c r="I127" s="27">
        <f t="shared" si="156"/>
        <v>11846.3</v>
      </c>
      <c r="J127" s="27">
        <f t="shared" si="157"/>
        <v>12253.32</v>
      </c>
      <c r="K127" s="27">
        <f t="shared" si="158"/>
        <v>11922.146666666667</v>
      </c>
      <c r="L127" s="65"/>
      <c r="M127" s="67">
        <f t="shared" si="159"/>
        <v>0</v>
      </c>
      <c r="N127" s="65" t="str">
        <f t="shared" si="86"/>
        <v/>
      </c>
      <c r="O127" s="65" t="str">
        <f t="shared" ref="O127:P127" si="169">N127</f>
        <v/>
      </c>
      <c r="P127" s="65" t="str">
        <f t="shared" si="169"/>
        <v/>
      </c>
      <c r="Q127" s="38"/>
      <c r="R127" s="3" t="str">
        <f t="shared" si="162"/>
        <v>Salem</v>
      </c>
      <c r="S127" s="3" t="str">
        <f t="shared" si="89"/>
        <v>Mettur</v>
      </c>
      <c r="T127" s="3" t="str">
        <f t="shared" si="90"/>
        <v>Nangavalli</v>
      </c>
      <c r="U127" s="3" t="str">
        <f t="shared" si="91"/>
        <v>Salem_Mettur_Nangavalli</v>
      </c>
      <c r="V127" s="3">
        <f>IF(_xlfn.XLOOKUP($U127,GCA!$H$3:$H$593,GCA!E$3:E$593,"",0,1)="","",_xlfn.XLOOKUP($U127,GCA!$H$3:$H$593,GCA!E$3:E$593,"",0,1))</f>
        <v>11666.82</v>
      </c>
      <c r="W127" s="3">
        <f>IF(_xlfn.XLOOKUP($U127,GCA!$H$3:$H$593,GCA!F$3:F$593,"",0,1)="","",_xlfn.XLOOKUP($U127,GCA!$H$3:$H$593,GCA!F$3:F$593,"",0,1))</f>
        <v>11846.3</v>
      </c>
      <c r="X127" s="3">
        <f>IF(_xlfn.XLOOKUP($U127,GCA!$H$3:$H$593,GCA!G$3:G$593,"",0,1)="","",_xlfn.XLOOKUP($U127,GCA!$H$3:$H$593,GCA!G$3:G$593,"",0,1))</f>
        <v>12253.32</v>
      </c>
    </row>
    <row r="128" spans="1:24" ht="13.2">
      <c r="A128" s="49"/>
      <c r="B128" s="49"/>
      <c r="C128" s="48"/>
      <c r="D128" s="49"/>
      <c r="E128" s="50"/>
      <c r="F128" s="26" t="s">
        <v>642</v>
      </c>
      <c r="G128" s="26" t="s">
        <v>642</v>
      </c>
      <c r="H128" s="27">
        <f t="shared" si="155"/>
        <v>13862.84</v>
      </c>
      <c r="I128" s="27">
        <f t="shared" si="156"/>
        <v>13278.3</v>
      </c>
      <c r="J128" s="27">
        <f t="shared" si="157"/>
        <v>13761.125</v>
      </c>
      <c r="K128" s="27">
        <f t="shared" si="158"/>
        <v>13634.088333333333</v>
      </c>
      <c r="L128" s="65"/>
      <c r="M128" s="67">
        <f t="shared" si="159"/>
        <v>0</v>
      </c>
      <c r="N128" s="65" t="str">
        <f t="shared" si="86"/>
        <v/>
      </c>
      <c r="O128" s="65" t="str">
        <f t="shared" ref="O128:P128" si="170">N128</f>
        <v/>
      </c>
      <c r="P128" s="65" t="str">
        <f t="shared" si="170"/>
        <v/>
      </c>
      <c r="Q128" s="38"/>
      <c r="R128" s="3" t="str">
        <f t="shared" si="162"/>
        <v>Salem</v>
      </c>
      <c r="S128" s="3" t="str">
        <f t="shared" si="89"/>
        <v>Omalur</v>
      </c>
      <c r="T128" s="3" t="str">
        <f t="shared" si="90"/>
        <v>Omalur</v>
      </c>
      <c r="U128" s="3" t="str">
        <f t="shared" si="91"/>
        <v>Salem_Omalur_Omalur</v>
      </c>
      <c r="V128" s="3">
        <f>IF(_xlfn.XLOOKUP($U128,GCA!$H$3:$H$593,GCA!E$3:E$593,"",0,1)="","",_xlfn.XLOOKUP($U128,GCA!$H$3:$H$593,GCA!E$3:E$593,"",0,1))</f>
        <v>13862.84</v>
      </c>
      <c r="W128" s="3">
        <f>IF(_xlfn.XLOOKUP($U128,GCA!$H$3:$H$593,GCA!F$3:F$593,"",0,1)="","",_xlfn.XLOOKUP($U128,GCA!$H$3:$H$593,GCA!F$3:F$593,"",0,1))</f>
        <v>13278.3</v>
      </c>
      <c r="X128" s="3">
        <f>IF(_xlfn.XLOOKUP($U128,GCA!$H$3:$H$593,GCA!G$3:G$593,"",0,1)="","",_xlfn.XLOOKUP($U128,GCA!$H$3:$H$593,GCA!G$3:G$593,"",0,1))</f>
        <v>13761.125</v>
      </c>
    </row>
    <row r="129" spans="1:24" ht="13.2">
      <c r="A129" s="49"/>
      <c r="B129" s="49"/>
      <c r="C129" s="48"/>
      <c r="D129" s="49"/>
      <c r="E129" s="50"/>
      <c r="F129" s="26" t="s">
        <v>642</v>
      </c>
      <c r="G129" s="26" t="s">
        <v>647</v>
      </c>
      <c r="H129" s="27">
        <f t="shared" si="155"/>
        <v>12545.92</v>
      </c>
      <c r="I129" s="27">
        <f t="shared" si="156"/>
        <v>12404.53</v>
      </c>
      <c r="J129" s="27">
        <f t="shared" si="157"/>
        <v>11885.6</v>
      </c>
      <c r="K129" s="27">
        <f t="shared" si="158"/>
        <v>12278.683333333334</v>
      </c>
      <c r="L129" s="65"/>
      <c r="M129" s="67">
        <f t="shared" si="159"/>
        <v>0</v>
      </c>
      <c r="N129" s="65" t="str">
        <f t="shared" si="86"/>
        <v/>
      </c>
      <c r="O129" s="65" t="str">
        <f t="shared" ref="O129:P129" si="171">N129</f>
        <v/>
      </c>
      <c r="P129" s="65" t="str">
        <f t="shared" si="171"/>
        <v/>
      </c>
      <c r="Q129" s="38"/>
      <c r="R129" s="3" t="str">
        <f t="shared" si="162"/>
        <v>Salem</v>
      </c>
      <c r="S129" s="3" t="str">
        <f t="shared" si="89"/>
        <v>Omalur</v>
      </c>
      <c r="T129" s="3" t="str">
        <f t="shared" si="90"/>
        <v>Tharamangalam</v>
      </c>
      <c r="U129" s="3" t="str">
        <f t="shared" si="91"/>
        <v>Salem_Omalur_Tharamangalam</v>
      </c>
      <c r="V129" s="3">
        <f>IF(_xlfn.XLOOKUP($U129,GCA!$H$3:$H$593,GCA!E$3:E$593,"",0,1)="","",_xlfn.XLOOKUP($U129,GCA!$H$3:$H$593,GCA!E$3:E$593,"",0,1))</f>
        <v>12545.92</v>
      </c>
      <c r="W129" s="3">
        <f>IF(_xlfn.XLOOKUP($U129,GCA!$H$3:$H$593,GCA!F$3:F$593,"",0,1)="","",_xlfn.XLOOKUP($U129,GCA!$H$3:$H$593,GCA!F$3:F$593,"",0,1))</f>
        <v>12404.53</v>
      </c>
      <c r="X129" s="3">
        <f>IF(_xlfn.XLOOKUP($U129,GCA!$H$3:$H$593,GCA!G$3:G$593,"",0,1)="","",_xlfn.XLOOKUP($U129,GCA!$H$3:$H$593,GCA!G$3:G$593,"",0,1))</f>
        <v>11885.6</v>
      </c>
    </row>
    <row r="130" spans="1:24" ht="13.2">
      <c r="A130" s="49"/>
      <c r="B130" s="49"/>
      <c r="C130" s="48"/>
      <c r="D130" s="49"/>
      <c r="E130" s="50">
        <v>4</v>
      </c>
      <c r="F130" s="26" t="s">
        <v>648</v>
      </c>
      <c r="G130" s="26" t="s">
        <v>648</v>
      </c>
      <c r="H130" s="27">
        <f t="shared" si="155"/>
        <v>26405.360000000001</v>
      </c>
      <c r="I130" s="27">
        <f t="shared" si="156"/>
        <v>24134.45</v>
      </c>
      <c r="J130" s="27">
        <f t="shared" si="157"/>
        <v>23951.85</v>
      </c>
      <c r="K130" s="27">
        <f t="shared" si="158"/>
        <v>24830.553333333333</v>
      </c>
      <c r="L130" s="65">
        <f>SUM(K130:K138)</f>
        <v>50437.463333333333</v>
      </c>
      <c r="M130" s="67">
        <f t="shared" si="159"/>
        <v>2.1170638765630394</v>
      </c>
      <c r="N130" s="65">
        <f t="shared" si="86"/>
        <v>2</v>
      </c>
      <c r="O130" s="65">
        <f t="shared" ref="O130:P130" si="172">N130</f>
        <v>2</v>
      </c>
      <c r="P130" s="65">
        <f t="shared" si="172"/>
        <v>2</v>
      </c>
      <c r="Q130" s="38"/>
      <c r="R130" s="3" t="str">
        <f t="shared" si="162"/>
        <v>Salem</v>
      </c>
      <c r="S130" s="3" t="str">
        <f t="shared" si="89"/>
        <v>Pethanaickanpalayam</v>
      </c>
      <c r="T130" s="3" t="str">
        <f t="shared" si="90"/>
        <v>Pethanaickanpalayam</v>
      </c>
      <c r="U130" s="3" t="str">
        <f t="shared" si="91"/>
        <v>Salem_Pethanaickanpalayam_Pethanaickanpalayam</v>
      </c>
      <c r="V130" s="3">
        <f>IF(_xlfn.XLOOKUP($U130,GCA!$H$3:$H$593,GCA!E$3:E$593,"",0,1)="","",_xlfn.XLOOKUP($U130,GCA!$H$3:$H$593,GCA!E$3:E$593,"",0,1))</f>
        <v>26405.360000000001</v>
      </c>
      <c r="W130" s="3">
        <f>IF(_xlfn.XLOOKUP($U130,GCA!$H$3:$H$593,GCA!F$3:F$593,"",0,1)="","",_xlfn.XLOOKUP($U130,GCA!$H$3:$H$593,GCA!F$3:F$593,"",0,1))</f>
        <v>24134.45</v>
      </c>
      <c r="X130" s="3">
        <f>IF(_xlfn.XLOOKUP($U130,GCA!$H$3:$H$593,GCA!G$3:G$593,"",0,1)="","",_xlfn.XLOOKUP($U130,GCA!$H$3:$H$593,GCA!G$3:G$593,"",0,1))</f>
        <v>23951.85</v>
      </c>
    </row>
    <row r="131" spans="1:24" ht="13.2">
      <c r="A131" s="49"/>
      <c r="B131" s="49"/>
      <c r="C131" s="48"/>
      <c r="D131" s="49"/>
      <c r="E131" s="50"/>
      <c r="F131" s="26" t="s">
        <v>233</v>
      </c>
      <c r="G131" s="26" t="s">
        <v>649</v>
      </c>
      <c r="H131" s="27">
        <f t="shared" si="155"/>
        <v>5489.3</v>
      </c>
      <c r="I131" s="27">
        <f t="shared" si="156"/>
        <v>5656.09</v>
      </c>
      <c r="J131" s="27">
        <f t="shared" si="157"/>
        <v>5211.17</v>
      </c>
      <c r="K131" s="27">
        <f t="shared" si="158"/>
        <v>5452.1866666666665</v>
      </c>
      <c r="L131" s="65"/>
      <c r="M131" s="67">
        <f t="shared" si="159"/>
        <v>0</v>
      </c>
      <c r="N131" s="65" t="str">
        <f t="shared" si="86"/>
        <v/>
      </c>
      <c r="O131" s="65" t="str">
        <f t="shared" ref="O131:P131" si="173">N131</f>
        <v/>
      </c>
      <c r="P131" s="65" t="str">
        <f t="shared" si="173"/>
        <v/>
      </c>
      <c r="Q131" s="38"/>
      <c r="R131" s="3" t="str">
        <f t="shared" si="162"/>
        <v>Salem</v>
      </c>
      <c r="S131" s="3" t="str">
        <f t="shared" si="89"/>
        <v>Salem</v>
      </c>
      <c r="T131" s="3" t="str">
        <f t="shared" si="90"/>
        <v>Ayothiyappattinam</v>
      </c>
      <c r="U131" s="3" t="str">
        <f t="shared" si="91"/>
        <v>Salem_Salem_Ayothiyappattinam</v>
      </c>
      <c r="V131" s="3">
        <f>IF(_xlfn.XLOOKUP($U131,GCA!$H$3:$H$593,GCA!E$3:E$593,"",0,1)="","",_xlfn.XLOOKUP($U131,GCA!$H$3:$H$593,GCA!E$3:E$593,"",0,1))</f>
        <v>5489.3</v>
      </c>
      <c r="W131" s="3">
        <f>IF(_xlfn.XLOOKUP($U131,GCA!$H$3:$H$593,GCA!F$3:F$593,"",0,1)="","",_xlfn.XLOOKUP($U131,GCA!$H$3:$H$593,GCA!F$3:F$593,"",0,1))</f>
        <v>5656.09</v>
      </c>
      <c r="X131" s="3">
        <f>IF(_xlfn.XLOOKUP($U131,GCA!$H$3:$H$593,GCA!G$3:G$593,"",0,1)="","",_xlfn.XLOOKUP($U131,GCA!$H$3:$H$593,GCA!G$3:G$593,"",0,1))</f>
        <v>5211.17</v>
      </c>
    </row>
    <row r="132" spans="1:24" ht="13.2">
      <c r="A132" s="49"/>
      <c r="B132" s="49"/>
      <c r="C132" s="48"/>
      <c r="D132" s="49"/>
      <c r="E132" s="50"/>
      <c r="F132" s="26" t="s">
        <v>233</v>
      </c>
      <c r="G132" s="26" t="s">
        <v>650</v>
      </c>
      <c r="H132" s="27">
        <f t="shared" si="155"/>
        <v>7241.98</v>
      </c>
      <c r="I132" s="27">
        <f t="shared" si="156"/>
        <v>7477.17</v>
      </c>
      <c r="J132" s="27">
        <f t="shared" si="157"/>
        <v>6635.64</v>
      </c>
      <c r="K132" s="27">
        <f t="shared" si="158"/>
        <v>7118.2633333333333</v>
      </c>
      <c r="L132" s="65"/>
      <c r="M132" s="67">
        <f t="shared" si="159"/>
        <v>0</v>
      </c>
      <c r="N132" s="65" t="str">
        <f t="shared" si="86"/>
        <v/>
      </c>
      <c r="O132" s="65" t="str">
        <f t="shared" ref="O132:P132" si="174">N132</f>
        <v/>
      </c>
      <c r="P132" s="65" t="str">
        <f t="shared" si="174"/>
        <v/>
      </c>
      <c r="Q132" s="38"/>
      <c r="R132" s="3" t="str">
        <f t="shared" si="162"/>
        <v>Salem</v>
      </c>
      <c r="S132" s="3" t="str">
        <f t="shared" si="89"/>
        <v>Salem</v>
      </c>
      <c r="T132" s="3" t="str">
        <f t="shared" si="90"/>
        <v>Panamarathuppatti</v>
      </c>
      <c r="U132" s="3" t="str">
        <f t="shared" si="91"/>
        <v>Salem_Salem_Panamarathuppatti</v>
      </c>
      <c r="V132" s="3">
        <f>IF(_xlfn.XLOOKUP($U132,GCA!$H$3:$H$593,GCA!E$3:E$593,"",0,1)="","",_xlfn.XLOOKUP($U132,GCA!$H$3:$H$593,GCA!E$3:E$593,"",0,1))</f>
        <v>7241.98</v>
      </c>
      <c r="W132" s="3">
        <f>IF(_xlfn.XLOOKUP($U132,GCA!$H$3:$H$593,GCA!F$3:F$593,"",0,1)="","",_xlfn.XLOOKUP($U132,GCA!$H$3:$H$593,GCA!F$3:F$593,"",0,1))</f>
        <v>7477.17</v>
      </c>
      <c r="X132" s="3">
        <f>IF(_xlfn.XLOOKUP($U132,GCA!$H$3:$H$593,GCA!G$3:G$593,"",0,1)="","",_xlfn.XLOOKUP($U132,GCA!$H$3:$H$593,GCA!G$3:G$593,"",0,1))</f>
        <v>6635.64</v>
      </c>
    </row>
    <row r="133" spans="1:24" ht="13.2">
      <c r="A133" s="49"/>
      <c r="B133" s="49"/>
      <c r="C133" s="48"/>
      <c r="D133" s="49"/>
      <c r="E133" s="50"/>
      <c r="F133" s="26" t="s">
        <v>233</v>
      </c>
      <c r="G133" s="26" t="s">
        <v>233</v>
      </c>
      <c r="H133" s="27">
        <f t="shared" si="155"/>
        <v>909.84500000000003</v>
      </c>
      <c r="I133" s="27">
        <f t="shared" si="156"/>
        <v>900.06500000000005</v>
      </c>
      <c r="J133" s="27">
        <f t="shared" si="157"/>
        <v>916.77499999999998</v>
      </c>
      <c r="K133" s="27">
        <f t="shared" si="158"/>
        <v>908.89499999999998</v>
      </c>
      <c r="L133" s="65"/>
      <c r="M133" s="67">
        <f t="shared" si="159"/>
        <v>0</v>
      </c>
      <c r="N133" s="65" t="str">
        <f t="shared" si="86"/>
        <v/>
      </c>
      <c r="O133" s="65" t="str">
        <f t="shared" ref="O133:P133" si="175">N133</f>
        <v/>
      </c>
      <c r="P133" s="65" t="str">
        <f t="shared" si="175"/>
        <v/>
      </c>
      <c r="Q133" s="38"/>
      <c r="R133" s="3" t="str">
        <f t="shared" si="162"/>
        <v>Salem</v>
      </c>
      <c r="S133" s="3" t="str">
        <f t="shared" si="89"/>
        <v>Salem</v>
      </c>
      <c r="T133" s="3" t="str">
        <f t="shared" si="90"/>
        <v>Salem</v>
      </c>
      <c r="U133" s="3" t="str">
        <f t="shared" si="91"/>
        <v>Salem_Salem_Salem</v>
      </c>
      <c r="V133" s="3">
        <f>IF(_xlfn.XLOOKUP($U133,GCA!$H$3:$H$593,GCA!E$3:E$593,"",0,1)="","",_xlfn.XLOOKUP($U133,GCA!$H$3:$H$593,GCA!E$3:E$593,"",0,1))</f>
        <v>909.84500000000003</v>
      </c>
      <c r="W133" s="3">
        <f>IF(_xlfn.XLOOKUP($U133,GCA!$H$3:$H$593,GCA!F$3:F$593,"",0,1)="","",_xlfn.XLOOKUP($U133,GCA!$H$3:$H$593,GCA!F$3:F$593,"",0,1))</f>
        <v>900.06500000000005</v>
      </c>
      <c r="X133" s="3">
        <f>IF(_xlfn.XLOOKUP($U133,GCA!$H$3:$H$593,GCA!G$3:G$593,"",0,1)="","",_xlfn.XLOOKUP($U133,GCA!$H$3:$H$593,GCA!G$3:G$593,"",0,1))</f>
        <v>916.77499999999998</v>
      </c>
    </row>
    <row r="134" spans="1:24" ht="13.2">
      <c r="A134" s="49"/>
      <c r="B134" s="49"/>
      <c r="C134" s="48"/>
      <c r="D134" s="49"/>
      <c r="E134" s="50"/>
      <c r="F134" s="26" t="s">
        <v>651</v>
      </c>
      <c r="G134" s="26" t="s">
        <v>650</v>
      </c>
      <c r="H134" s="27">
        <f t="shared" si="155"/>
        <v>1753.89</v>
      </c>
      <c r="I134" s="27">
        <f t="shared" si="156"/>
        <v>1680.87</v>
      </c>
      <c r="J134" s="27">
        <f t="shared" si="157"/>
        <v>1697.18</v>
      </c>
      <c r="K134" s="27">
        <f t="shared" si="158"/>
        <v>1710.6466666666668</v>
      </c>
      <c r="L134" s="65"/>
      <c r="M134" s="67">
        <f t="shared" si="159"/>
        <v>0</v>
      </c>
      <c r="N134" s="65" t="str">
        <f t="shared" si="86"/>
        <v/>
      </c>
      <c r="O134" s="65" t="str">
        <f t="shared" ref="O134:P134" si="176">N134</f>
        <v/>
      </c>
      <c r="P134" s="65" t="str">
        <f t="shared" si="176"/>
        <v/>
      </c>
      <c r="Q134" s="38"/>
      <c r="R134" s="3" t="str">
        <f t="shared" si="162"/>
        <v>Salem</v>
      </c>
      <c r="S134" s="3" t="str">
        <f t="shared" si="89"/>
        <v>Salem South</v>
      </c>
      <c r="T134" s="3" t="str">
        <f t="shared" si="90"/>
        <v>Panamarathuppatti</v>
      </c>
      <c r="U134" s="3" t="str">
        <f t="shared" si="91"/>
        <v>Salem_Salem South_Panamarathuppatti</v>
      </c>
      <c r="V134" s="3">
        <f>IF(_xlfn.XLOOKUP($U134,GCA!$H$3:$H$593,GCA!E$3:E$593,"",0,1)="","",_xlfn.XLOOKUP($U134,GCA!$H$3:$H$593,GCA!E$3:E$593,"",0,1))</f>
        <v>1753.89</v>
      </c>
      <c r="W134" s="3">
        <f>IF(_xlfn.XLOOKUP($U134,GCA!$H$3:$H$593,GCA!F$3:F$593,"",0,1)="","",_xlfn.XLOOKUP($U134,GCA!$H$3:$H$593,GCA!F$3:F$593,"",0,1))</f>
        <v>1680.87</v>
      </c>
      <c r="X134" s="3">
        <f>IF(_xlfn.XLOOKUP($U134,GCA!$H$3:$H$593,GCA!G$3:G$593,"",0,1)="","",_xlfn.XLOOKUP($U134,GCA!$H$3:$H$593,GCA!G$3:G$593,"",0,1))</f>
        <v>1697.18</v>
      </c>
    </row>
    <row r="135" spans="1:24" ht="13.2">
      <c r="A135" s="49"/>
      <c r="B135" s="49"/>
      <c r="C135" s="48"/>
      <c r="D135" s="49"/>
      <c r="E135" s="50"/>
      <c r="F135" s="26" t="s">
        <v>651</v>
      </c>
      <c r="G135" s="26" t="s">
        <v>233</v>
      </c>
      <c r="H135" s="27">
        <f t="shared" si="155"/>
        <v>64.905000000000001</v>
      </c>
      <c r="I135" s="27">
        <f t="shared" si="156"/>
        <v>29.5</v>
      </c>
      <c r="J135" s="27">
        <f t="shared" si="157"/>
        <v>31</v>
      </c>
      <c r="K135" s="27">
        <f t="shared" si="158"/>
        <v>41.801666666666669</v>
      </c>
      <c r="L135" s="65"/>
      <c r="M135" s="67">
        <f t="shared" si="159"/>
        <v>0</v>
      </c>
      <c r="N135" s="65" t="str">
        <f t="shared" si="86"/>
        <v/>
      </c>
      <c r="O135" s="65" t="str">
        <f t="shared" ref="O135:P135" si="177">N135</f>
        <v/>
      </c>
      <c r="P135" s="65" t="str">
        <f t="shared" si="177"/>
        <v/>
      </c>
      <c r="Q135" s="38"/>
      <c r="R135" s="3" t="str">
        <f t="shared" si="162"/>
        <v>Salem</v>
      </c>
      <c r="S135" s="3" t="str">
        <f t="shared" si="89"/>
        <v>Salem South</v>
      </c>
      <c r="T135" s="3" t="str">
        <f t="shared" si="90"/>
        <v>Salem</v>
      </c>
      <c r="U135" s="3" t="str">
        <f t="shared" si="91"/>
        <v>Salem_Salem South_Salem</v>
      </c>
      <c r="V135" s="3">
        <f>IF(_xlfn.XLOOKUP($U135,GCA!$H$3:$H$593,GCA!E$3:E$593,"",0,1)="","",_xlfn.XLOOKUP($U135,GCA!$H$3:$H$593,GCA!E$3:E$593,"",0,1))</f>
        <v>64.905000000000001</v>
      </c>
      <c r="W135" s="3">
        <f>IF(_xlfn.XLOOKUP($U135,GCA!$H$3:$H$593,GCA!F$3:F$593,"",0,1)="","",_xlfn.XLOOKUP($U135,GCA!$H$3:$H$593,GCA!F$3:F$593,"",0,1))</f>
        <v>29.5</v>
      </c>
      <c r="X135" s="3">
        <f>IF(_xlfn.XLOOKUP($U135,GCA!$H$3:$H$593,GCA!G$3:G$593,"",0,1)="","",_xlfn.XLOOKUP($U135,GCA!$H$3:$H$593,GCA!G$3:G$593,"",0,1))</f>
        <v>31</v>
      </c>
    </row>
    <row r="136" spans="1:24" ht="13.2">
      <c r="A136" s="49"/>
      <c r="B136" s="49"/>
      <c r="C136" s="48"/>
      <c r="D136" s="49"/>
      <c r="E136" s="50"/>
      <c r="F136" s="26" t="s">
        <v>651</v>
      </c>
      <c r="G136" s="26" t="s">
        <v>652</v>
      </c>
      <c r="H136" s="27">
        <f t="shared" si="155"/>
        <v>6182.98</v>
      </c>
      <c r="I136" s="27">
        <f t="shared" si="156"/>
        <v>6464.69</v>
      </c>
      <c r="J136" s="27">
        <f t="shared" si="157"/>
        <v>6357.585</v>
      </c>
      <c r="K136" s="27">
        <f t="shared" si="158"/>
        <v>6335.0849999999991</v>
      </c>
      <c r="L136" s="65"/>
      <c r="M136" s="67">
        <f t="shared" si="159"/>
        <v>0</v>
      </c>
      <c r="N136" s="65" t="str">
        <f t="shared" si="86"/>
        <v/>
      </c>
      <c r="O136" s="65" t="str">
        <f t="shared" ref="O136:P136" si="178">N136</f>
        <v/>
      </c>
      <c r="P136" s="65" t="str">
        <f t="shared" si="178"/>
        <v/>
      </c>
      <c r="Q136" s="38"/>
      <c r="R136" s="3" t="str">
        <f t="shared" si="162"/>
        <v>Salem</v>
      </c>
      <c r="S136" s="3" t="str">
        <f t="shared" si="89"/>
        <v>Salem South</v>
      </c>
      <c r="T136" s="3" t="str">
        <f t="shared" si="90"/>
        <v>Veerapandi</v>
      </c>
      <c r="U136" s="3" t="str">
        <f t="shared" si="91"/>
        <v>Salem_Salem South_Veerapandi</v>
      </c>
      <c r="V136" s="3">
        <f>IF(_xlfn.XLOOKUP($U136,GCA!$H$3:$H$593,GCA!E$3:E$593,"",0,1)="","",_xlfn.XLOOKUP($U136,GCA!$H$3:$H$593,GCA!E$3:E$593,"",0,1))</f>
        <v>6182.98</v>
      </c>
      <c r="W136" s="3">
        <f>IF(_xlfn.XLOOKUP($U136,GCA!$H$3:$H$593,GCA!F$3:F$593,"",0,1)="","",_xlfn.XLOOKUP($U136,GCA!$H$3:$H$593,GCA!F$3:F$593,"",0,1))</f>
        <v>6464.69</v>
      </c>
      <c r="X136" s="3">
        <f>IF(_xlfn.XLOOKUP($U136,GCA!$H$3:$H$593,GCA!G$3:G$593,"",0,1)="","",_xlfn.XLOOKUP($U136,GCA!$H$3:$H$593,GCA!G$3:G$593,"",0,1))</f>
        <v>6357.585</v>
      </c>
    </row>
    <row r="137" spans="1:24" ht="13.2">
      <c r="A137" s="49"/>
      <c r="B137" s="49"/>
      <c r="C137" s="48"/>
      <c r="D137" s="49"/>
      <c r="E137" s="50"/>
      <c r="F137" s="26" t="s">
        <v>653</v>
      </c>
      <c r="G137" s="26" t="s">
        <v>233</v>
      </c>
      <c r="H137" s="27">
        <f t="shared" si="155"/>
        <v>1953.865</v>
      </c>
      <c r="I137" s="27">
        <f t="shared" si="156"/>
        <v>1927.575</v>
      </c>
      <c r="J137" s="27">
        <f t="shared" si="157"/>
        <v>2068.87</v>
      </c>
      <c r="K137" s="27">
        <f t="shared" si="158"/>
        <v>1983.4366666666665</v>
      </c>
      <c r="L137" s="65"/>
      <c r="M137" s="67">
        <f t="shared" si="159"/>
        <v>0</v>
      </c>
      <c r="N137" s="65" t="str">
        <f t="shared" si="86"/>
        <v/>
      </c>
      <c r="O137" s="65" t="str">
        <f t="shared" ref="O137:P137" si="179">N137</f>
        <v/>
      </c>
      <c r="P137" s="65" t="str">
        <f t="shared" si="179"/>
        <v/>
      </c>
      <c r="Q137" s="38"/>
      <c r="R137" s="3" t="str">
        <f t="shared" si="162"/>
        <v>Salem</v>
      </c>
      <c r="S137" s="3" t="str">
        <f t="shared" si="89"/>
        <v>Salem West</v>
      </c>
      <c r="T137" s="3" t="str">
        <f t="shared" si="90"/>
        <v>Salem</v>
      </c>
      <c r="U137" s="3" t="str">
        <f t="shared" si="91"/>
        <v>Salem_Salem West_Salem</v>
      </c>
      <c r="V137" s="3">
        <f>IF(_xlfn.XLOOKUP($U137,GCA!$H$3:$H$593,GCA!E$3:E$593,"",0,1)="","",_xlfn.XLOOKUP($U137,GCA!$H$3:$H$593,GCA!E$3:E$593,"",0,1))</f>
        <v>1953.865</v>
      </c>
      <c r="W137" s="3">
        <f>IF(_xlfn.XLOOKUP($U137,GCA!$H$3:$H$593,GCA!F$3:F$593,"",0,1)="","",_xlfn.XLOOKUP($U137,GCA!$H$3:$H$593,GCA!F$3:F$593,"",0,1))</f>
        <v>1927.575</v>
      </c>
      <c r="X137" s="3">
        <f>IF(_xlfn.XLOOKUP($U137,GCA!$H$3:$H$593,GCA!G$3:G$593,"",0,1)="","",_xlfn.XLOOKUP($U137,GCA!$H$3:$H$593,GCA!G$3:G$593,"",0,1))</f>
        <v>2068.87</v>
      </c>
    </row>
    <row r="138" spans="1:24" ht="13.2">
      <c r="A138" s="49"/>
      <c r="B138" s="49"/>
      <c r="C138" s="48"/>
      <c r="D138" s="49"/>
      <c r="E138" s="50"/>
      <c r="F138" s="26" t="s">
        <v>653</v>
      </c>
      <c r="G138" s="26" t="s">
        <v>652</v>
      </c>
      <c r="H138" s="27">
        <f t="shared" si="155"/>
        <v>1778.395</v>
      </c>
      <c r="I138" s="27">
        <f t="shared" si="156"/>
        <v>2161.94</v>
      </c>
      <c r="J138" s="27">
        <f t="shared" si="157"/>
        <v>2229.4499999999998</v>
      </c>
      <c r="K138" s="27">
        <f t="shared" si="158"/>
        <v>2056.5949999999998</v>
      </c>
      <c r="L138" s="65"/>
      <c r="M138" s="67">
        <f t="shared" si="159"/>
        <v>0</v>
      </c>
      <c r="N138" s="65" t="str">
        <f t="shared" si="86"/>
        <v/>
      </c>
      <c r="O138" s="65" t="str">
        <f t="shared" ref="O138:P138" si="180">N138</f>
        <v/>
      </c>
      <c r="P138" s="65" t="str">
        <f t="shared" si="180"/>
        <v/>
      </c>
      <c r="Q138" s="38"/>
      <c r="R138" s="3" t="str">
        <f t="shared" si="162"/>
        <v>Salem</v>
      </c>
      <c r="S138" s="3" t="str">
        <f t="shared" si="89"/>
        <v>Salem West</v>
      </c>
      <c r="T138" s="3" t="str">
        <f t="shared" si="90"/>
        <v>Veerapandi</v>
      </c>
      <c r="U138" s="3" t="str">
        <f t="shared" si="91"/>
        <v>Salem_Salem West_Veerapandi</v>
      </c>
      <c r="V138" s="3">
        <f>IF(_xlfn.XLOOKUP($U138,GCA!$H$3:$H$593,GCA!E$3:E$593,"",0,1)="","",_xlfn.XLOOKUP($U138,GCA!$H$3:$H$593,GCA!E$3:E$593,"",0,1))</f>
        <v>1778.395</v>
      </c>
      <c r="W138" s="3">
        <f>IF(_xlfn.XLOOKUP($U138,GCA!$H$3:$H$593,GCA!F$3:F$593,"",0,1)="","",_xlfn.XLOOKUP($U138,GCA!$H$3:$H$593,GCA!F$3:F$593,"",0,1))</f>
        <v>2161.94</v>
      </c>
      <c r="X138" s="3">
        <f>IF(_xlfn.XLOOKUP($U138,GCA!$H$3:$H$593,GCA!G$3:G$593,"",0,1)="","",_xlfn.XLOOKUP($U138,GCA!$H$3:$H$593,GCA!G$3:G$593,"",0,1))</f>
        <v>2229.4499999999998</v>
      </c>
    </row>
    <row r="139" spans="1:24" ht="13.2">
      <c r="A139" s="49"/>
      <c r="B139" s="49"/>
      <c r="C139" s="48"/>
      <c r="D139" s="49"/>
      <c r="E139" s="50">
        <v>5</v>
      </c>
      <c r="F139" s="26" t="s">
        <v>654</v>
      </c>
      <c r="G139" s="26" t="s">
        <v>655</v>
      </c>
      <c r="H139" s="27">
        <f t="shared" si="155"/>
        <v>11294.99</v>
      </c>
      <c r="I139" s="27">
        <f t="shared" si="156"/>
        <v>11501.08</v>
      </c>
      <c r="J139" s="27">
        <f t="shared" si="157"/>
        <v>11641.014999999999</v>
      </c>
      <c r="K139" s="27">
        <f t="shared" si="158"/>
        <v>11479.028333333334</v>
      </c>
      <c r="L139" s="65">
        <f>SUM(K139:K141)</f>
        <v>58950.733333333337</v>
      </c>
      <c r="M139" s="67">
        <f t="shared" si="159"/>
        <v>2.4744001737775871</v>
      </c>
      <c r="N139" s="65">
        <f t="shared" si="86"/>
        <v>2</v>
      </c>
      <c r="O139" s="65">
        <f t="shared" ref="O139:P139" si="181">N139</f>
        <v>2</v>
      </c>
      <c r="P139" s="65">
        <f t="shared" si="181"/>
        <v>2</v>
      </c>
      <c r="Q139" s="38"/>
      <c r="R139" s="3" t="str">
        <f t="shared" si="162"/>
        <v>Salem</v>
      </c>
      <c r="S139" s="3" t="str">
        <f t="shared" si="89"/>
        <v>Sankari</v>
      </c>
      <c r="T139" s="3" t="str">
        <f t="shared" si="90"/>
        <v>Magudanchavadi</v>
      </c>
      <c r="U139" s="3" t="str">
        <f t="shared" si="91"/>
        <v>Salem_Sankari_Magudanchavadi</v>
      </c>
      <c r="V139" s="3">
        <f>IF(_xlfn.XLOOKUP($U139,GCA!$H$3:$H$593,GCA!E$3:E$593,"",0,1)="","",_xlfn.XLOOKUP($U139,GCA!$H$3:$H$593,GCA!E$3:E$593,"",0,1))</f>
        <v>11294.99</v>
      </c>
      <c r="W139" s="3">
        <f>IF(_xlfn.XLOOKUP($U139,GCA!$H$3:$H$593,GCA!F$3:F$593,"",0,1)="","",_xlfn.XLOOKUP($U139,GCA!$H$3:$H$593,GCA!F$3:F$593,"",0,1))</f>
        <v>11501.08</v>
      </c>
      <c r="X139" s="3">
        <f>IF(_xlfn.XLOOKUP($U139,GCA!$H$3:$H$593,GCA!G$3:G$593,"",0,1)="","",_xlfn.XLOOKUP($U139,GCA!$H$3:$H$593,GCA!G$3:G$593,"",0,1))</f>
        <v>11641.014999999999</v>
      </c>
    </row>
    <row r="140" spans="1:24" ht="13.2">
      <c r="A140" s="49"/>
      <c r="B140" s="49"/>
      <c r="C140" s="48"/>
      <c r="D140" s="49"/>
      <c r="E140" s="50"/>
      <c r="F140" s="26" t="s">
        <v>654</v>
      </c>
      <c r="G140" s="26" t="s">
        <v>654</v>
      </c>
      <c r="H140" s="27">
        <f t="shared" si="155"/>
        <v>21029.31</v>
      </c>
      <c r="I140" s="27">
        <f t="shared" si="156"/>
        <v>21053.81</v>
      </c>
      <c r="J140" s="27">
        <f t="shared" si="157"/>
        <v>24085.485000000001</v>
      </c>
      <c r="K140" s="27">
        <f t="shared" si="158"/>
        <v>22056.201666666671</v>
      </c>
      <c r="L140" s="65"/>
      <c r="M140" s="67">
        <f t="shared" si="159"/>
        <v>0</v>
      </c>
      <c r="N140" s="65" t="str">
        <f t="shared" si="86"/>
        <v/>
      </c>
      <c r="O140" s="65" t="str">
        <f t="shared" ref="O140:P140" si="182">N140</f>
        <v/>
      </c>
      <c r="P140" s="65" t="str">
        <f t="shared" si="182"/>
        <v/>
      </c>
      <c r="Q140" s="38"/>
      <c r="R140" s="3" t="str">
        <f t="shared" si="162"/>
        <v>Salem</v>
      </c>
      <c r="S140" s="3" t="str">
        <f t="shared" si="89"/>
        <v>Sankari</v>
      </c>
      <c r="T140" s="3" t="str">
        <f t="shared" si="90"/>
        <v>Sankari</v>
      </c>
      <c r="U140" s="3" t="str">
        <f t="shared" si="91"/>
        <v>Salem_Sankari_Sankari</v>
      </c>
      <c r="V140" s="3">
        <f>IF(_xlfn.XLOOKUP($U140,GCA!$H$3:$H$593,GCA!E$3:E$593,"",0,1)="","",_xlfn.XLOOKUP($U140,GCA!$H$3:$H$593,GCA!E$3:E$593,"",0,1))</f>
        <v>21029.31</v>
      </c>
      <c r="W140" s="3">
        <f>IF(_xlfn.XLOOKUP($U140,GCA!$H$3:$H$593,GCA!F$3:F$593,"",0,1)="","",_xlfn.XLOOKUP($U140,GCA!$H$3:$H$593,GCA!F$3:F$593,"",0,1))</f>
        <v>21053.81</v>
      </c>
      <c r="X140" s="3">
        <f>IF(_xlfn.XLOOKUP($U140,GCA!$H$3:$H$593,GCA!G$3:G$593,"",0,1)="","",_xlfn.XLOOKUP($U140,GCA!$H$3:$H$593,GCA!G$3:G$593,"",0,1))</f>
        <v>24085.485000000001</v>
      </c>
    </row>
    <row r="141" spans="1:24" ht="13.2">
      <c r="A141" s="49"/>
      <c r="B141" s="49"/>
      <c r="C141" s="48"/>
      <c r="D141" s="49"/>
      <c r="E141" s="50"/>
      <c r="F141" s="26" t="s">
        <v>656</v>
      </c>
      <c r="G141" s="26" t="s">
        <v>656</v>
      </c>
      <c r="H141" s="27">
        <f t="shared" si="155"/>
        <v>26465.01</v>
      </c>
      <c r="I141" s="27">
        <f t="shared" si="156"/>
        <v>24212.799999999999</v>
      </c>
      <c r="J141" s="27">
        <f t="shared" si="157"/>
        <v>25568.7</v>
      </c>
      <c r="K141" s="27">
        <f t="shared" si="158"/>
        <v>25415.50333333333</v>
      </c>
      <c r="L141" s="65"/>
      <c r="M141" s="67">
        <f t="shared" si="159"/>
        <v>0</v>
      </c>
      <c r="N141" s="65" t="str">
        <f t="shared" si="86"/>
        <v/>
      </c>
      <c r="O141" s="65" t="str">
        <f t="shared" ref="O141:P141" si="183">N141</f>
        <v/>
      </c>
      <c r="P141" s="65" t="str">
        <f t="shared" si="183"/>
        <v/>
      </c>
      <c r="Q141" s="38"/>
      <c r="R141" s="3" t="str">
        <f t="shared" si="162"/>
        <v>Salem</v>
      </c>
      <c r="S141" s="3" t="str">
        <f t="shared" si="89"/>
        <v>Thalaivasal</v>
      </c>
      <c r="T141" s="3" t="str">
        <f t="shared" si="90"/>
        <v>Thalaivasal</v>
      </c>
      <c r="U141" s="3" t="str">
        <f t="shared" si="91"/>
        <v>Salem_Thalaivasal_Thalaivasal</v>
      </c>
      <c r="V141" s="3">
        <f>IF(_xlfn.XLOOKUP($U141,GCA!$H$3:$H$593,GCA!E$3:E$593,"",0,1)="","",_xlfn.XLOOKUP($U141,GCA!$H$3:$H$593,GCA!E$3:E$593,"",0,1))</f>
        <v>26465.01</v>
      </c>
      <c r="W141" s="3">
        <f>IF(_xlfn.XLOOKUP($U141,GCA!$H$3:$H$593,GCA!F$3:F$593,"",0,1)="","",_xlfn.XLOOKUP($U141,GCA!$H$3:$H$593,GCA!F$3:F$593,"",0,1))</f>
        <v>24212.799999999999</v>
      </c>
      <c r="X141" s="3">
        <f>IF(_xlfn.XLOOKUP($U141,GCA!$H$3:$H$593,GCA!G$3:G$593,"",0,1)="","",_xlfn.XLOOKUP($U141,GCA!$H$3:$H$593,GCA!G$3:G$593,"",0,1))</f>
        <v>25568.7</v>
      </c>
    </row>
    <row r="142" spans="1:24" ht="13.2">
      <c r="A142" s="49"/>
      <c r="B142" s="49"/>
      <c r="C142" s="48"/>
      <c r="D142" s="49"/>
      <c r="E142" s="50">
        <v>6</v>
      </c>
      <c r="F142" s="26" t="s">
        <v>657</v>
      </c>
      <c r="G142" s="26" t="s">
        <v>649</v>
      </c>
      <c r="H142" s="27">
        <f t="shared" si="155"/>
        <v>9779.5</v>
      </c>
      <c r="I142" s="27">
        <f t="shared" si="156"/>
        <v>10161.9</v>
      </c>
      <c r="J142" s="27">
        <f t="shared" si="157"/>
        <v>10590.7</v>
      </c>
      <c r="K142" s="27">
        <f t="shared" si="158"/>
        <v>10177.366666666667</v>
      </c>
      <c r="L142" s="65">
        <f>SUM(K142:K144)</f>
        <v>41286.899999999994</v>
      </c>
      <c r="M142" s="67">
        <f t="shared" si="159"/>
        <v>1.7329778063502377</v>
      </c>
      <c r="N142" s="65">
        <f t="shared" si="86"/>
        <v>2</v>
      </c>
      <c r="O142" s="65">
        <f t="shared" ref="O142:P142" si="184">N142</f>
        <v>2</v>
      </c>
      <c r="P142" s="65">
        <f t="shared" si="184"/>
        <v>2</v>
      </c>
      <c r="Q142" s="38"/>
      <c r="R142" s="3" t="str">
        <f t="shared" si="162"/>
        <v>Salem</v>
      </c>
      <c r="S142" s="3" t="str">
        <f t="shared" si="89"/>
        <v>Vazhappadi</v>
      </c>
      <c r="T142" s="3" t="str">
        <f t="shared" si="90"/>
        <v>Ayothiyappattinam</v>
      </c>
      <c r="U142" s="3" t="str">
        <f t="shared" si="91"/>
        <v>Salem_Vazhappadi_Ayothiyappattinam</v>
      </c>
      <c r="V142" s="3">
        <f>IF(_xlfn.XLOOKUP($U142,GCA!$H$3:$H$593,GCA!E$3:E$593,"",0,1)="","",_xlfn.XLOOKUP($U142,GCA!$H$3:$H$593,GCA!E$3:E$593,"",0,1))</f>
        <v>9779.5</v>
      </c>
      <c r="W142" s="3">
        <f>IF(_xlfn.XLOOKUP($U142,GCA!$H$3:$H$593,GCA!F$3:F$593,"",0,1)="","",_xlfn.XLOOKUP($U142,GCA!$H$3:$H$593,GCA!F$3:F$593,"",0,1))</f>
        <v>10161.9</v>
      </c>
      <c r="X142" s="3">
        <f>IF(_xlfn.XLOOKUP($U142,GCA!$H$3:$H$593,GCA!G$3:G$593,"",0,1)="","",_xlfn.XLOOKUP($U142,GCA!$H$3:$H$593,GCA!G$3:G$593,"",0,1))</f>
        <v>10590.7</v>
      </c>
    </row>
    <row r="143" spans="1:24" ht="13.2">
      <c r="A143" s="49"/>
      <c r="B143" s="49"/>
      <c r="C143" s="48"/>
      <c r="D143" s="49"/>
      <c r="E143" s="50"/>
      <c r="F143" s="26" t="s">
        <v>657</v>
      </c>
      <c r="G143" s="26" t="s">
        <v>657</v>
      </c>
      <c r="H143" s="27">
        <f t="shared" si="155"/>
        <v>14840.49</v>
      </c>
      <c r="I143" s="27">
        <f t="shared" si="156"/>
        <v>13071.5</v>
      </c>
      <c r="J143" s="27">
        <f t="shared" si="157"/>
        <v>13154.91</v>
      </c>
      <c r="K143" s="27">
        <f t="shared" si="158"/>
        <v>13688.966666666665</v>
      </c>
      <c r="L143" s="65"/>
      <c r="M143" s="67">
        <f t="shared" si="159"/>
        <v>0</v>
      </c>
      <c r="N143" s="65" t="str">
        <f t="shared" si="86"/>
        <v/>
      </c>
      <c r="O143" s="65" t="str">
        <f t="shared" ref="O143:P143" si="185">N143</f>
        <v/>
      </c>
      <c r="P143" s="65" t="str">
        <f t="shared" si="185"/>
        <v/>
      </c>
      <c r="Q143" s="38"/>
      <c r="R143" s="3" t="str">
        <f t="shared" si="162"/>
        <v>Salem</v>
      </c>
      <c r="S143" s="3" t="str">
        <f t="shared" si="89"/>
        <v>Vazhappadi</v>
      </c>
      <c r="T143" s="3" t="str">
        <f t="shared" si="90"/>
        <v>Vazhappadi</v>
      </c>
      <c r="U143" s="3" t="str">
        <f t="shared" si="91"/>
        <v>Salem_Vazhappadi_Vazhappadi</v>
      </c>
      <c r="V143" s="3">
        <f>IF(_xlfn.XLOOKUP($U143,GCA!$H$3:$H$593,GCA!E$3:E$593,"",0,1)="","",_xlfn.XLOOKUP($U143,GCA!$H$3:$H$593,GCA!E$3:E$593,"",0,1))</f>
        <v>14840.49</v>
      </c>
      <c r="W143" s="3">
        <f>IF(_xlfn.XLOOKUP($U143,GCA!$H$3:$H$593,GCA!F$3:F$593,"",0,1)="","",_xlfn.XLOOKUP($U143,GCA!$H$3:$H$593,GCA!F$3:F$593,"",0,1))</f>
        <v>13071.5</v>
      </c>
      <c r="X143" s="3">
        <f>IF(_xlfn.XLOOKUP($U143,GCA!$H$3:$H$593,GCA!G$3:G$593,"",0,1)="","",_xlfn.XLOOKUP($U143,GCA!$H$3:$H$593,GCA!G$3:G$593,"",0,1))</f>
        <v>13154.91</v>
      </c>
    </row>
    <row r="144" spans="1:24" ht="13.2">
      <c r="A144" s="49"/>
      <c r="B144" s="49"/>
      <c r="C144" s="48"/>
      <c r="D144" s="49"/>
      <c r="E144" s="50"/>
      <c r="F144" s="26" t="s">
        <v>658</v>
      </c>
      <c r="G144" s="26" t="s">
        <v>658</v>
      </c>
      <c r="H144" s="27">
        <f t="shared" si="155"/>
        <v>17066.400000000001</v>
      </c>
      <c r="I144" s="27">
        <f t="shared" si="156"/>
        <v>17531</v>
      </c>
      <c r="J144" s="27">
        <f t="shared" si="157"/>
        <v>17664.3</v>
      </c>
      <c r="K144" s="27">
        <f t="shared" si="158"/>
        <v>17420.566666666666</v>
      </c>
      <c r="L144" s="65"/>
      <c r="M144" s="67">
        <f t="shared" si="159"/>
        <v>0</v>
      </c>
      <c r="N144" s="65" t="str">
        <f t="shared" si="86"/>
        <v/>
      </c>
      <c r="O144" s="65" t="str">
        <f t="shared" ref="O144:P144" si="186">N144</f>
        <v/>
      </c>
      <c r="P144" s="65" t="str">
        <f t="shared" si="186"/>
        <v/>
      </c>
      <c r="Q144" s="38"/>
      <c r="R144" s="3" t="str">
        <f t="shared" si="162"/>
        <v>Salem</v>
      </c>
      <c r="S144" s="3" t="str">
        <f t="shared" si="89"/>
        <v>Yercaud</v>
      </c>
      <c r="T144" s="3" t="str">
        <f t="shared" si="90"/>
        <v>Yercaud</v>
      </c>
      <c r="U144" s="3" t="str">
        <f t="shared" si="91"/>
        <v>Salem_Yercaud_Yercaud</v>
      </c>
      <c r="V144" s="3">
        <f>IF(_xlfn.XLOOKUP($U144,GCA!$H$3:$H$593,GCA!E$3:E$593,"",0,1)="","",_xlfn.XLOOKUP($U144,GCA!$H$3:$H$593,GCA!E$3:E$593,"",0,1))</f>
        <v>17066.400000000001</v>
      </c>
      <c r="W144" s="3">
        <f>IF(_xlfn.XLOOKUP($U144,GCA!$H$3:$H$593,GCA!F$3:F$593,"",0,1)="","",_xlfn.XLOOKUP($U144,GCA!$H$3:$H$593,GCA!F$3:F$593,"",0,1))</f>
        <v>17531</v>
      </c>
      <c r="X144" s="3">
        <f>IF(_xlfn.XLOOKUP($U144,GCA!$H$3:$H$593,GCA!G$3:G$593,"",0,1)="","",_xlfn.XLOOKUP($U144,GCA!$H$3:$H$593,GCA!G$3:G$593,"",0,1))</f>
        <v>17664.3</v>
      </c>
    </row>
    <row r="145" spans="1:24" ht="13.2">
      <c r="A145" s="49"/>
      <c r="B145" s="49"/>
      <c r="C145" s="48"/>
      <c r="D145" s="49"/>
      <c r="E145" s="47" t="s">
        <v>564</v>
      </c>
      <c r="F145" s="47"/>
      <c r="G145" s="47"/>
      <c r="H145" s="29">
        <f t="shared" ref="H145:P145" si="187">SUM(H119:H144)</f>
        <v>312297.30499999999</v>
      </c>
      <c r="I145" s="29">
        <f t="shared" si="187"/>
        <v>308398.10000000003</v>
      </c>
      <c r="J145" s="29">
        <f t="shared" si="187"/>
        <v>313490.00300000003</v>
      </c>
      <c r="K145" s="29">
        <f t="shared" si="187"/>
        <v>311395.13599999994</v>
      </c>
      <c r="L145" s="29">
        <f t="shared" si="187"/>
        <v>311395.13599999994</v>
      </c>
      <c r="M145" s="30">
        <f t="shared" si="187"/>
        <v>13.070510493483743</v>
      </c>
      <c r="N145" s="31">
        <f t="shared" si="187"/>
        <v>13</v>
      </c>
      <c r="O145" s="31">
        <f t="shared" si="187"/>
        <v>13</v>
      </c>
      <c r="P145" s="31">
        <f t="shared" si="187"/>
        <v>13</v>
      </c>
      <c r="Q145" s="38"/>
      <c r="R145" s="3" t="str">
        <f t="shared" si="162"/>
        <v>Salem</v>
      </c>
      <c r="S145" s="3">
        <f t="shared" si="89"/>
        <v>0</v>
      </c>
      <c r="T145" s="3">
        <f t="shared" si="90"/>
        <v>0</v>
      </c>
      <c r="U145" s="3" t="str">
        <f t="shared" si="91"/>
        <v>Salem_0_0</v>
      </c>
      <c r="V145" s="3" t="str">
        <f>IF(_xlfn.XLOOKUP($U145,GCA!$H$3:$H$593,GCA!E$3:E$593,"",0,1)="","",_xlfn.XLOOKUP($U145,GCA!$H$3:$H$593,GCA!E$3:E$593,"",0,1))</f>
        <v/>
      </c>
      <c r="W145" s="3" t="str">
        <f>IF(_xlfn.XLOOKUP($U145,GCA!$H$3:$H$593,GCA!F$3:F$593,"",0,1)="","",_xlfn.XLOOKUP($U145,GCA!$H$3:$H$593,GCA!F$3:F$593,"",0,1))</f>
        <v/>
      </c>
      <c r="X145" s="3" t="str">
        <f>IF(_xlfn.XLOOKUP($U145,GCA!$H$3:$H$593,GCA!G$3:G$593,"",0,1)="","",_xlfn.XLOOKUP($U145,GCA!$H$3:$H$593,GCA!G$3:G$593,"",0,1))</f>
        <v/>
      </c>
    </row>
    <row r="146" spans="1:24" ht="13.2">
      <c r="A146" s="49"/>
      <c r="B146" s="49"/>
      <c r="C146" s="48" t="s">
        <v>234</v>
      </c>
      <c r="D146" s="49" t="s">
        <v>526</v>
      </c>
      <c r="E146" s="50">
        <v>1</v>
      </c>
      <c r="F146" s="26" t="s">
        <v>659</v>
      </c>
      <c r="G146" s="26" t="s">
        <v>659</v>
      </c>
      <c r="H146" s="27">
        <f t="shared" ref="H146:H164" si="188">V146</f>
        <v>12948.4</v>
      </c>
      <c r="I146" s="27">
        <f t="shared" ref="I146:I164" si="189">W146</f>
        <v>12607.764999999999</v>
      </c>
      <c r="J146" s="27">
        <f t="shared" ref="J146:J164" si="190">X146</f>
        <v>12466.2</v>
      </c>
      <c r="K146" s="27">
        <f t="shared" ref="K146:K164" si="191">IFERROR(AVERAGE(H146:J146),"")</f>
        <v>12674.121666666668</v>
      </c>
      <c r="L146" s="65">
        <f>SUM(K146:K150)</f>
        <v>40380.378333333334</v>
      </c>
      <c r="M146" s="67">
        <f t="shared" ref="M146:M164" si="192">L146*$L$643/$L$642</f>
        <v>1.6949274337306186</v>
      </c>
      <c r="N146" s="65">
        <f t="shared" ref="N146:N208" si="193">IF(M146&gt;=2, ROUND(M146,0), IF(M146&gt;1.1,2,""))</f>
        <v>2</v>
      </c>
      <c r="O146" s="65">
        <f t="shared" ref="O146:P146" si="194">N146</f>
        <v>2</v>
      </c>
      <c r="P146" s="65">
        <f t="shared" si="194"/>
        <v>2</v>
      </c>
      <c r="Q146" s="38"/>
      <c r="R146" s="3" t="str">
        <f t="shared" ref="R146:R205" si="195">C146</f>
        <v>Namakkal</v>
      </c>
      <c r="S146" s="3" t="str">
        <f t="shared" ref="S146:S209" si="196">F146</f>
        <v>Kollimalai</v>
      </c>
      <c r="T146" s="3" t="str">
        <f t="shared" ref="T146:T209" si="197">G146</f>
        <v>Kollimalai</v>
      </c>
      <c r="U146" s="3" t="str">
        <f t="shared" ref="U146:U209" si="198">CONCATENATE(R146,"_",S146,"_",T146)</f>
        <v>Namakkal_Kollimalai_Kollimalai</v>
      </c>
      <c r="V146" s="3">
        <f>IF(_xlfn.XLOOKUP($U146,GCA!$H$3:$H$593,GCA!E$3:E$593,"",0,1)="","",_xlfn.XLOOKUP($U146,GCA!$H$3:$H$593,GCA!E$3:E$593,"",0,1))</f>
        <v>12948.4</v>
      </c>
      <c r="W146" s="3">
        <f>IF(_xlfn.XLOOKUP($U146,GCA!$H$3:$H$593,GCA!F$3:F$593,"",0,1)="","",_xlfn.XLOOKUP($U146,GCA!$H$3:$H$593,GCA!F$3:F$593,"",0,1))</f>
        <v>12607.764999999999</v>
      </c>
      <c r="X146" s="3">
        <f>IF(_xlfn.XLOOKUP($U146,GCA!$H$3:$H$593,GCA!G$3:G$593,"",0,1)="","",_xlfn.XLOOKUP($U146,GCA!$H$3:$H$593,GCA!G$3:G$593,"",0,1))</f>
        <v>12466.2</v>
      </c>
    </row>
    <row r="147" spans="1:24" ht="13.2">
      <c r="A147" s="49"/>
      <c r="B147" s="49"/>
      <c r="C147" s="48"/>
      <c r="D147" s="49"/>
      <c r="E147" s="50"/>
      <c r="F147" s="26" t="s">
        <v>660</v>
      </c>
      <c r="G147" s="26" t="s">
        <v>661</v>
      </c>
      <c r="H147" s="27">
        <f t="shared" si="188"/>
        <v>12100.3</v>
      </c>
      <c r="I147" s="27">
        <f t="shared" si="189"/>
        <v>8923.6149999999998</v>
      </c>
      <c r="J147" s="27">
        <f t="shared" si="190"/>
        <v>11271.275</v>
      </c>
      <c r="K147" s="27">
        <f t="shared" si="191"/>
        <v>10765.063333333334</v>
      </c>
      <c r="L147" s="65"/>
      <c r="M147" s="67">
        <f t="shared" si="192"/>
        <v>0</v>
      </c>
      <c r="N147" s="65" t="str">
        <f t="shared" si="193"/>
        <v/>
      </c>
      <c r="O147" s="65" t="str">
        <f t="shared" ref="O147:P147" si="199">N147</f>
        <v/>
      </c>
      <c r="P147" s="65" t="str">
        <f t="shared" si="199"/>
        <v/>
      </c>
      <c r="Q147" s="38"/>
      <c r="R147" s="3" t="str">
        <f t="shared" ref="R147:R165" si="200">R146</f>
        <v>Namakkal</v>
      </c>
      <c r="S147" s="3" t="str">
        <f t="shared" si="196"/>
        <v>Kumarapalayam</v>
      </c>
      <c r="T147" s="3" t="str">
        <f t="shared" si="197"/>
        <v>Pallipalayam</v>
      </c>
      <c r="U147" s="3" t="str">
        <f t="shared" si="198"/>
        <v>Namakkal_Kumarapalayam_Pallipalayam</v>
      </c>
      <c r="V147" s="3">
        <f>IF(_xlfn.XLOOKUP($U147,GCA!$H$3:$H$593,GCA!E$3:E$593,"",0,1)="","",_xlfn.XLOOKUP($U147,GCA!$H$3:$H$593,GCA!E$3:E$593,"",0,1))</f>
        <v>12100.3</v>
      </c>
      <c r="W147" s="3">
        <f>IF(_xlfn.XLOOKUP($U147,GCA!$H$3:$H$593,GCA!F$3:F$593,"",0,1)="","",_xlfn.XLOOKUP($U147,GCA!$H$3:$H$593,GCA!F$3:F$593,"",0,1))</f>
        <v>8923.6149999999998</v>
      </c>
      <c r="X147" s="3">
        <f>IF(_xlfn.XLOOKUP($U147,GCA!$H$3:$H$593,GCA!G$3:G$593,"",0,1)="","",_xlfn.XLOOKUP($U147,GCA!$H$3:$H$593,GCA!G$3:G$593,"",0,1))</f>
        <v>11271.275</v>
      </c>
    </row>
    <row r="148" spans="1:24" ht="13.2">
      <c r="A148" s="49"/>
      <c r="B148" s="49"/>
      <c r="C148" s="48"/>
      <c r="D148" s="49"/>
      <c r="E148" s="50"/>
      <c r="F148" s="26" t="s">
        <v>660</v>
      </c>
      <c r="G148" s="26" t="s">
        <v>662</v>
      </c>
      <c r="H148" s="27">
        <f t="shared" si="188"/>
        <v>1799.9</v>
      </c>
      <c r="I148" s="27">
        <f t="shared" si="189"/>
        <v>1442.35</v>
      </c>
      <c r="J148" s="27">
        <f t="shared" si="190"/>
        <v>1481.79</v>
      </c>
      <c r="K148" s="27">
        <f t="shared" si="191"/>
        <v>1574.68</v>
      </c>
      <c r="L148" s="65"/>
      <c r="M148" s="67">
        <f t="shared" si="192"/>
        <v>0</v>
      </c>
      <c r="N148" s="65" t="str">
        <f t="shared" si="193"/>
        <v/>
      </c>
      <c r="O148" s="65" t="str">
        <f t="shared" ref="O148:P148" si="201">N148</f>
        <v/>
      </c>
      <c r="P148" s="65" t="str">
        <f t="shared" si="201"/>
        <v/>
      </c>
      <c r="Q148" s="38"/>
      <c r="R148" s="3" t="str">
        <f t="shared" si="200"/>
        <v>Namakkal</v>
      </c>
      <c r="S148" s="3" t="str">
        <f t="shared" si="196"/>
        <v>Kumarapalayam</v>
      </c>
      <c r="T148" s="3" t="str">
        <f t="shared" si="197"/>
        <v>Tiruchengode</v>
      </c>
      <c r="U148" s="3" t="str">
        <f t="shared" si="198"/>
        <v>Namakkal_Kumarapalayam_Tiruchengode</v>
      </c>
      <c r="V148" s="3">
        <f>IF(_xlfn.XLOOKUP($U148,GCA!$H$3:$H$593,GCA!E$3:E$593,"",0,1)="","",_xlfn.XLOOKUP($U148,GCA!$H$3:$H$593,GCA!E$3:E$593,"",0,1))</f>
        <v>1799.9</v>
      </c>
      <c r="W148" s="3">
        <f>IF(_xlfn.XLOOKUP($U148,GCA!$H$3:$H$593,GCA!F$3:F$593,"",0,1)="","",_xlfn.XLOOKUP($U148,GCA!$H$3:$H$593,GCA!F$3:F$593,"",0,1))</f>
        <v>1442.35</v>
      </c>
      <c r="X148" s="3">
        <f>IF(_xlfn.XLOOKUP($U148,GCA!$H$3:$H$593,GCA!G$3:G$593,"",0,1)="","",_xlfn.XLOOKUP($U148,GCA!$H$3:$H$593,GCA!G$3:G$593,"",0,1))</f>
        <v>1481.79</v>
      </c>
    </row>
    <row r="149" spans="1:24" ht="13.2">
      <c r="A149" s="49"/>
      <c r="B149" s="49"/>
      <c r="C149" s="48"/>
      <c r="D149" s="49"/>
      <c r="E149" s="50"/>
      <c r="F149" s="26" t="s">
        <v>663</v>
      </c>
      <c r="G149" s="26" t="s">
        <v>664</v>
      </c>
      <c r="H149" s="27">
        <f t="shared" si="188"/>
        <v>2361.4</v>
      </c>
      <c r="I149" s="27">
        <f t="shared" si="189"/>
        <v>2447.14</v>
      </c>
      <c r="J149" s="27">
        <f t="shared" si="190"/>
        <v>2681.94</v>
      </c>
      <c r="K149" s="27">
        <f t="shared" si="191"/>
        <v>2496.8266666666664</v>
      </c>
      <c r="L149" s="65"/>
      <c r="M149" s="67">
        <f t="shared" si="192"/>
        <v>0</v>
      </c>
      <c r="N149" s="65" t="str">
        <f t="shared" si="193"/>
        <v/>
      </c>
      <c r="O149" s="65" t="str">
        <f t="shared" ref="O149:P149" si="202">N149</f>
        <v/>
      </c>
      <c r="P149" s="65" t="str">
        <f t="shared" si="202"/>
        <v/>
      </c>
      <c r="Q149" s="38"/>
      <c r="R149" s="3" t="str">
        <f t="shared" si="200"/>
        <v>Namakkal</v>
      </c>
      <c r="S149" s="3" t="str">
        <f t="shared" si="196"/>
        <v>Mohanur</v>
      </c>
      <c r="T149" s="3" t="str">
        <f t="shared" si="197"/>
        <v>Erumaipatti</v>
      </c>
      <c r="U149" s="3" t="str">
        <f t="shared" si="198"/>
        <v>Namakkal_Mohanur_Erumaipatti</v>
      </c>
      <c r="V149" s="3">
        <f>IF(_xlfn.XLOOKUP($U149,GCA!$H$3:$H$593,GCA!E$3:E$593,"",0,1)="","",_xlfn.XLOOKUP($U149,GCA!$H$3:$H$593,GCA!E$3:E$593,"",0,1))</f>
        <v>2361.4</v>
      </c>
      <c r="W149" s="3">
        <f>IF(_xlfn.XLOOKUP($U149,GCA!$H$3:$H$593,GCA!F$3:F$593,"",0,1)="","",_xlfn.XLOOKUP($U149,GCA!$H$3:$H$593,GCA!F$3:F$593,"",0,1))</f>
        <v>2447.14</v>
      </c>
      <c r="X149" s="3">
        <f>IF(_xlfn.XLOOKUP($U149,GCA!$H$3:$H$593,GCA!G$3:G$593,"",0,1)="","",_xlfn.XLOOKUP($U149,GCA!$H$3:$H$593,GCA!G$3:G$593,"",0,1))</f>
        <v>2681.94</v>
      </c>
    </row>
    <row r="150" spans="1:24" ht="13.2">
      <c r="A150" s="49"/>
      <c r="B150" s="49"/>
      <c r="C150" s="48"/>
      <c r="D150" s="49"/>
      <c r="E150" s="50"/>
      <c r="F150" s="26" t="s">
        <v>663</v>
      </c>
      <c r="G150" s="26" t="s">
        <v>663</v>
      </c>
      <c r="H150" s="27">
        <f t="shared" si="188"/>
        <v>13425.42</v>
      </c>
      <c r="I150" s="27">
        <f t="shared" si="189"/>
        <v>12847.51</v>
      </c>
      <c r="J150" s="27">
        <f t="shared" si="190"/>
        <v>12336.13</v>
      </c>
      <c r="K150" s="27">
        <f t="shared" si="191"/>
        <v>12869.686666666666</v>
      </c>
      <c r="L150" s="65"/>
      <c r="M150" s="67">
        <f t="shared" si="192"/>
        <v>0</v>
      </c>
      <c r="N150" s="65" t="str">
        <f t="shared" si="193"/>
        <v/>
      </c>
      <c r="O150" s="65" t="str">
        <f t="shared" ref="O150:P150" si="203">N150</f>
        <v/>
      </c>
      <c r="P150" s="65" t="str">
        <f t="shared" si="203"/>
        <v/>
      </c>
      <c r="Q150" s="38"/>
      <c r="R150" s="3" t="str">
        <f t="shared" si="200"/>
        <v>Namakkal</v>
      </c>
      <c r="S150" s="3" t="str">
        <f t="shared" si="196"/>
        <v>Mohanur</v>
      </c>
      <c r="T150" s="3" t="str">
        <f t="shared" si="197"/>
        <v>Mohanur</v>
      </c>
      <c r="U150" s="3" t="str">
        <f t="shared" si="198"/>
        <v>Namakkal_Mohanur_Mohanur</v>
      </c>
      <c r="V150" s="3">
        <f>IF(_xlfn.XLOOKUP($U150,GCA!$H$3:$H$593,GCA!E$3:E$593,"",0,1)="","",_xlfn.XLOOKUP($U150,GCA!$H$3:$H$593,GCA!E$3:E$593,"",0,1))</f>
        <v>13425.42</v>
      </c>
      <c r="W150" s="3">
        <f>IF(_xlfn.XLOOKUP($U150,GCA!$H$3:$H$593,GCA!F$3:F$593,"",0,1)="","",_xlfn.XLOOKUP($U150,GCA!$H$3:$H$593,GCA!F$3:F$593,"",0,1))</f>
        <v>12847.51</v>
      </c>
      <c r="X150" s="3">
        <f>IF(_xlfn.XLOOKUP($U150,GCA!$H$3:$H$593,GCA!G$3:G$593,"",0,1)="","",_xlfn.XLOOKUP($U150,GCA!$H$3:$H$593,GCA!G$3:G$593,"",0,1))</f>
        <v>12336.13</v>
      </c>
    </row>
    <row r="151" spans="1:24" ht="13.2">
      <c r="A151" s="49"/>
      <c r="B151" s="49"/>
      <c r="C151" s="48"/>
      <c r="D151" s="49"/>
      <c r="E151" s="50">
        <v>2</v>
      </c>
      <c r="F151" s="26" t="s">
        <v>234</v>
      </c>
      <c r="G151" s="26" t="s">
        <v>234</v>
      </c>
      <c r="H151" s="27">
        <f t="shared" si="188"/>
        <v>6945.8149999999996</v>
      </c>
      <c r="I151" s="27">
        <f t="shared" si="189"/>
        <v>6766.52</v>
      </c>
      <c r="J151" s="27">
        <f t="shared" si="190"/>
        <v>6917.2060000000001</v>
      </c>
      <c r="K151" s="27">
        <f t="shared" si="191"/>
        <v>6876.5136666666658</v>
      </c>
      <c r="L151" s="65">
        <f>SUM(K151:K154)</f>
        <v>49724.993666666662</v>
      </c>
      <c r="M151" s="67">
        <f t="shared" si="192"/>
        <v>2.0871586494805729</v>
      </c>
      <c r="N151" s="65">
        <f t="shared" si="193"/>
        <v>2</v>
      </c>
      <c r="O151" s="65">
        <f t="shared" ref="O151:P151" si="204">N151</f>
        <v>2</v>
      </c>
      <c r="P151" s="65">
        <f t="shared" si="204"/>
        <v>2</v>
      </c>
      <c r="Q151" s="38"/>
      <c r="R151" s="3" t="str">
        <f t="shared" si="200"/>
        <v>Namakkal</v>
      </c>
      <c r="S151" s="3" t="str">
        <f t="shared" si="196"/>
        <v>Namakkal</v>
      </c>
      <c r="T151" s="3" t="str">
        <f t="shared" si="197"/>
        <v>Namakkal</v>
      </c>
      <c r="U151" s="3" t="str">
        <f t="shared" si="198"/>
        <v>Namakkal_Namakkal_Namakkal</v>
      </c>
      <c r="V151" s="3">
        <f>IF(_xlfn.XLOOKUP($U151,GCA!$H$3:$H$593,GCA!E$3:E$593,"",0,1)="","",_xlfn.XLOOKUP($U151,GCA!$H$3:$H$593,GCA!E$3:E$593,"",0,1))</f>
        <v>6945.8149999999996</v>
      </c>
      <c r="W151" s="3">
        <f>IF(_xlfn.XLOOKUP($U151,GCA!$H$3:$H$593,GCA!F$3:F$593,"",0,1)="","",_xlfn.XLOOKUP($U151,GCA!$H$3:$H$593,GCA!F$3:F$593,"",0,1))</f>
        <v>6766.52</v>
      </c>
      <c r="X151" s="3">
        <f>IF(_xlfn.XLOOKUP($U151,GCA!$H$3:$H$593,GCA!G$3:G$593,"",0,1)="","",_xlfn.XLOOKUP($U151,GCA!$H$3:$H$593,GCA!G$3:G$593,"",0,1))</f>
        <v>6917.2060000000001</v>
      </c>
    </row>
    <row r="152" spans="1:24" ht="13.2">
      <c r="A152" s="49"/>
      <c r="B152" s="49"/>
      <c r="C152" s="48"/>
      <c r="D152" s="49"/>
      <c r="E152" s="50"/>
      <c r="F152" s="26" t="s">
        <v>234</v>
      </c>
      <c r="G152" s="26" t="s">
        <v>665</v>
      </c>
      <c r="H152" s="27">
        <f t="shared" si="188"/>
        <v>14774.22</v>
      </c>
      <c r="I152" s="27">
        <f t="shared" si="189"/>
        <v>13999.305</v>
      </c>
      <c r="J152" s="27">
        <f t="shared" si="190"/>
        <v>15278.665000000001</v>
      </c>
      <c r="K152" s="27">
        <f t="shared" si="191"/>
        <v>14684.063333333334</v>
      </c>
      <c r="L152" s="65"/>
      <c r="M152" s="67">
        <f t="shared" si="192"/>
        <v>0</v>
      </c>
      <c r="N152" s="65" t="str">
        <f t="shared" si="193"/>
        <v/>
      </c>
      <c r="O152" s="65" t="str">
        <f t="shared" ref="O152:P152" si="205">N152</f>
        <v/>
      </c>
      <c r="P152" s="65" t="str">
        <f t="shared" si="205"/>
        <v/>
      </c>
      <c r="Q152" s="38"/>
      <c r="R152" s="3" t="str">
        <f t="shared" si="200"/>
        <v>Namakkal</v>
      </c>
      <c r="S152" s="3" t="str">
        <f t="shared" si="196"/>
        <v>Namakkal</v>
      </c>
      <c r="T152" s="3" t="str">
        <f t="shared" si="197"/>
        <v>Puduchatram</v>
      </c>
      <c r="U152" s="3" t="str">
        <f t="shared" si="198"/>
        <v>Namakkal_Namakkal_Puduchatram</v>
      </c>
      <c r="V152" s="3">
        <f>IF(_xlfn.XLOOKUP($U152,GCA!$H$3:$H$593,GCA!E$3:E$593,"",0,1)="","",_xlfn.XLOOKUP($U152,GCA!$H$3:$H$593,GCA!E$3:E$593,"",0,1))</f>
        <v>14774.22</v>
      </c>
      <c r="W152" s="3">
        <f>IF(_xlfn.XLOOKUP($U152,GCA!$H$3:$H$593,GCA!F$3:F$593,"",0,1)="","",_xlfn.XLOOKUP($U152,GCA!$H$3:$H$593,GCA!F$3:F$593,"",0,1))</f>
        <v>13999.305</v>
      </c>
      <c r="X152" s="3">
        <f>IF(_xlfn.XLOOKUP($U152,GCA!$H$3:$H$593,GCA!G$3:G$593,"",0,1)="","",_xlfn.XLOOKUP($U152,GCA!$H$3:$H$593,GCA!G$3:G$593,"",0,1))</f>
        <v>15278.665000000001</v>
      </c>
    </row>
    <row r="153" spans="1:24" ht="13.2">
      <c r="A153" s="49"/>
      <c r="B153" s="49"/>
      <c r="C153" s="48"/>
      <c r="D153" s="49"/>
      <c r="E153" s="50"/>
      <c r="F153" s="26" t="s">
        <v>666</v>
      </c>
      <c r="G153" s="26" t="s">
        <v>667</v>
      </c>
      <c r="H153" s="27">
        <f t="shared" si="188"/>
        <v>15266.155000000001</v>
      </c>
      <c r="I153" s="27">
        <f t="shared" si="189"/>
        <v>14417.785</v>
      </c>
      <c r="J153" s="27">
        <f t="shared" si="190"/>
        <v>14675.495000000001</v>
      </c>
      <c r="K153" s="27">
        <f t="shared" si="191"/>
        <v>14786.478333333334</v>
      </c>
      <c r="L153" s="65"/>
      <c r="M153" s="67">
        <f t="shared" si="192"/>
        <v>0</v>
      </c>
      <c r="N153" s="65" t="str">
        <f t="shared" si="193"/>
        <v/>
      </c>
      <c r="O153" s="65" t="str">
        <f t="shared" ref="O153:P153" si="206">N153</f>
        <v/>
      </c>
      <c r="P153" s="65" t="str">
        <f t="shared" si="206"/>
        <v/>
      </c>
      <c r="Q153" s="38"/>
      <c r="R153" s="3" t="str">
        <f t="shared" si="200"/>
        <v>Namakkal</v>
      </c>
      <c r="S153" s="3" t="str">
        <f t="shared" si="196"/>
        <v>Paramathi-Velur</v>
      </c>
      <c r="T153" s="3" t="str">
        <f t="shared" si="197"/>
        <v>Kabilarmalai</v>
      </c>
      <c r="U153" s="3" t="str">
        <f t="shared" si="198"/>
        <v>Namakkal_Paramathi-Velur_Kabilarmalai</v>
      </c>
      <c r="V153" s="3">
        <f>IF(_xlfn.XLOOKUP($U153,GCA!$H$3:$H$593,GCA!E$3:E$593,"",0,1)="","",_xlfn.XLOOKUP($U153,GCA!$H$3:$H$593,GCA!E$3:E$593,"",0,1))</f>
        <v>15266.155000000001</v>
      </c>
      <c r="W153" s="3">
        <f>IF(_xlfn.XLOOKUP($U153,GCA!$H$3:$H$593,GCA!F$3:F$593,"",0,1)="","",_xlfn.XLOOKUP($U153,GCA!$H$3:$H$593,GCA!F$3:F$593,"",0,1))</f>
        <v>14417.785</v>
      </c>
      <c r="X153" s="3">
        <f>IF(_xlfn.XLOOKUP($U153,GCA!$H$3:$H$593,GCA!G$3:G$593,"",0,1)="","",_xlfn.XLOOKUP($U153,GCA!$H$3:$H$593,GCA!G$3:G$593,"",0,1))</f>
        <v>14675.495000000001</v>
      </c>
    </row>
    <row r="154" spans="1:24" ht="13.2">
      <c r="A154" s="49"/>
      <c r="B154" s="49"/>
      <c r="C154" s="48"/>
      <c r="D154" s="49"/>
      <c r="E154" s="50"/>
      <c r="F154" s="26" t="s">
        <v>666</v>
      </c>
      <c r="G154" s="26" t="s">
        <v>666</v>
      </c>
      <c r="H154" s="27">
        <f t="shared" si="188"/>
        <v>13364.865</v>
      </c>
      <c r="I154" s="27">
        <f t="shared" si="189"/>
        <v>13084.66</v>
      </c>
      <c r="J154" s="27">
        <f t="shared" si="190"/>
        <v>13684.29</v>
      </c>
      <c r="K154" s="27">
        <f t="shared" si="191"/>
        <v>13377.938333333334</v>
      </c>
      <c r="L154" s="65"/>
      <c r="M154" s="67">
        <f t="shared" si="192"/>
        <v>0</v>
      </c>
      <c r="N154" s="65" t="str">
        <f t="shared" si="193"/>
        <v/>
      </c>
      <c r="O154" s="65" t="str">
        <f t="shared" ref="O154:P154" si="207">N154</f>
        <v/>
      </c>
      <c r="P154" s="65" t="str">
        <f t="shared" si="207"/>
        <v/>
      </c>
      <c r="Q154" s="38"/>
      <c r="R154" s="3" t="str">
        <f t="shared" si="200"/>
        <v>Namakkal</v>
      </c>
      <c r="S154" s="3" t="str">
        <f t="shared" si="196"/>
        <v>Paramathi-Velur</v>
      </c>
      <c r="T154" s="3" t="str">
        <f t="shared" si="197"/>
        <v>Paramathi-Velur</v>
      </c>
      <c r="U154" s="3" t="str">
        <f t="shared" si="198"/>
        <v>Namakkal_Paramathi-Velur_Paramathi-Velur</v>
      </c>
      <c r="V154" s="3">
        <f>IF(_xlfn.XLOOKUP($U154,GCA!$H$3:$H$593,GCA!E$3:E$593,"",0,1)="","",_xlfn.XLOOKUP($U154,GCA!$H$3:$H$593,GCA!E$3:E$593,"",0,1))</f>
        <v>13364.865</v>
      </c>
      <c r="W154" s="3">
        <f>IF(_xlfn.XLOOKUP($U154,GCA!$H$3:$H$593,GCA!F$3:F$593,"",0,1)="","",_xlfn.XLOOKUP($U154,GCA!$H$3:$H$593,GCA!F$3:F$593,"",0,1))</f>
        <v>13084.66</v>
      </c>
      <c r="X154" s="3">
        <f>IF(_xlfn.XLOOKUP($U154,GCA!$H$3:$H$593,GCA!G$3:G$593,"",0,1)="","",_xlfn.XLOOKUP($U154,GCA!$H$3:$H$593,GCA!G$3:G$593,"",0,1))</f>
        <v>13684.29</v>
      </c>
    </row>
    <row r="155" spans="1:24" ht="13.2">
      <c r="A155" s="49"/>
      <c r="B155" s="49"/>
      <c r="C155" s="48"/>
      <c r="D155" s="49"/>
      <c r="E155" s="50">
        <v>3</v>
      </c>
      <c r="F155" s="26" t="s">
        <v>668</v>
      </c>
      <c r="G155" s="26" t="s">
        <v>669</v>
      </c>
      <c r="H155" s="27">
        <f t="shared" si="188"/>
        <v>24277.275000000001</v>
      </c>
      <c r="I155" s="27">
        <f t="shared" si="189"/>
        <v>23249.42</v>
      </c>
      <c r="J155" s="27">
        <f t="shared" si="190"/>
        <v>22419.345000000001</v>
      </c>
      <c r="K155" s="27">
        <f t="shared" si="191"/>
        <v>23315.346666666668</v>
      </c>
      <c r="L155" s="65">
        <f>SUM(K155:K157)</f>
        <v>43681.068333333336</v>
      </c>
      <c r="M155" s="67">
        <f t="shared" si="192"/>
        <v>1.8334707129703331</v>
      </c>
      <c r="N155" s="65">
        <f t="shared" si="193"/>
        <v>2</v>
      </c>
      <c r="O155" s="65">
        <f t="shared" ref="O155:P155" si="208">N155</f>
        <v>2</v>
      </c>
      <c r="P155" s="65">
        <f t="shared" si="208"/>
        <v>2</v>
      </c>
      <c r="Q155" s="38"/>
      <c r="R155" s="3" t="str">
        <f t="shared" si="200"/>
        <v>Namakkal</v>
      </c>
      <c r="S155" s="3" t="str">
        <f t="shared" si="196"/>
        <v>Rasipuram</v>
      </c>
      <c r="T155" s="3" t="str">
        <f t="shared" si="197"/>
        <v>Namagiripettai</v>
      </c>
      <c r="U155" s="3" t="str">
        <f t="shared" si="198"/>
        <v>Namakkal_Rasipuram_Namagiripettai</v>
      </c>
      <c r="V155" s="3">
        <f>IF(_xlfn.XLOOKUP($U155,GCA!$H$3:$H$593,GCA!E$3:E$593,"",0,1)="","",_xlfn.XLOOKUP($U155,GCA!$H$3:$H$593,GCA!E$3:E$593,"",0,1))</f>
        <v>24277.275000000001</v>
      </c>
      <c r="W155" s="3">
        <f>IF(_xlfn.XLOOKUP($U155,GCA!$H$3:$H$593,GCA!F$3:F$593,"",0,1)="","",_xlfn.XLOOKUP($U155,GCA!$H$3:$H$593,GCA!F$3:F$593,"",0,1))</f>
        <v>23249.42</v>
      </c>
      <c r="X155" s="3">
        <f>IF(_xlfn.XLOOKUP($U155,GCA!$H$3:$H$593,GCA!G$3:G$593,"",0,1)="","",_xlfn.XLOOKUP($U155,GCA!$H$3:$H$593,GCA!G$3:G$593,"",0,1))</f>
        <v>22419.345000000001</v>
      </c>
    </row>
    <row r="156" spans="1:24" ht="13.2">
      <c r="A156" s="49"/>
      <c r="B156" s="49"/>
      <c r="C156" s="48"/>
      <c r="D156" s="49"/>
      <c r="E156" s="50"/>
      <c r="F156" s="26" t="s">
        <v>668</v>
      </c>
      <c r="G156" s="26" t="s">
        <v>668</v>
      </c>
      <c r="H156" s="27">
        <f t="shared" si="188"/>
        <v>10410.49</v>
      </c>
      <c r="I156" s="27">
        <f t="shared" si="189"/>
        <v>9722.41</v>
      </c>
      <c r="J156" s="27">
        <f t="shared" si="190"/>
        <v>8950.0949999999993</v>
      </c>
      <c r="K156" s="27">
        <f t="shared" si="191"/>
        <v>9694.3316666666669</v>
      </c>
      <c r="L156" s="65"/>
      <c r="M156" s="67">
        <f t="shared" si="192"/>
        <v>0</v>
      </c>
      <c r="N156" s="65" t="str">
        <f t="shared" si="193"/>
        <v/>
      </c>
      <c r="O156" s="65" t="str">
        <f t="shared" ref="O156:P156" si="209">N156</f>
        <v/>
      </c>
      <c r="P156" s="65" t="str">
        <f t="shared" si="209"/>
        <v/>
      </c>
      <c r="Q156" s="38"/>
      <c r="R156" s="3" t="str">
        <f t="shared" si="200"/>
        <v>Namakkal</v>
      </c>
      <c r="S156" s="3" t="str">
        <f t="shared" si="196"/>
        <v>Rasipuram</v>
      </c>
      <c r="T156" s="3" t="str">
        <f t="shared" si="197"/>
        <v>Rasipuram</v>
      </c>
      <c r="U156" s="3" t="str">
        <f t="shared" si="198"/>
        <v>Namakkal_Rasipuram_Rasipuram</v>
      </c>
      <c r="V156" s="3">
        <f>IF(_xlfn.XLOOKUP($U156,GCA!$H$3:$H$593,GCA!E$3:E$593,"",0,1)="","",_xlfn.XLOOKUP($U156,GCA!$H$3:$H$593,GCA!E$3:E$593,"",0,1))</f>
        <v>10410.49</v>
      </c>
      <c r="W156" s="3">
        <f>IF(_xlfn.XLOOKUP($U156,GCA!$H$3:$H$593,GCA!F$3:F$593,"",0,1)="","",_xlfn.XLOOKUP($U156,GCA!$H$3:$H$593,GCA!F$3:F$593,"",0,1))</f>
        <v>9722.41</v>
      </c>
      <c r="X156" s="3">
        <f>IF(_xlfn.XLOOKUP($U156,GCA!$H$3:$H$593,GCA!G$3:G$593,"",0,1)="","",_xlfn.XLOOKUP($U156,GCA!$H$3:$H$593,GCA!G$3:G$593,"",0,1))</f>
        <v>8950.0949999999993</v>
      </c>
    </row>
    <row r="157" spans="1:24" ht="13.2">
      <c r="A157" s="49"/>
      <c r="B157" s="49"/>
      <c r="C157" s="48"/>
      <c r="D157" s="49"/>
      <c r="E157" s="50"/>
      <c r="F157" s="26" t="s">
        <v>668</v>
      </c>
      <c r="G157" s="26" t="s">
        <v>670</v>
      </c>
      <c r="H157" s="27">
        <f t="shared" si="188"/>
        <v>11132.77</v>
      </c>
      <c r="I157" s="27">
        <f t="shared" si="189"/>
        <v>10178.299999999999</v>
      </c>
      <c r="J157" s="27">
        <f t="shared" si="190"/>
        <v>10703.1</v>
      </c>
      <c r="K157" s="27">
        <f t="shared" si="191"/>
        <v>10671.39</v>
      </c>
      <c r="L157" s="65"/>
      <c r="M157" s="67">
        <f t="shared" si="192"/>
        <v>0</v>
      </c>
      <c r="N157" s="65" t="str">
        <f t="shared" si="193"/>
        <v/>
      </c>
      <c r="O157" s="65" t="str">
        <f t="shared" ref="O157:P157" si="210">N157</f>
        <v/>
      </c>
      <c r="P157" s="65" t="str">
        <f t="shared" si="210"/>
        <v/>
      </c>
      <c r="Q157" s="38"/>
      <c r="R157" s="3" t="str">
        <f t="shared" si="200"/>
        <v>Namakkal</v>
      </c>
      <c r="S157" s="3" t="str">
        <f t="shared" si="196"/>
        <v>Rasipuram</v>
      </c>
      <c r="T157" s="3" t="str">
        <f t="shared" si="197"/>
        <v>Vennandur</v>
      </c>
      <c r="U157" s="3" t="str">
        <f t="shared" si="198"/>
        <v>Namakkal_Rasipuram_Vennandur</v>
      </c>
      <c r="V157" s="3">
        <f>IF(_xlfn.XLOOKUP($U157,GCA!$H$3:$H$593,GCA!E$3:E$593,"",0,1)="","",_xlfn.XLOOKUP($U157,GCA!$H$3:$H$593,GCA!E$3:E$593,"",0,1))</f>
        <v>11132.77</v>
      </c>
      <c r="W157" s="3">
        <f>IF(_xlfn.XLOOKUP($U157,GCA!$H$3:$H$593,GCA!F$3:F$593,"",0,1)="","",_xlfn.XLOOKUP($U157,GCA!$H$3:$H$593,GCA!F$3:F$593,"",0,1))</f>
        <v>10178.299999999999</v>
      </c>
      <c r="X157" s="3">
        <f>IF(_xlfn.XLOOKUP($U157,GCA!$H$3:$H$593,GCA!G$3:G$593,"",0,1)="","",_xlfn.XLOOKUP($U157,GCA!$H$3:$H$593,GCA!G$3:G$593,"",0,1))</f>
        <v>10703.1</v>
      </c>
    </row>
    <row r="158" spans="1:24" ht="13.2">
      <c r="A158" s="49"/>
      <c r="B158" s="49"/>
      <c r="C158" s="48"/>
      <c r="D158" s="49"/>
      <c r="E158" s="50">
        <v>4</v>
      </c>
      <c r="F158" s="26" t="s">
        <v>671</v>
      </c>
      <c r="G158" s="26" t="s">
        <v>664</v>
      </c>
      <c r="H158" s="27">
        <f t="shared" si="188"/>
        <v>12243.674999999999</v>
      </c>
      <c r="I158" s="27">
        <f t="shared" si="189"/>
        <v>11855.615</v>
      </c>
      <c r="J158" s="27">
        <f t="shared" si="190"/>
        <v>11697.49</v>
      </c>
      <c r="K158" s="27">
        <f t="shared" si="191"/>
        <v>11932.26</v>
      </c>
      <c r="L158" s="65">
        <f>SUM(K158:K164)</f>
        <v>79692.05799999999</v>
      </c>
      <c r="M158" s="67">
        <f t="shared" si="192"/>
        <v>3.3449972716860774</v>
      </c>
      <c r="N158" s="65">
        <f t="shared" si="193"/>
        <v>3</v>
      </c>
      <c r="O158" s="65">
        <f t="shared" ref="O158:P158" si="211">N158</f>
        <v>3</v>
      </c>
      <c r="P158" s="65">
        <f t="shared" si="211"/>
        <v>3</v>
      </c>
      <c r="Q158" s="38"/>
      <c r="R158" s="3" t="str">
        <f t="shared" si="200"/>
        <v>Namakkal</v>
      </c>
      <c r="S158" s="3" t="str">
        <f t="shared" si="196"/>
        <v>Senthamangalam</v>
      </c>
      <c r="T158" s="3" t="str">
        <f t="shared" si="197"/>
        <v>Erumaipatti</v>
      </c>
      <c r="U158" s="3" t="str">
        <f t="shared" si="198"/>
        <v>Namakkal_Senthamangalam_Erumaipatti</v>
      </c>
      <c r="V158" s="3">
        <f>IF(_xlfn.XLOOKUP($U158,GCA!$H$3:$H$593,GCA!E$3:E$593,"",0,1)="","",_xlfn.XLOOKUP($U158,GCA!$H$3:$H$593,GCA!E$3:E$593,"",0,1))</f>
        <v>12243.674999999999</v>
      </c>
      <c r="W158" s="3">
        <f>IF(_xlfn.XLOOKUP($U158,GCA!$H$3:$H$593,GCA!F$3:F$593,"",0,1)="","",_xlfn.XLOOKUP($U158,GCA!$H$3:$H$593,GCA!F$3:F$593,"",0,1))</f>
        <v>11855.615</v>
      </c>
      <c r="X158" s="3">
        <f>IF(_xlfn.XLOOKUP($U158,GCA!$H$3:$H$593,GCA!G$3:G$593,"",0,1)="","",_xlfn.XLOOKUP($U158,GCA!$H$3:$H$593,GCA!G$3:G$593,"",0,1))</f>
        <v>11697.49</v>
      </c>
    </row>
    <row r="159" spans="1:24" ht="13.2">
      <c r="A159" s="49"/>
      <c r="B159" s="49"/>
      <c r="C159" s="48"/>
      <c r="D159" s="49"/>
      <c r="E159" s="50"/>
      <c r="F159" s="26" t="s">
        <v>671</v>
      </c>
      <c r="G159" s="26" t="s">
        <v>234</v>
      </c>
      <c r="H159" s="27">
        <f t="shared" si="188"/>
        <v>247.935</v>
      </c>
      <c r="I159" s="27">
        <f t="shared" si="189"/>
        <v>247.44</v>
      </c>
      <c r="J159" s="27">
        <f t="shared" si="190"/>
        <v>267</v>
      </c>
      <c r="K159" s="27">
        <f t="shared" si="191"/>
        <v>254.125</v>
      </c>
      <c r="L159" s="65"/>
      <c r="M159" s="67">
        <f t="shared" si="192"/>
        <v>0</v>
      </c>
      <c r="N159" s="65" t="str">
        <f t="shared" si="193"/>
        <v/>
      </c>
      <c r="O159" s="65" t="str">
        <f t="shared" ref="O159:P159" si="212">N159</f>
        <v/>
      </c>
      <c r="P159" s="65" t="str">
        <f t="shared" si="212"/>
        <v/>
      </c>
      <c r="Q159" s="38"/>
      <c r="R159" s="3" t="str">
        <f t="shared" si="200"/>
        <v>Namakkal</v>
      </c>
      <c r="S159" s="3" t="str">
        <f t="shared" si="196"/>
        <v>Senthamangalam</v>
      </c>
      <c r="T159" s="3" t="str">
        <f t="shared" si="197"/>
        <v>Namakkal</v>
      </c>
      <c r="U159" s="3" t="str">
        <f t="shared" si="198"/>
        <v>Namakkal_Senthamangalam_Namakkal</v>
      </c>
      <c r="V159" s="3">
        <f>IF(_xlfn.XLOOKUP($U159,GCA!$H$3:$H$593,GCA!E$3:E$593,"",0,1)="","",_xlfn.XLOOKUP($U159,GCA!$H$3:$H$593,GCA!E$3:E$593,"",0,1))</f>
        <v>247.935</v>
      </c>
      <c r="W159" s="3">
        <f>IF(_xlfn.XLOOKUP($U159,GCA!$H$3:$H$593,GCA!F$3:F$593,"",0,1)="","",_xlfn.XLOOKUP($U159,GCA!$H$3:$H$593,GCA!F$3:F$593,"",0,1))</f>
        <v>247.44</v>
      </c>
      <c r="X159" s="3">
        <f>IF(_xlfn.XLOOKUP($U159,GCA!$H$3:$H$593,GCA!G$3:G$593,"",0,1)="","",_xlfn.XLOOKUP($U159,GCA!$H$3:$H$593,GCA!G$3:G$593,"",0,1))</f>
        <v>267</v>
      </c>
    </row>
    <row r="160" spans="1:24" ht="13.2">
      <c r="A160" s="49"/>
      <c r="B160" s="49"/>
      <c r="C160" s="48"/>
      <c r="D160" s="49"/>
      <c r="E160" s="50"/>
      <c r="F160" s="26" t="s">
        <v>671</v>
      </c>
      <c r="G160" s="26" t="s">
        <v>665</v>
      </c>
      <c r="H160" s="27">
        <f t="shared" si="188"/>
        <v>1934</v>
      </c>
      <c r="I160" s="27">
        <f t="shared" si="189"/>
        <v>1940.5</v>
      </c>
      <c r="J160" s="27">
        <f t="shared" si="190"/>
        <v>1884.55</v>
      </c>
      <c r="K160" s="27">
        <f t="shared" si="191"/>
        <v>1919.6833333333334</v>
      </c>
      <c r="L160" s="65"/>
      <c r="M160" s="67">
        <f t="shared" si="192"/>
        <v>0</v>
      </c>
      <c r="N160" s="65" t="str">
        <f t="shared" si="193"/>
        <v/>
      </c>
      <c r="O160" s="65" t="str">
        <f t="shared" ref="O160:P160" si="213">N160</f>
        <v/>
      </c>
      <c r="P160" s="65" t="str">
        <f t="shared" si="213"/>
        <v/>
      </c>
      <c r="Q160" s="38"/>
      <c r="R160" s="3" t="str">
        <f t="shared" si="200"/>
        <v>Namakkal</v>
      </c>
      <c r="S160" s="3" t="str">
        <f t="shared" si="196"/>
        <v>Senthamangalam</v>
      </c>
      <c r="T160" s="3" t="str">
        <f t="shared" si="197"/>
        <v>Puduchatram</v>
      </c>
      <c r="U160" s="3" t="str">
        <f t="shared" si="198"/>
        <v>Namakkal_Senthamangalam_Puduchatram</v>
      </c>
      <c r="V160" s="3">
        <f>IF(_xlfn.XLOOKUP($U160,GCA!$H$3:$H$593,GCA!E$3:E$593,"",0,1)="","",_xlfn.XLOOKUP($U160,GCA!$H$3:$H$593,GCA!E$3:E$593,"",0,1))</f>
        <v>1934</v>
      </c>
      <c r="W160" s="3">
        <f>IF(_xlfn.XLOOKUP($U160,GCA!$H$3:$H$593,GCA!F$3:F$593,"",0,1)="","",_xlfn.XLOOKUP($U160,GCA!$H$3:$H$593,GCA!F$3:F$593,"",0,1))</f>
        <v>1940.5</v>
      </c>
      <c r="X160" s="3">
        <f>IF(_xlfn.XLOOKUP($U160,GCA!$H$3:$H$593,GCA!G$3:G$593,"",0,1)="","",_xlfn.XLOOKUP($U160,GCA!$H$3:$H$593,GCA!G$3:G$593,"",0,1))</f>
        <v>1884.55</v>
      </c>
    </row>
    <row r="161" spans="1:24" ht="13.2">
      <c r="A161" s="49"/>
      <c r="B161" s="49"/>
      <c r="C161" s="48"/>
      <c r="D161" s="49"/>
      <c r="E161" s="50"/>
      <c r="F161" s="26" t="s">
        <v>671</v>
      </c>
      <c r="G161" s="26" t="s">
        <v>672</v>
      </c>
      <c r="H161" s="27">
        <f t="shared" si="188"/>
        <v>10558.23</v>
      </c>
      <c r="I161" s="27">
        <f t="shared" si="189"/>
        <v>8391.4150000000009</v>
      </c>
      <c r="J161" s="27">
        <f t="shared" si="190"/>
        <v>8529.7090000000007</v>
      </c>
      <c r="K161" s="27">
        <f t="shared" si="191"/>
        <v>9159.7846666666665</v>
      </c>
      <c r="L161" s="65"/>
      <c r="M161" s="67">
        <f t="shared" si="192"/>
        <v>0</v>
      </c>
      <c r="N161" s="65" t="str">
        <f t="shared" si="193"/>
        <v/>
      </c>
      <c r="O161" s="65" t="str">
        <f t="shared" ref="O161:P161" si="214">N161</f>
        <v/>
      </c>
      <c r="P161" s="65" t="str">
        <f t="shared" si="214"/>
        <v/>
      </c>
      <c r="Q161" s="38"/>
      <c r="R161" s="3" t="str">
        <f t="shared" si="200"/>
        <v>Namakkal</v>
      </c>
      <c r="S161" s="3" t="str">
        <f t="shared" si="196"/>
        <v>Senthamangalam</v>
      </c>
      <c r="T161" s="3" t="str">
        <f t="shared" si="197"/>
        <v>Senthamagalam</v>
      </c>
      <c r="U161" s="3" t="str">
        <f t="shared" si="198"/>
        <v>Namakkal_Senthamangalam_Senthamagalam</v>
      </c>
      <c r="V161" s="3">
        <f>IF(_xlfn.XLOOKUP($U161,GCA!$H$3:$H$593,GCA!E$3:E$593,"",0,1)="","",_xlfn.XLOOKUP($U161,GCA!$H$3:$H$593,GCA!E$3:E$593,"",0,1))</f>
        <v>10558.23</v>
      </c>
      <c r="W161" s="3">
        <f>IF(_xlfn.XLOOKUP($U161,GCA!$H$3:$H$593,GCA!F$3:F$593,"",0,1)="","",_xlfn.XLOOKUP($U161,GCA!$H$3:$H$593,GCA!F$3:F$593,"",0,1))</f>
        <v>8391.4150000000009</v>
      </c>
      <c r="X161" s="3">
        <f>IF(_xlfn.XLOOKUP($U161,GCA!$H$3:$H$593,GCA!G$3:G$593,"",0,1)="","",_xlfn.XLOOKUP($U161,GCA!$H$3:$H$593,GCA!G$3:G$593,"",0,1))</f>
        <v>8529.7090000000007</v>
      </c>
    </row>
    <row r="162" spans="1:24" ht="13.2">
      <c r="A162" s="49"/>
      <c r="B162" s="49"/>
      <c r="C162" s="48"/>
      <c r="D162" s="49"/>
      <c r="E162" s="50"/>
      <c r="F162" s="26" t="s">
        <v>662</v>
      </c>
      <c r="G162" s="26" t="s">
        <v>673</v>
      </c>
      <c r="H162" s="27">
        <f t="shared" si="188"/>
        <v>22136.17</v>
      </c>
      <c r="I162" s="27">
        <f t="shared" si="189"/>
        <v>21765.759999999998</v>
      </c>
      <c r="J162" s="27">
        <f t="shared" si="190"/>
        <v>22655.7</v>
      </c>
      <c r="K162" s="27">
        <f t="shared" si="191"/>
        <v>22185.876666666663</v>
      </c>
      <c r="L162" s="65"/>
      <c r="M162" s="67">
        <f t="shared" si="192"/>
        <v>0</v>
      </c>
      <c r="N162" s="65" t="str">
        <f t="shared" si="193"/>
        <v/>
      </c>
      <c r="O162" s="65" t="str">
        <f t="shared" ref="O162:P162" si="215">N162</f>
        <v/>
      </c>
      <c r="P162" s="65" t="str">
        <f t="shared" si="215"/>
        <v/>
      </c>
      <c r="Q162" s="38"/>
      <c r="R162" s="3" t="str">
        <f t="shared" si="200"/>
        <v>Namakkal</v>
      </c>
      <c r="S162" s="3" t="str">
        <f t="shared" si="196"/>
        <v>Tiruchengode</v>
      </c>
      <c r="T162" s="3" t="str">
        <f t="shared" si="197"/>
        <v>Elachipalayam</v>
      </c>
      <c r="U162" s="3" t="str">
        <f t="shared" si="198"/>
        <v>Namakkal_Tiruchengode_Elachipalayam</v>
      </c>
      <c r="V162" s="3">
        <f>IF(_xlfn.XLOOKUP($U162,GCA!$H$3:$H$593,GCA!E$3:E$593,"",0,1)="","",_xlfn.XLOOKUP($U162,GCA!$H$3:$H$593,GCA!E$3:E$593,"",0,1))</f>
        <v>22136.17</v>
      </c>
      <c r="W162" s="3">
        <f>IF(_xlfn.XLOOKUP($U162,GCA!$H$3:$H$593,GCA!F$3:F$593,"",0,1)="","",_xlfn.XLOOKUP($U162,GCA!$H$3:$H$593,GCA!F$3:F$593,"",0,1))</f>
        <v>21765.759999999998</v>
      </c>
      <c r="X162" s="3">
        <f>IF(_xlfn.XLOOKUP($U162,GCA!$H$3:$H$593,GCA!G$3:G$593,"",0,1)="","",_xlfn.XLOOKUP($U162,GCA!$H$3:$H$593,GCA!G$3:G$593,"",0,1))</f>
        <v>22655.7</v>
      </c>
    </row>
    <row r="163" spans="1:24" ht="13.2">
      <c r="A163" s="49"/>
      <c r="B163" s="49"/>
      <c r="C163" s="48"/>
      <c r="D163" s="49"/>
      <c r="E163" s="50"/>
      <c r="F163" s="26" t="s">
        <v>662</v>
      </c>
      <c r="G163" s="26" t="s">
        <v>674</v>
      </c>
      <c r="H163" s="27">
        <f t="shared" si="188"/>
        <v>15979.35</v>
      </c>
      <c r="I163" s="27">
        <f t="shared" si="189"/>
        <v>14862.61</v>
      </c>
      <c r="J163" s="27">
        <f t="shared" si="190"/>
        <v>14850.67</v>
      </c>
      <c r="K163" s="27">
        <f t="shared" si="191"/>
        <v>15230.876666666665</v>
      </c>
      <c r="L163" s="65"/>
      <c r="M163" s="67">
        <f t="shared" si="192"/>
        <v>0</v>
      </c>
      <c r="N163" s="65" t="str">
        <f t="shared" si="193"/>
        <v/>
      </c>
      <c r="O163" s="65" t="str">
        <f t="shared" ref="O163:P163" si="216">N163</f>
        <v/>
      </c>
      <c r="P163" s="65" t="str">
        <f t="shared" si="216"/>
        <v/>
      </c>
      <c r="Q163" s="38"/>
      <c r="R163" s="3" t="str">
        <f t="shared" si="200"/>
        <v>Namakkal</v>
      </c>
      <c r="S163" s="3" t="str">
        <f t="shared" si="196"/>
        <v>Tiruchengode</v>
      </c>
      <c r="T163" s="3" t="str">
        <f t="shared" si="197"/>
        <v>Mallasamudram</v>
      </c>
      <c r="U163" s="3" t="str">
        <f t="shared" si="198"/>
        <v>Namakkal_Tiruchengode_Mallasamudram</v>
      </c>
      <c r="V163" s="3">
        <f>IF(_xlfn.XLOOKUP($U163,GCA!$H$3:$H$593,GCA!E$3:E$593,"",0,1)="","",_xlfn.XLOOKUP($U163,GCA!$H$3:$H$593,GCA!E$3:E$593,"",0,1))</f>
        <v>15979.35</v>
      </c>
      <c r="W163" s="3">
        <f>IF(_xlfn.XLOOKUP($U163,GCA!$H$3:$H$593,GCA!F$3:F$593,"",0,1)="","",_xlfn.XLOOKUP($U163,GCA!$H$3:$H$593,GCA!F$3:F$593,"",0,1))</f>
        <v>14862.61</v>
      </c>
      <c r="X163" s="3">
        <f>IF(_xlfn.XLOOKUP($U163,GCA!$H$3:$H$593,GCA!G$3:G$593,"",0,1)="","",_xlfn.XLOOKUP($U163,GCA!$H$3:$H$593,GCA!G$3:G$593,"",0,1))</f>
        <v>14850.67</v>
      </c>
    </row>
    <row r="164" spans="1:24" ht="13.2">
      <c r="A164" s="49"/>
      <c r="B164" s="49"/>
      <c r="C164" s="48"/>
      <c r="D164" s="49"/>
      <c r="E164" s="50"/>
      <c r="F164" s="26" t="s">
        <v>662</v>
      </c>
      <c r="G164" s="26" t="s">
        <v>662</v>
      </c>
      <c r="H164" s="27">
        <f t="shared" si="188"/>
        <v>19060.915000000001</v>
      </c>
      <c r="I164" s="27">
        <f t="shared" si="189"/>
        <v>18874.93</v>
      </c>
      <c r="J164" s="27">
        <f t="shared" si="190"/>
        <v>19092.509999999998</v>
      </c>
      <c r="K164" s="27">
        <f t="shared" si="191"/>
        <v>19009.451666666664</v>
      </c>
      <c r="L164" s="65"/>
      <c r="M164" s="67">
        <f t="shared" si="192"/>
        <v>0</v>
      </c>
      <c r="N164" s="65" t="str">
        <f t="shared" si="193"/>
        <v/>
      </c>
      <c r="O164" s="65" t="str">
        <f t="shared" ref="O164:P164" si="217">N164</f>
        <v/>
      </c>
      <c r="P164" s="65" t="str">
        <f t="shared" si="217"/>
        <v/>
      </c>
      <c r="Q164" s="38"/>
      <c r="R164" s="3" t="str">
        <f t="shared" si="200"/>
        <v>Namakkal</v>
      </c>
      <c r="S164" s="3" t="str">
        <f t="shared" si="196"/>
        <v>Tiruchengode</v>
      </c>
      <c r="T164" s="3" t="str">
        <f t="shared" si="197"/>
        <v>Tiruchengode</v>
      </c>
      <c r="U164" s="3" t="str">
        <f t="shared" si="198"/>
        <v>Namakkal_Tiruchengode_Tiruchengode</v>
      </c>
      <c r="V164" s="3">
        <f>IF(_xlfn.XLOOKUP($U164,GCA!$H$3:$H$593,GCA!E$3:E$593,"",0,1)="","",_xlfn.XLOOKUP($U164,GCA!$H$3:$H$593,GCA!E$3:E$593,"",0,1))</f>
        <v>19060.915000000001</v>
      </c>
      <c r="W164" s="3">
        <f>IF(_xlfn.XLOOKUP($U164,GCA!$H$3:$H$593,GCA!F$3:F$593,"",0,1)="","",_xlfn.XLOOKUP($U164,GCA!$H$3:$H$593,GCA!F$3:F$593,"",0,1))</f>
        <v>18874.93</v>
      </c>
      <c r="X164" s="3">
        <f>IF(_xlfn.XLOOKUP($U164,GCA!$H$3:$H$593,GCA!G$3:G$593,"",0,1)="","",_xlfn.XLOOKUP($U164,GCA!$H$3:$H$593,GCA!G$3:G$593,"",0,1))</f>
        <v>19092.509999999998</v>
      </c>
    </row>
    <row r="165" spans="1:24" ht="13.2">
      <c r="A165" s="49"/>
      <c r="B165" s="49"/>
      <c r="C165" s="48"/>
      <c r="D165" s="49"/>
      <c r="E165" s="47" t="s">
        <v>564</v>
      </c>
      <c r="F165" s="47"/>
      <c r="G165" s="47"/>
      <c r="H165" s="29">
        <f t="shared" ref="H165" si="218">SUM(H146:H164)</f>
        <v>220967.28500000003</v>
      </c>
      <c r="I165" s="29">
        <f t="shared" ref="I165:P165" si="219">SUM(I146:I164)</f>
        <v>207625.05</v>
      </c>
      <c r="J165" s="29">
        <f t="shared" si="219"/>
        <v>211843.16000000003</v>
      </c>
      <c r="K165" s="29">
        <f t="shared" si="219"/>
        <v>213478.49833333332</v>
      </c>
      <c r="L165" s="29">
        <f t="shared" si="219"/>
        <v>213478.49833333332</v>
      </c>
      <c r="M165" s="30">
        <f t="shared" si="219"/>
        <v>8.9605540678676014</v>
      </c>
      <c r="N165" s="31">
        <f t="shared" si="219"/>
        <v>9</v>
      </c>
      <c r="O165" s="31">
        <f t="shared" si="219"/>
        <v>9</v>
      </c>
      <c r="P165" s="31">
        <f t="shared" si="219"/>
        <v>9</v>
      </c>
      <c r="Q165" s="38"/>
      <c r="R165" s="3" t="str">
        <f t="shared" si="200"/>
        <v>Namakkal</v>
      </c>
      <c r="S165" s="3">
        <f t="shared" si="196"/>
        <v>0</v>
      </c>
      <c r="T165" s="3">
        <f t="shared" si="197"/>
        <v>0</v>
      </c>
      <c r="U165" s="3" t="str">
        <f t="shared" si="198"/>
        <v>Namakkal_0_0</v>
      </c>
      <c r="V165" s="3" t="str">
        <f>IF(_xlfn.XLOOKUP($U165,GCA!$H$3:$H$593,GCA!E$3:E$593,"",0,1)="","",_xlfn.XLOOKUP($U165,GCA!$H$3:$H$593,GCA!E$3:E$593,"",0,1))</f>
        <v/>
      </c>
      <c r="W165" s="3" t="str">
        <f>IF(_xlfn.XLOOKUP($U165,GCA!$H$3:$H$593,GCA!F$3:F$593,"",0,1)="","",_xlfn.XLOOKUP($U165,GCA!$H$3:$H$593,GCA!F$3:F$593,"",0,1))</f>
        <v/>
      </c>
      <c r="X165" s="3" t="str">
        <f>IF(_xlfn.XLOOKUP($U165,GCA!$H$3:$H$593,GCA!G$3:G$593,"",0,1)="","",_xlfn.XLOOKUP($U165,GCA!$H$3:$H$593,GCA!G$3:G$593,"",0,1))</f>
        <v/>
      </c>
    </row>
    <row r="166" spans="1:24" ht="13.2">
      <c r="A166" s="49"/>
      <c r="B166" s="49"/>
      <c r="C166" s="54" t="s">
        <v>521</v>
      </c>
      <c r="D166" s="54"/>
      <c r="E166" s="54"/>
      <c r="F166" s="54"/>
      <c r="G166" s="54"/>
      <c r="H166" s="32">
        <f t="shared" ref="H166" si="220">SUM(H165,H145)</f>
        <v>533264.59000000008</v>
      </c>
      <c r="I166" s="32">
        <f t="shared" ref="I166:P166" si="221">SUM(I165,I145)</f>
        <v>516023.15</v>
      </c>
      <c r="J166" s="32">
        <f t="shared" si="221"/>
        <v>525333.16300000006</v>
      </c>
      <c r="K166" s="32">
        <f t="shared" si="221"/>
        <v>524873.63433333323</v>
      </c>
      <c r="L166" s="32">
        <f t="shared" si="221"/>
        <v>524873.63433333323</v>
      </c>
      <c r="M166" s="33">
        <f t="shared" si="221"/>
        <v>22.031064561351343</v>
      </c>
      <c r="N166" s="34">
        <f t="shared" si="221"/>
        <v>22</v>
      </c>
      <c r="O166" s="34">
        <f t="shared" si="221"/>
        <v>22</v>
      </c>
      <c r="P166" s="34">
        <f t="shared" si="221"/>
        <v>22</v>
      </c>
      <c r="Q166" s="38"/>
      <c r="R166" s="3" t="str">
        <f t="shared" si="195"/>
        <v>SRO TOTAL</v>
      </c>
      <c r="S166" s="3">
        <f t="shared" si="196"/>
        <v>0</v>
      </c>
      <c r="T166" s="3">
        <f t="shared" si="197"/>
        <v>0</v>
      </c>
      <c r="U166" s="3" t="str">
        <f t="shared" si="198"/>
        <v>SRO TOTAL_0_0</v>
      </c>
      <c r="V166" s="3" t="str">
        <f>IF(_xlfn.XLOOKUP($U166,GCA!$H$3:$H$593,GCA!E$3:E$593,"",0,1)="","",_xlfn.XLOOKUP($U166,GCA!$H$3:$H$593,GCA!E$3:E$593,"",0,1))</f>
        <v/>
      </c>
      <c r="W166" s="3" t="str">
        <f>IF(_xlfn.XLOOKUP($U166,GCA!$H$3:$H$593,GCA!F$3:F$593,"",0,1)="","",_xlfn.XLOOKUP($U166,GCA!$H$3:$H$593,GCA!F$3:F$593,"",0,1))</f>
        <v/>
      </c>
      <c r="X166" s="3" t="str">
        <f>IF(_xlfn.XLOOKUP($U166,GCA!$H$3:$H$593,GCA!G$3:G$593,"",0,1)="","",_xlfn.XLOOKUP($U166,GCA!$H$3:$H$593,GCA!G$3:G$593,"",0,1))</f>
        <v/>
      </c>
    </row>
    <row r="167" spans="1:24" ht="13.2">
      <c r="A167" s="49"/>
      <c r="B167" s="49" t="s">
        <v>356</v>
      </c>
      <c r="C167" s="48" t="s">
        <v>236</v>
      </c>
      <c r="D167" s="49" t="s">
        <v>530</v>
      </c>
      <c r="E167" s="50">
        <v>1</v>
      </c>
      <c r="F167" s="26" t="s">
        <v>675</v>
      </c>
      <c r="G167" s="26" t="s">
        <v>675</v>
      </c>
      <c r="H167" s="27">
        <f t="shared" ref="H167:H179" si="222">V167</f>
        <v>12242.985000000001</v>
      </c>
      <c r="I167" s="27">
        <f t="shared" ref="I167:I179" si="223">W167</f>
        <v>11830.605</v>
      </c>
      <c r="J167" s="27">
        <f t="shared" ref="J167:J179" si="224">X167</f>
        <v>10925.105</v>
      </c>
      <c r="K167" s="27">
        <f t="shared" ref="K167:K179" si="225">IFERROR(AVERAGE(H167:J167),"")</f>
        <v>11666.231666666667</v>
      </c>
      <c r="L167" s="65">
        <f>SUM(K167:K179)</f>
        <v>83063.646666666667</v>
      </c>
      <c r="M167" s="67">
        <f t="shared" ref="M167:M179" si="226">L167*$L$643/$L$642</f>
        <v>3.4865164540774738</v>
      </c>
      <c r="N167" s="65">
        <f t="shared" si="193"/>
        <v>3</v>
      </c>
      <c r="O167" s="65">
        <f t="shared" ref="O167:P167" si="227">N167</f>
        <v>3</v>
      </c>
      <c r="P167" s="65">
        <f t="shared" si="227"/>
        <v>3</v>
      </c>
      <c r="Q167" s="38"/>
      <c r="R167" s="3" t="str">
        <f t="shared" si="195"/>
        <v>Karur</v>
      </c>
      <c r="S167" s="3" t="str">
        <f t="shared" si="196"/>
        <v>Aravakurichi</v>
      </c>
      <c r="T167" s="3" t="str">
        <f t="shared" si="197"/>
        <v>Aravakurichi</v>
      </c>
      <c r="U167" s="3" t="str">
        <f t="shared" si="198"/>
        <v>Karur_Aravakurichi_Aravakurichi</v>
      </c>
      <c r="V167" s="3">
        <f>IF(_xlfn.XLOOKUP($U167,GCA!$H$3:$H$593,GCA!E$3:E$593,"",0,1)="","",_xlfn.XLOOKUP($U167,GCA!$H$3:$H$593,GCA!E$3:E$593,"",0,1))</f>
        <v>12242.985000000001</v>
      </c>
      <c r="W167" s="3">
        <f>IF(_xlfn.XLOOKUP($U167,GCA!$H$3:$H$593,GCA!F$3:F$593,"",0,1)="","",_xlfn.XLOOKUP($U167,GCA!$H$3:$H$593,GCA!F$3:F$593,"",0,1))</f>
        <v>11830.605</v>
      </c>
      <c r="X167" s="3">
        <f>IF(_xlfn.XLOOKUP($U167,GCA!$H$3:$H$593,GCA!G$3:G$593,"",0,1)="","",_xlfn.XLOOKUP($U167,GCA!$H$3:$H$593,GCA!G$3:G$593,"",0,1))</f>
        <v>10925.105</v>
      </c>
    </row>
    <row r="168" spans="1:24" ht="13.2">
      <c r="A168" s="49"/>
      <c r="B168" s="49"/>
      <c r="C168" s="48"/>
      <c r="D168" s="49"/>
      <c r="E168" s="50"/>
      <c r="F168" s="26" t="s">
        <v>675</v>
      </c>
      <c r="G168" s="26" t="s">
        <v>676</v>
      </c>
      <c r="H168" s="27">
        <f t="shared" si="222"/>
        <v>6497.1</v>
      </c>
      <c r="I168" s="27">
        <f t="shared" si="223"/>
        <v>6015.6</v>
      </c>
      <c r="J168" s="27">
        <f t="shared" si="224"/>
        <v>5839.97</v>
      </c>
      <c r="K168" s="27">
        <f t="shared" si="225"/>
        <v>6117.5566666666673</v>
      </c>
      <c r="L168" s="65"/>
      <c r="M168" s="67">
        <f t="shared" si="226"/>
        <v>0</v>
      </c>
      <c r="N168" s="65" t="str">
        <f t="shared" si="193"/>
        <v/>
      </c>
      <c r="O168" s="65" t="str">
        <f t="shared" ref="O168:P168" si="228">N168</f>
        <v/>
      </c>
      <c r="P168" s="65" t="str">
        <f t="shared" si="228"/>
        <v/>
      </c>
      <c r="Q168" s="38"/>
      <c r="R168" s="3" t="str">
        <f t="shared" ref="R168:R180" si="229">R167</f>
        <v>Karur</v>
      </c>
      <c r="S168" s="3" t="str">
        <f t="shared" si="196"/>
        <v>Aravakurichi</v>
      </c>
      <c r="T168" s="3" t="str">
        <f t="shared" si="197"/>
        <v>K.Paramathy</v>
      </c>
      <c r="U168" s="3" t="str">
        <f t="shared" si="198"/>
        <v>Karur_Aravakurichi_K.Paramathy</v>
      </c>
      <c r="V168" s="3">
        <f>IF(_xlfn.XLOOKUP($U168,GCA!$H$3:$H$593,GCA!E$3:E$593,"",0,1)="","",_xlfn.XLOOKUP($U168,GCA!$H$3:$H$593,GCA!E$3:E$593,"",0,1))</f>
        <v>6497.1</v>
      </c>
      <c r="W168" s="3">
        <f>IF(_xlfn.XLOOKUP($U168,GCA!$H$3:$H$593,GCA!F$3:F$593,"",0,1)="","",_xlfn.XLOOKUP($U168,GCA!$H$3:$H$593,GCA!F$3:F$593,"",0,1))</f>
        <v>6015.6</v>
      </c>
      <c r="X168" s="3">
        <f>IF(_xlfn.XLOOKUP($U168,GCA!$H$3:$H$593,GCA!G$3:G$593,"",0,1)="","",_xlfn.XLOOKUP($U168,GCA!$H$3:$H$593,GCA!G$3:G$593,"",0,1))</f>
        <v>5839.97</v>
      </c>
    </row>
    <row r="169" spans="1:24" ht="13.2">
      <c r="A169" s="49"/>
      <c r="B169" s="49"/>
      <c r="C169" s="48"/>
      <c r="D169" s="49"/>
      <c r="E169" s="50"/>
      <c r="F169" s="26" t="s">
        <v>677</v>
      </c>
      <c r="G169" s="26" t="s">
        <v>677</v>
      </c>
      <c r="H169" s="27">
        <f t="shared" si="222"/>
        <v>10271.115</v>
      </c>
      <c r="I169" s="27">
        <f t="shared" si="223"/>
        <v>10195.844999999999</v>
      </c>
      <c r="J169" s="27">
        <f t="shared" si="224"/>
        <v>10123.905000000001</v>
      </c>
      <c r="K169" s="27">
        <f t="shared" si="225"/>
        <v>10196.955</v>
      </c>
      <c r="L169" s="65"/>
      <c r="M169" s="67">
        <f t="shared" si="226"/>
        <v>0</v>
      </c>
      <c r="N169" s="65" t="str">
        <f t="shared" si="193"/>
        <v/>
      </c>
      <c r="O169" s="65" t="str">
        <f t="shared" ref="O169:P169" si="230">N169</f>
        <v/>
      </c>
      <c r="P169" s="65" t="str">
        <f t="shared" si="230"/>
        <v/>
      </c>
      <c r="Q169" s="38"/>
      <c r="R169" s="3" t="str">
        <f t="shared" si="229"/>
        <v>Karur</v>
      </c>
      <c r="S169" s="3" t="str">
        <f t="shared" si="196"/>
        <v>Kadavur</v>
      </c>
      <c r="T169" s="3" t="str">
        <f t="shared" si="197"/>
        <v>Kadavur</v>
      </c>
      <c r="U169" s="3" t="str">
        <f t="shared" si="198"/>
        <v>Karur_Kadavur_Kadavur</v>
      </c>
      <c r="V169" s="3">
        <f>IF(_xlfn.XLOOKUP($U169,GCA!$H$3:$H$593,GCA!E$3:E$593,"",0,1)="","",_xlfn.XLOOKUP($U169,GCA!$H$3:$H$593,GCA!E$3:E$593,"",0,1))</f>
        <v>10271.115</v>
      </c>
      <c r="W169" s="3">
        <f>IF(_xlfn.XLOOKUP($U169,GCA!$H$3:$H$593,GCA!F$3:F$593,"",0,1)="","",_xlfn.XLOOKUP($U169,GCA!$H$3:$H$593,GCA!F$3:F$593,"",0,1))</f>
        <v>10195.844999999999</v>
      </c>
      <c r="X169" s="3">
        <f>IF(_xlfn.XLOOKUP($U169,GCA!$H$3:$H$593,GCA!G$3:G$593,"",0,1)="","",_xlfn.XLOOKUP($U169,GCA!$H$3:$H$593,GCA!G$3:G$593,"",0,1))</f>
        <v>10123.905000000001</v>
      </c>
    </row>
    <row r="170" spans="1:24" ht="13.2">
      <c r="A170" s="49"/>
      <c r="B170" s="49"/>
      <c r="C170" s="48"/>
      <c r="D170" s="49"/>
      <c r="E170" s="50"/>
      <c r="F170" s="26" t="s">
        <v>677</v>
      </c>
      <c r="G170" s="26" t="s">
        <v>678</v>
      </c>
      <c r="H170" s="27">
        <f t="shared" si="222"/>
        <v>1681.21</v>
      </c>
      <c r="I170" s="27">
        <f t="shared" si="223"/>
        <v>1370.11</v>
      </c>
      <c r="J170" s="27">
        <f t="shared" si="224"/>
        <v>1382.91</v>
      </c>
      <c r="K170" s="27">
        <f t="shared" si="225"/>
        <v>1478.0766666666666</v>
      </c>
      <c r="L170" s="65"/>
      <c r="M170" s="67">
        <f t="shared" si="226"/>
        <v>0</v>
      </c>
      <c r="N170" s="65" t="str">
        <f t="shared" si="193"/>
        <v/>
      </c>
      <c r="O170" s="65" t="str">
        <f t="shared" ref="O170:P170" si="231">N170</f>
        <v/>
      </c>
      <c r="P170" s="65" t="str">
        <f t="shared" si="231"/>
        <v/>
      </c>
      <c r="Q170" s="38"/>
      <c r="R170" s="3" t="str">
        <f t="shared" si="229"/>
        <v>Karur</v>
      </c>
      <c r="S170" s="3" t="str">
        <f t="shared" si="196"/>
        <v>Kadavur</v>
      </c>
      <c r="T170" s="3" t="str">
        <f t="shared" si="197"/>
        <v>Krishnarayapuram</v>
      </c>
      <c r="U170" s="3" t="str">
        <f t="shared" si="198"/>
        <v>Karur_Kadavur_Krishnarayapuram</v>
      </c>
      <c r="V170" s="3">
        <f>IF(_xlfn.XLOOKUP($U170,GCA!$H$3:$H$593,GCA!E$3:E$593,"",0,1)="","",_xlfn.XLOOKUP($U170,GCA!$H$3:$H$593,GCA!E$3:E$593,"",0,1))</f>
        <v>1681.21</v>
      </c>
      <c r="W170" s="3">
        <f>IF(_xlfn.XLOOKUP($U170,GCA!$H$3:$H$593,GCA!F$3:F$593,"",0,1)="","",_xlfn.XLOOKUP($U170,GCA!$H$3:$H$593,GCA!F$3:F$593,"",0,1))</f>
        <v>1370.11</v>
      </c>
      <c r="X170" s="3">
        <f>IF(_xlfn.XLOOKUP($U170,GCA!$H$3:$H$593,GCA!G$3:G$593,"",0,1)="","",_xlfn.XLOOKUP($U170,GCA!$H$3:$H$593,GCA!G$3:G$593,"",0,1))</f>
        <v>1382.91</v>
      </c>
    </row>
    <row r="171" spans="1:24" ht="13.2">
      <c r="A171" s="49"/>
      <c r="B171" s="49"/>
      <c r="C171" s="48"/>
      <c r="D171" s="49"/>
      <c r="E171" s="50"/>
      <c r="F171" s="26" t="s">
        <v>236</v>
      </c>
      <c r="G171" s="26" t="s">
        <v>236</v>
      </c>
      <c r="H171" s="27">
        <f t="shared" si="222"/>
        <v>89.66</v>
      </c>
      <c r="I171" s="27">
        <f t="shared" si="223"/>
        <v>61.04</v>
      </c>
      <c r="J171" s="27">
        <f t="shared" si="224"/>
        <v>82.93</v>
      </c>
      <c r="K171" s="27">
        <f t="shared" si="225"/>
        <v>77.876666666666665</v>
      </c>
      <c r="L171" s="65"/>
      <c r="M171" s="67">
        <f t="shared" si="226"/>
        <v>0</v>
      </c>
      <c r="N171" s="65" t="str">
        <f t="shared" si="193"/>
        <v/>
      </c>
      <c r="O171" s="65" t="str">
        <f t="shared" ref="O171:P171" si="232">N171</f>
        <v/>
      </c>
      <c r="P171" s="65" t="str">
        <f t="shared" si="232"/>
        <v/>
      </c>
      <c r="Q171" s="38"/>
      <c r="R171" s="3" t="str">
        <f t="shared" si="229"/>
        <v>Karur</v>
      </c>
      <c r="S171" s="3" t="str">
        <f t="shared" si="196"/>
        <v>Karur</v>
      </c>
      <c r="T171" s="3" t="str">
        <f t="shared" si="197"/>
        <v>Karur</v>
      </c>
      <c r="U171" s="3" t="str">
        <f t="shared" si="198"/>
        <v>Karur_Karur_Karur</v>
      </c>
      <c r="V171" s="3">
        <f>IF(_xlfn.XLOOKUP($U171,GCA!$H$3:$H$593,GCA!E$3:E$593,"",0,1)="","",_xlfn.XLOOKUP($U171,GCA!$H$3:$H$593,GCA!E$3:E$593,"",0,1))</f>
        <v>89.66</v>
      </c>
      <c r="W171" s="3">
        <f>IF(_xlfn.XLOOKUP($U171,GCA!$H$3:$H$593,GCA!F$3:F$593,"",0,1)="","",_xlfn.XLOOKUP($U171,GCA!$H$3:$H$593,GCA!F$3:F$593,"",0,1))</f>
        <v>61.04</v>
      </c>
      <c r="X171" s="3">
        <f>IF(_xlfn.XLOOKUP($U171,GCA!$H$3:$H$593,GCA!G$3:G$593,"",0,1)="","",_xlfn.XLOOKUP($U171,GCA!$H$3:$H$593,GCA!G$3:G$593,"",0,1))</f>
        <v>82.93</v>
      </c>
    </row>
    <row r="172" spans="1:24" ht="13.2">
      <c r="A172" s="49"/>
      <c r="B172" s="49"/>
      <c r="C172" s="48"/>
      <c r="D172" s="49"/>
      <c r="E172" s="50"/>
      <c r="F172" s="26" t="s">
        <v>236</v>
      </c>
      <c r="G172" s="26" t="s">
        <v>679</v>
      </c>
      <c r="H172" s="27">
        <f t="shared" si="222"/>
        <v>7676.9</v>
      </c>
      <c r="I172" s="27">
        <f t="shared" si="223"/>
        <v>7330.15</v>
      </c>
      <c r="J172" s="27">
        <f t="shared" si="224"/>
        <v>8156.46</v>
      </c>
      <c r="K172" s="27">
        <f t="shared" si="225"/>
        <v>7721.1699999999992</v>
      </c>
      <c r="L172" s="65"/>
      <c r="M172" s="67">
        <f t="shared" si="226"/>
        <v>0</v>
      </c>
      <c r="N172" s="65" t="str">
        <f t="shared" si="193"/>
        <v/>
      </c>
      <c r="O172" s="65" t="str">
        <f t="shared" ref="O172:P172" si="233">N172</f>
        <v/>
      </c>
      <c r="P172" s="65" t="str">
        <f t="shared" si="233"/>
        <v/>
      </c>
      <c r="Q172" s="38"/>
      <c r="R172" s="3" t="str">
        <f t="shared" si="229"/>
        <v>Karur</v>
      </c>
      <c r="S172" s="3" t="str">
        <f t="shared" si="196"/>
        <v>Karur</v>
      </c>
      <c r="T172" s="3" t="str">
        <f t="shared" si="197"/>
        <v>Thanthoni</v>
      </c>
      <c r="U172" s="3" t="str">
        <f t="shared" si="198"/>
        <v>Karur_Karur_Thanthoni</v>
      </c>
      <c r="V172" s="3">
        <f>IF(_xlfn.XLOOKUP($U172,GCA!$H$3:$H$593,GCA!E$3:E$593,"",0,1)="","",_xlfn.XLOOKUP($U172,GCA!$H$3:$H$593,GCA!E$3:E$593,"",0,1))</f>
        <v>7676.9</v>
      </c>
      <c r="W172" s="3">
        <f>IF(_xlfn.XLOOKUP($U172,GCA!$H$3:$H$593,GCA!F$3:F$593,"",0,1)="","",_xlfn.XLOOKUP($U172,GCA!$H$3:$H$593,GCA!F$3:F$593,"",0,1))</f>
        <v>7330.15</v>
      </c>
      <c r="X172" s="3">
        <f>IF(_xlfn.XLOOKUP($U172,GCA!$H$3:$H$593,GCA!G$3:G$593,"",0,1)="","",_xlfn.XLOOKUP($U172,GCA!$H$3:$H$593,GCA!G$3:G$593,"",0,1))</f>
        <v>8156.46</v>
      </c>
    </row>
    <row r="173" spans="1:24" ht="13.2">
      <c r="A173" s="49"/>
      <c r="B173" s="49"/>
      <c r="C173" s="48"/>
      <c r="D173" s="49"/>
      <c r="E173" s="50"/>
      <c r="F173" s="26" t="s">
        <v>678</v>
      </c>
      <c r="G173" s="26" t="s">
        <v>678</v>
      </c>
      <c r="H173" s="27">
        <f t="shared" si="222"/>
        <v>14763.08</v>
      </c>
      <c r="I173" s="27">
        <f t="shared" si="223"/>
        <v>13578.94</v>
      </c>
      <c r="J173" s="27">
        <f t="shared" si="224"/>
        <v>14886.98</v>
      </c>
      <c r="K173" s="27">
        <f t="shared" si="225"/>
        <v>14409.666666666666</v>
      </c>
      <c r="L173" s="65"/>
      <c r="M173" s="67">
        <f t="shared" si="226"/>
        <v>0</v>
      </c>
      <c r="N173" s="65" t="str">
        <f t="shared" si="193"/>
        <v/>
      </c>
      <c r="O173" s="65" t="str">
        <f t="shared" ref="O173:P173" si="234">N173</f>
        <v/>
      </c>
      <c r="P173" s="65" t="str">
        <f t="shared" si="234"/>
        <v/>
      </c>
      <c r="Q173" s="38"/>
      <c r="R173" s="3" t="str">
        <f t="shared" si="229"/>
        <v>Karur</v>
      </c>
      <c r="S173" s="3" t="str">
        <f t="shared" si="196"/>
        <v>Krishnarayapuram</v>
      </c>
      <c r="T173" s="3" t="str">
        <f t="shared" si="197"/>
        <v>Krishnarayapuram</v>
      </c>
      <c r="U173" s="3" t="str">
        <f t="shared" si="198"/>
        <v>Karur_Krishnarayapuram_Krishnarayapuram</v>
      </c>
      <c r="V173" s="3">
        <f>IF(_xlfn.XLOOKUP($U173,GCA!$H$3:$H$593,GCA!E$3:E$593,"",0,1)="","",_xlfn.XLOOKUP($U173,GCA!$H$3:$H$593,GCA!E$3:E$593,"",0,1))</f>
        <v>14763.08</v>
      </c>
      <c r="W173" s="3">
        <f>IF(_xlfn.XLOOKUP($U173,GCA!$H$3:$H$593,GCA!F$3:F$593,"",0,1)="","",_xlfn.XLOOKUP($U173,GCA!$H$3:$H$593,GCA!F$3:F$593,"",0,1))</f>
        <v>13578.94</v>
      </c>
      <c r="X173" s="3">
        <f>IF(_xlfn.XLOOKUP($U173,GCA!$H$3:$H$593,GCA!G$3:G$593,"",0,1)="","",_xlfn.XLOOKUP($U173,GCA!$H$3:$H$593,GCA!G$3:G$593,"",0,1))</f>
        <v>14886.98</v>
      </c>
    </row>
    <row r="174" spans="1:24" ht="13.2">
      <c r="A174" s="49"/>
      <c r="B174" s="49"/>
      <c r="C174" s="48"/>
      <c r="D174" s="49"/>
      <c r="E174" s="50"/>
      <c r="F174" s="26" t="s">
        <v>680</v>
      </c>
      <c r="G174" s="26" t="s">
        <v>680</v>
      </c>
      <c r="H174" s="27">
        <f t="shared" si="222"/>
        <v>10530.04</v>
      </c>
      <c r="I174" s="27">
        <f t="shared" si="223"/>
        <v>6296.5050000000001</v>
      </c>
      <c r="J174" s="27">
        <f t="shared" si="224"/>
        <v>9972.8250000000007</v>
      </c>
      <c r="K174" s="27">
        <f t="shared" si="225"/>
        <v>8933.1233333333348</v>
      </c>
      <c r="L174" s="65"/>
      <c r="M174" s="67">
        <f t="shared" si="226"/>
        <v>0</v>
      </c>
      <c r="N174" s="65" t="str">
        <f t="shared" si="193"/>
        <v/>
      </c>
      <c r="O174" s="65" t="str">
        <f t="shared" ref="O174:P174" si="235">N174</f>
        <v/>
      </c>
      <c r="P174" s="65" t="str">
        <f t="shared" si="235"/>
        <v/>
      </c>
      <c r="Q174" s="38"/>
      <c r="R174" s="3" t="str">
        <f t="shared" si="229"/>
        <v>Karur</v>
      </c>
      <c r="S174" s="3" t="str">
        <f t="shared" si="196"/>
        <v>Kulithalai</v>
      </c>
      <c r="T174" s="3" t="str">
        <f t="shared" si="197"/>
        <v>Kulithalai</v>
      </c>
      <c r="U174" s="3" t="str">
        <f t="shared" si="198"/>
        <v>Karur_Kulithalai_Kulithalai</v>
      </c>
      <c r="V174" s="3">
        <f>IF(_xlfn.XLOOKUP($U174,GCA!$H$3:$H$593,GCA!E$3:E$593,"",0,1)="","",_xlfn.XLOOKUP($U174,GCA!$H$3:$H$593,GCA!E$3:E$593,"",0,1))</f>
        <v>10530.04</v>
      </c>
      <c r="W174" s="3">
        <f>IF(_xlfn.XLOOKUP($U174,GCA!$H$3:$H$593,GCA!F$3:F$593,"",0,1)="","",_xlfn.XLOOKUP($U174,GCA!$H$3:$H$593,GCA!F$3:F$593,"",0,1))</f>
        <v>6296.5050000000001</v>
      </c>
      <c r="X174" s="3">
        <f>IF(_xlfn.XLOOKUP($U174,GCA!$H$3:$H$593,GCA!G$3:G$593,"",0,1)="","",_xlfn.XLOOKUP($U174,GCA!$H$3:$H$593,GCA!G$3:G$593,"",0,1))</f>
        <v>9972.8250000000007</v>
      </c>
    </row>
    <row r="175" spans="1:24" ht="13.2">
      <c r="A175" s="49"/>
      <c r="B175" s="49"/>
      <c r="C175" s="48"/>
      <c r="D175" s="49"/>
      <c r="E175" s="50"/>
      <c r="F175" s="26" t="s">
        <v>680</v>
      </c>
      <c r="G175" s="26" t="s">
        <v>681</v>
      </c>
      <c r="H175" s="27">
        <f t="shared" si="222"/>
        <v>8441.2649999999994</v>
      </c>
      <c r="I175" s="27">
        <f t="shared" si="223"/>
        <v>6996.79</v>
      </c>
      <c r="J175" s="27">
        <f t="shared" si="224"/>
        <v>7839.4250000000002</v>
      </c>
      <c r="K175" s="27">
        <f t="shared" si="225"/>
        <v>7759.16</v>
      </c>
      <c r="L175" s="65"/>
      <c r="M175" s="67">
        <f t="shared" si="226"/>
        <v>0</v>
      </c>
      <c r="N175" s="65" t="str">
        <f t="shared" si="193"/>
        <v/>
      </c>
      <c r="O175" s="65" t="str">
        <f t="shared" ref="O175:P175" si="236">N175</f>
        <v/>
      </c>
      <c r="P175" s="65" t="str">
        <f t="shared" si="236"/>
        <v/>
      </c>
      <c r="Q175" s="38"/>
      <c r="R175" s="3" t="str">
        <f t="shared" si="229"/>
        <v>Karur</v>
      </c>
      <c r="S175" s="3" t="str">
        <f t="shared" si="196"/>
        <v>Kulithalai</v>
      </c>
      <c r="T175" s="3" t="str">
        <f t="shared" si="197"/>
        <v>Thogaimalai</v>
      </c>
      <c r="U175" s="3" t="str">
        <f t="shared" si="198"/>
        <v>Karur_Kulithalai_Thogaimalai</v>
      </c>
      <c r="V175" s="3">
        <f>IF(_xlfn.XLOOKUP($U175,GCA!$H$3:$H$593,GCA!E$3:E$593,"",0,1)="","",_xlfn.XLOOKUP($U175,GCA!$H$3:$H$593,GCA!E$3:E$593,"",0,1))</f>
        <v>8441.2649999999994</v>
      </c>
      <c r="W175" s="3">
        <f>IF(_xlfn.XLOOKUP($U175,GCA!$H$3:$H$593,GCA!F$3:F$593,"",0,1)="","",_xlfn.XLOOKUP($U175,GCA!$H$3:$H$593,GCA!F$3:F$593,"",0,1))</f>
        <v>6996.79</v>
      </c>
      <c r="X175" s="3">
        <f>IF(_xlfn.XLOOKUP($U175,GCA!$H$3:$H$593,GCA!G$3:G$593,"",0,1)="","",_xlfn.XLOOKUP($U175,GCA!$H$3:$H$593,GCA!G$3:G$593,"",0,1))</f>
        <v>7839.4250000000002</v>
      </c>
    </row>
    <row r="176" spans="1:24" ht="13.2">
      <c r="A176" s="49"/>
      <c r="B176" s="49"/>
      <c r="C176" s="48"/>
      <c r="D176" s="49"/>
      <c r="E176" s="50"/>
      <c r="F176" s="26" t="s">
        <v>682</v>
      </c>
      <c r="G176" s="26" t="s">
        <v>236</v>
      </c>
      <c r="H176" s="27">
        <f t="shared" si="222"/>
        <v>4446.41</v>
      </c>
      <c r="I176" s="27">
        <f t="shared" si="223"/>
        <v>4510.2150000000001</v>
      </c>
      <c r="J176" s="27">
        <f t="shared" si="224"/>
        <v>4487.1099999999997</v>
      </c>
      <c r="K176" s="27">
        <f t="shared" si="225"/>
        <v>4481.2449999999999</v>
      </c>
      <c r="L176" s="65"/>
      <c r="M176" s="67">
        <f t="shared" si="226"/>
        <v>0</v>
      </c>
      <c r="N176" s="65" t="str">
        <f t="shared" si="193"/>
        <v/>
      </c>
      <c r="O176" s="65" t="str">
        <f t="shared" ref="O176:P176" si="237">N176</f>
        <v/>
      </c>
      <c r="P176" s="65" t="str">
        <f t="shared" si="237"/>
        <v/>
      </c>
      <c r="Q176" s="38"/>
      <c r="R176" s="3" t="str">
        <f t="shared" si="229"/>
        <v>Karur</v>
      </c>
      <c r="S176" s="3" t="str">
        <f t="shared" si="196"/>
        <v>Manmangalam</v>
      </c>
      <c r="T176" s="3" t="str">
        <f t="shared" si="197"/>
        <v>Karur</v>
      </c>
      <c r="U176" s="3" t="str">
        <f t="shared" si="198"/>
        <v>Karur_Manmangalam_Karur</v>
      </c>
      <c r="V176" s="3">
        <f>IF(_xlfn.XLOOKUP($U176,GCA!$H$3:$H$593,GCA!E$3:E$593,"",0,1)="","",_xlfn.XLOOKUP($U176,GCA!$H$3:$H$593,GCA!E$3:E$593,"",0,1))</f>
        <v>4446.41</v>
      </c>
      <c r="W176" s="3">
        <f>IF(_xlfn.XLOOKUP($U176,GCA!$H$3:$H$593,GCA!F$3:F$593,"",0,1)="","",_xlfn.XLOOKUP($U176,GCA!$H$3:$H$593,GCA!F$3:F$593,"",0,1))</f>
        <v>4510.2150000000001</v>
      </c>
      <c r="X176" s="3">
        <f>IF(_xlfn.XLOOKUP($U176,GCA!$H$3:$H$593,GCA!G$3:G$593,"",0,1)="","",_xlfn.XLOOKUP($U176,GCA!$H$3:$H$593,GCA!G$3:G$593,"",0,1))</f>
        <v>4487.1099999999997</v>
      </c>
    </row>
    <row r="177" spans="1:24" ht="13.2">
      <c r="A177" s="49"/>
      <c r="B177" s="49"/>
      <c r="C177" s="48"/>
      <c r="D177" s="49"/>
      <c r="E177" s="50"/>
      <c r="F177" s="26" t="s">
        <v>682</v>
      </c>
      <c r="G177" s="26" t="s">
        <v>679</v>
      </c>
      <c r="H177" s="27">
        <f t="shared" si="222"/>
        <v>1134.17</v>
      </c>
      <c r="I177" s="27">
        <f t="shared" si="223"/>
        <v>1039.1300000000001</v>
      </c>
      <c r="J177" s="27">
        <f t="shared" si="224"/>
        <v>1336.4549999999999</v>
      </c>
      <c r="K177" s="27">
        <f t="shared" si="225"/>
        <v>1169.9183333333333</v>
      </c>
      <c r="L177" s="65"/>
      <c r="M177" s="67">
        <f t="shared" si="226"/>
        <v>0</v>
      </c>
      <c r="N177" s="65" t="str">
        <f t="shared" si="193"/>
        <v/>
      </c>
      <c r="O177" s="65" t="str">
        <f t="shared" ref="O177:P177" si="238">N177</f>
        <v/>
      </c>
      <c r="P177" s="65" t="str">
        <f t="shared" si="238"/>
        <v/>
      </c>
      <c r="Q177" s="38"/>
      <c r="R177" s="3" t="str">
        <f t="shared" si="229"/>
        <v>Karur</v>
      </c>
      <c r="S177" s="3" t="str">
        <f t="shared" si="196"/>
        <v>Manmangalam</v>
      </c>
      <c r="T177" s="3" t="str">
        <f t="shared" si="197"/>
        <v>Thanthoni</v>
      </c>
      <c r="U177" s="3" t="str">
        <f t="shared" si="198"/>
        <v>Karur_Manmangalam_Thanthoni</v>
      </c>
      <c r="V177" s="3">
        <f>IF(_xlfn.XLOOKUP($U177,GCA!$H$3:$H$593,GCA!E$3:E$593,"",0,1)="","",_xlfn.XLOOKUP($U177,GCA!$H$3:$H$593,GCA!E$3:E$593,"",0,1))</f>
        <v>1134.17</v>
      </c>
      <c r="W177" s="3">
        <f>IF(_xlfn.XLOOKUP($U177,GCA!$H$3:$H$593,GCA!F$3:F$593,"",0,1)="","",_xlfn.XLOOKUP($U177,GCA!$H$3:$H$593,GCA!F$3:F$593,"",0,1))</f>
        <v>1039.1300000000001</v>
      </c>
      <c r="X177" s="3">
        <f>IF(_xlfn.XLOOKUP($U177,GCA!$H$3:$H$593,GCA!G$3:G$593,"",0,1)="","",_xlfn.XLOOKUP($U177,GCA!$H$3:$H$593,GCA!G$3:G$593,"",0,1))</f>
        <v>1336.4549999999999</v>
      </c>
    </row>
    <row r="178" spans="1:24" ht="13.2">
      <c r="A178" s="49"/>
      <c r="B178" s="49"/>
      <c r="C178" s="48"/>
      <c r="D178" s="49"/>
      <c r="E178" s="50"/>
      <c r="F178" s="26" t="s">
        <v>683</v>
      </c>
      <c r="G178" s="26" t="s">
        <v>676</v>
      </c>
      <c r="H178" s="27">
        <f t="shared" si="222"/>
        <v>5703.16</v>
      </c>
      <c r="I178" s="27">
        <f t="shared" si="223"/>
        <v>5649.45</v>
      </c>
      <c r="J178" s="27">
        <f t="shared" si="224"/>
        <v>5202.1750000000002</v>
      </c>
      <c r="K178" s="27">
        <f t="shared" si="225"/>
        <v>5518.2616666666663</v>
      </c>
      <c r="L178" s="65"/>
      <c r="M178" s="67">
        <f t="shared" si="226"/>
        <v>0</v>
      </c>
      <c r="N178" s="65" t="str">
        <f t="shared" si="193"/>
        <v/>
      </c>
      <c r="O178" s="65" t="str">
        <f t="shared" ref="O178:P178" si="239">N178</f>
        <v/>
      </c>
      <c r="P178" s="65" t="str">
        <f t="shared" si="239"/>
        <v/>
      </c>
      <c r="Q178" s="38"/>
      <c r="R178" s="3" t="str">
        <f t="shared" si="229"/>
        <v>Karur</v>
      </c>
      <c r="S178" s="3" t="str">
        <f t="shared" si="196"/>
        <v>Pugalur</v>
      </c>
      <c r="T178" s="3" t="str">
        <f t="shared" si="197"/>
        <v>K.Paramathy</v>
      </c>
      <c r="U178" s="3" t="str">
        <f t="shared" si="198"/>
        <v>Karur_Pugalur_K.Paramathy</v>
      </c>
      <c r="V178" s="3">
        <f>IF(_xlfn.XLOOKUP($U178,GCA!$H$3:$H$593,GCA!E$3:E$593,"",0,1)="","",_xlfn.XLOOKUP($U178,GCA!$H$3:$H$593,GCA!E$3:E$593,"",0,1))</f>
        <v>5703.16</v>
      </c>
      <c r="W178" s="3">
        <f>IF(_xlfn.XLOOKUP($U178,GCA!$H$3:$H$593,GCA!F$3:F$593,"",0,1)="","",_xlfn.XLOOKUP($U178,GCA!$H$3:$H$593,GCA!F$3:F$593,"",0,1))</f>
        <v>5649.45</v>
      </c>
      <c r="X178" s="3">
        <f>IF(_xlfn.XLOOKUP($U178,GCA!$H$3:$H$593,GCA!G$3:G$593,"",0,1)="","",_xlfn.XLOOKUP($U178,GCA!$H$3:$H$593,GCA!G$3:G$593,"",0,1))</f>
        <v>5202.1750000000002</v>
      </c>
    </row>
    <row r="179" spans="1:24" ht="13.2">
      <c r="A179" s="49"/>
      <c r="B179" s="49"/>
      <c r="C179" s="48"/>
      <c r="D179" s="49"/>
      <c r="E179" s="50"/>
      <c r="F179" s="26" t="s">
        <v>683</v>
      </c>
      <c r="G179" s="26" t="s">
        <v>236</v>
      </c>
      <c r="H179" s="27">
        <f t="shared" si="222"/>
        <v>3542.41</v>
      </c>
      <c r="I179" s="27">
        <f t="shared" si="223"/>
        <v>3561.69</v>
      </c>
      <c r="J179" s="27">
        <f t="shared" si="224"/>
        <v>3499.1149999999998</v>
      </c>
      <c r="K179" s="27">
        <f t="shared" si="225"/>
        <v>3534.4050000000002</v>
      </c>
      <c r="L179" s="65"/>
      <c r="M179" s="67">
        <f t="shared" si="226"/>
        <v>0</v>
      </c>
      <c r="N179" s="65" t="str">
        <f t="shared" si="193"/>
        <v/>
      </c>
      <c r="O179" s="65" t="str">
        <f t="shared" ref="O179:P179" si="240">N179</f>
        <v/>
      </c>
      <c r="P179" s="65" t="str">
        <f t="shared" si="240"/>
        <v/>
      </c>
      <c r="Q179" s="38"/>
      <c r="R179" s="3" t="str">
        <f t="shared" si="229"/>
        <v>Karur</v>
      </c>
      <c r="S179" s="3" t="str">
        <f t="shared" si="196"/>
        <v>Pugalur</v>
      </c>
      <c r="T179" s="3" t="str">
        <f t="shared" si="197"/>
        <v>Karur</v>
      </c>
      <c r="U179" s="3" t="str">
        <f t="shared" si="198"/>
        <v>Karur_Pugalur_Karur</v>
      </c>
      <c r="V179" s="3">
        <f>IF(_xlfn.XLOOKUP($U179,GCA!$H$3:$H$593,GCA!E$3:E$593,"",0,1)="","",_xlfn.XLOOKUP($U179,GCA!$H$3:$H$593,GCA!E$3:E$593,"",0,1))</f>
        <v>3542.41</v>
      </c>
      <c r="W179" s="3">
        <f>IF(_xlfn.XLOOKUP($U179,GCA!$H$3:$H$593,GCA!F$3:F$593,"",0,1)="","",_xlfn.XLOOKUP($U179,GCA!$H$3:$H$593,GCA!F$3:F$593,"",0,1))</f>
        <v>3561.69</v>
      </c>
      <c r="X179" s="3">
        <f>IF(_xlfn.XLOOKUP($U179,GCA!$H$3:$H$593,GCA!G$3:G$593,"",0,1)="","",_xlfn.XLOOKUP($U179,GCA!$H$3:$H$593,GCA!G$3:G$593,"",0,1))</f>
        <v>3499.1149999999998</v>
      </c>
    </row>
    <row r="180" spans="1:24" ht="13.2">
      <c r="A180" s="49"/>
      <c r="B180" s="49"/>
      <c r="C180" s="48"/>
      <c r="D180" s="49"/>
      <c r="E180" s="47" t="s">
        <v>564</v>
      </c>
      <c r="F180" s="47"/>
      <c r="G180" s="47"/>
      <c r="H180" s="29">
        <f t="shared" ref="H180:P180" si="241">SUM(H167:H179)</f>
        <v>87019.505000000005</v>
      </c>
      <c r="I180" s="29">
        <f t="shared" si="241"/>
        <v>78436.070000000007</v>
      </c>
      <c r="J180" s="29">
        <f t="shared" si="241"/>
        <v>83735.36500000002</v>
      </c>
      <c r="K180" s="29">
        <f t="shared" si="241"/>
        <v>83063.646666666667</v>
      </c>
      <c r="L180" s="29">
        <f t="shared" si="241"/>
        <v>83063.646666666667</v>
      </c>
      <c r="M180" s="30">
        <f t="shared" si="241"/>
        <v>3.4865164540774738</v>
      </c>
      <c r="N180" s="31">
        <f t="shared" si="241"/>
        <v>3</v>
      </c>
      <c r="O180" s="31">
        <f t="shared" si="241"/>
        <v>3</v>
      </c>
      <c r="P180" s="31">
        <f t="shared" si="241"/>
        <v>3</v>
      </c>
      <c r="Q180" s="38"/>
      <c r="R180" s="3" t="str">
        <f t="shared" si="229"/>
        <v>Karur</v>
      </c>
      <c r="S180" s="3">
        <f t="shared" si="196"/>
        <v>0</v>
      </c>
      <c r="T180" s="3">
        <f t="shared" si="197"/>
        <v>0</v>
      </c>
      <c r="U180" s="3" t="str">
        <f t="shared" si="198"/>
        <v>Karur_0_0</v>
      </c>
      <c r="V180" s="3" t="str">
        <f>IF(_xlfn.XLOOKUP($U180,GCA!$H$3:$H$593,GCA!E$3:E$593,"",0,1)="","",_xlfn.XLOOKUP($U180,GCA!$H$3:$H$593,GCA!E$3:E$593,"",0,1))</f>
        <v/>
      </c>
      <c r="W180" s="3" t="str">
        <f>IF(_xlfn.XLOOKUP($U180,GCA!$H$3:$H$593,GCA!F$3:F$593,"",0,1)="","",_xlfn.XLOOKUP($U180,GCA!$H$3:$H$593,GCA!F$3:F$593,"",0,1))</f>
        <v/>
      </c>
      <c r="X180" s="3" t="str">
        <f>IF(_xlfn.XLOOKUP($U180,GCA!$H$3:$H$593,GCA!G$3:G$593,"",0,1)="","",_xlfn.XLOOKUP($U180,GCA!$H$3:$H$593,GCA!G$3:G$593,"",0,1))</f>
        <v/>
      </c>
    </row>
    <row r="181" spans="1:24" ht="13.2">
      <c r="A181" s="49"/>
      <c r="B181" s="49"/>
      <c r="C181" s="48" t="s">
        <v>356</v>
      </c>
      <c r="D181" s="49" t="s">
        <v>531</v>
      </c>
      <c r="E181" s="50">
        <v>1</v>
      </c>
      <c r="F181" s="26" t="s">
        <v>684</v>
      </c>
      <c r="G181" s="26" t="s">
        <v>684</v>
      </c>
      <c r="H181" s="27">
        <f t="shared" ref="H181:H198" si="242">V181</f>
        <v>18100.665000000001</v>
      </c>
      <c r="I181" s="27">
        <f t="shared" ref="I181:I198" si="243">W181</f>
        <v>14915.58</v>
      </c>
      <c r="J181" s="27">
        <f t="shared" ref="J181:J198" si="244">X181</f>
        <v>18892.38</v>
      </c>
      <c r="K181" s="27">
        <f t="shared" ref="K181:K198" si="245">IFERROR(AVERAGE(H181:J181),"")</f>
        <v>17302.875</v>
      </c>
      <c r="L181" s="65">
        <f>SUM(K181:K184)</f>
        <v>51257.804333333333</v>
      </c>
      <c r="M181" s="67">
        <f t="shared" ref="M181:M198" si="246">L181*$L$643/$L$642</f>
        <v>2.1514968988204424</v>
      </c>
      <c r="N181" s="65">
        <f t="shared" si="193"/>
        <v>2</v>
      </c>
      <c r="O181" s="65">
        <f t="shared" ref="O181:P181" si="247">N181</f>
        <v>2</v>
      </c>
      <c r="P181" s="65">
        <f t="shared" si="247"/>
        <v>2</v>
      </c>
      <c r="Q181" s="38"/>
      <c r="R181" s="3" t="str">
        <f t="shared" si="195"/>
        <v>Tiruchirapalli</v>
      </c>
      <c r="S181" s="3" t="str">
        <f t="shared" si="196"/>
        <v>Lalgudi</v>
      </c>
      <c r="T181" s="3" t="str">
        <f t="shared" si="197"/>
        <v>Lalgudi</v>
      </c>
      <c r="U181" s="3" t="str">
        <f t="shared" si="198"/>
        <v>Tiruchirapalli_Lalgudi_Lalgudi</v>
      </c>
      <c r="V181" s="3">
        <f>IF(_xlfn.XLOOKUP($U181,GCA!$H$3:$H$593,GCA!E$3:E$593,"",0,1)="","",_xlfn.XLOOKUP($U181,GCA!$H$3:$H$593,GCA!E$3:E$593,"",0,1))</f>
        <v>18100.665000000001</v>
      </c>
      <c r="W181" s="3">
        <f>IF(_xlfn.XLOOKUP($U181,GCA!$H$3:$H$593,GCA!F$3:F$593,"",0,1)="","",_xlfn.XLOOKUP($U181,GCA!$H$3:$H$593,GCA!F$3:F$593,"",0,1))</f>
        <v>14915.58</v>
      </c>
      <c r="X181" s="3">
        <f>IF(_xlfn.XLOOKUP($U181,GCA!$H$3:$H$593,GCA!G$3:G$593,"",0,1)="","",_xlfn.XLOOKUP($U181,GCA!$H$3:$H$593,GCA!G$3:G$593,"",0,1))</f>
        <v>18892.38</v>
      </c>
    </row>
    <row r="182" spans="1:24" ht="13.2">
      <c r="A182" s="49"/>
      <c r="B182" s="49"/>
      <c r="C182" s="48"/>
      <c r="D182" s="49"/>
      <c r="E182" s="50"/>
      <c r="F182" s="26" t="s">
        <v>684</v>
      </c>
      <c r="G182" s="26" t="s">
        <v>685</v>
      </c>
      <c r="H182" s="27">
        <f t="shared" si="242"/>
        <v>21594.401000000002</v>
      </c>
      <c r="I182" s="27">
        <f t="shared" si="243"/>
        <v>18609.349999999999</v>
      </c>
      <c r="J182" s="27">
        <f t="shared" si="244"/>
        <v>21577.822</v>
      </c>
      <c r="K182" s="27">
        <f t="shared" si="245"/>
        <v>20593.857666666667</v>
      </c>
      <c r="L182" s="65"/>
      <c r="M182" s="67">
        <f t="shared" si="246"/>
        <v>0</v>
      </c>
      <c r="N182" s="65" t="str">
        <f t="shared" si="193"/>
        <v/>
      </c>
      <c r="O182" s="65" t="str">
        <f t="shared" ref="O182:P182" si="248">N182</f>
        <v/>
      </c>
      <c r="P182" s="65" t="str">
        <f t="shared" si="248"/>
        <v/>
      </c>
      <c r="Q182" s="38"/>
      <c r="R182" s="3" t="str">
        <f t="shared" ref="R182:R199" si="249">R181</f>
        <v>Tiruchirapalli</v>
      </c>
      <c r="S182" s="3" t="str">
        <f t="shared" si="196"/>
        <v>Lalgudi</v>
      </c>
      <c r="T182" s="3" t="str">
        <f t="shared" si="197"/>
        <v>Pullambadi</v>
      </c>
      <c r="U182" s="3" t="str">
        <f t="shared" si="198"/>
        <v>Tiruchirapalli_Lalgudi_Pullambadi</v>
      </c>
      <c r="V182" s="3">
        <f>IF(_xlfn.XLOOKUP($U182,GCA!$H$3:$H$593,GCA!E$3:E$593,"",0,1)="","",_xlfn.XLOOKUP($U182,GCA!$H$3:$H$593,GCA!E$3:E$593,"",0,1))</f>
        <v>21594.401000000002</v>
      </c>
      <c r="W182" s="3">
        <f>IF(_xlfn.XLOOKUP($U182,GCA!$H$3:$H$593,GCA!F$3:F$593,"",0,1)="","",_xlfn.XLOOKUP($U182,GCA!$H$3:$H$593,GCA!F$3:F$593,"",0,1))</f>
        <v>18609.349999999999</v>
      </c>
      <c r="X182" s="3">
        <f>IF(_xlfn.XLOOKUP($U182,GCA!$H$3:$H$593,GCA!G$3:G$593,"",0,1)="","",_xlfn.XLOOKUP($U182,GCA!$H$3:$H$593,GCA!G$3:G$593,"",0,1))</f>
        <v>21577.822</v>
      </c>
    </row>
    <row r="183" spans="1:24" ht="13.2">
      <c r="A183" s="49"/>
      <c r="B183" s="49"/>
      <c r="C183" s="48"/>
      <c r="D183" s="49"/>
      <c r="E183" s="50"/>
      <c r="F183" s="26" t="s">
        <v>686</v>
      </c>
      <c r="G183" s="26" t="s">
        <v>686</v>
      </c>
      <c r="H183" s="27">
        <f t="shared" si="242"/>
        <v>5595.5749999999998</v>
      </c>
      <c r="I183" s="27">
        <f t="shared" si="243"/>
        <v>5267.6850000000004</v>
      </c>
      <c r="J183" s="27">
        <f t="shared" si="244"/>
        <v>5849.69</v>
      </c>
      <c r="K183" s="27">
        <f t="shared" si="245"/>
        <v>5570.9833333333336</v>
      </c>
      <c r="L183" s="65"/>
      <c r="M183" s="67">
        <f t="shared" si="246"/>
        <v>0</v>
      </c>
      <c r="N183" s="65" t="str">
        <f t="shared" si="193"/>
        <v/>
      </c>
      <c r="O183" s="65" t="str">
        <f t="shared" ref="O183:P183" si="250">N183</f>
        <v/>
      </c>
      <c r="P183" s="65" t="str">
        <f t="shared" si="250"/>
        <v/>
      </c>
      <c r="Q183" s="38"/>
      <c r="R183" s="3" t="str">
        <f t="shared" si="249"/>
        <v>Tiruchirapalli</v>
      </c>
      <c r="S183" s="3" t="str">
        <f t="shared" si="196"/>
        <v>Manapparai</v>
      </c>
      <c r="T183" s="3" t="str">
        <f t="shared" si="197"/>
        <v>Manapparai</v>
      </c>
      <c r="U183" s="3" t="str">
        <f t="shared" si="198"/>
        <v>Tiruchirapalli_Manapparai_Manapparai</v>
      </c>
      <c r="V183" s="3">
        <f>IF(_xlfn.XLOOKUP($U183,GCA!$H$3:$H$593,GCA!E$3:E$593,"",0,1)="","",_xlfn.XLOOKUP($U183,GCA!$H$3:$H$593,GCA!E$3:E$593,"",0,1))</f>
        <v>5595.5749999999998</v>
      </c>
      <c r="W183" s="3">
        <f>IF(_xlfn.XLOOKUP($U183,GCA!$H$3:$H$593,GCA!F$3:F$593,"",0,1)="","",_xlfn.XLOOKUP($U183,GCA!$H$3:$H$593,GCA!F$3:F$593,"",0,1))</f>
        <v>5267.6850000000004</v>
      </c>
      <c r="X183" s="3">
        <f>IF(_xlfn.XLOOKUP($U183,GCA!$H$3:$H$593,GCA!G$3:G$593,"",0,1)="","",_xlfn.XLOOKUP($U183,GCA!$H$3:$H$593,GCA!G$3:G$593,"",0,1))</f>
        <v>5849.69</v>
      </c>
    </row>
    <row r="184" spans="1:24" ht="13.2">
      <c r="A184" s="49"/>
      <c r="B184" s="49"/>
      <c r="C184" s="48"/>
      <c r="D184" s="49"/>
      <c r="E184" s="50"/>
      <c r="F184" s="26" t="s">
        <v>686</v>
      </c>
      <c r="G184" s="26" t="s">
        <v>687</v>
      </c>
      <c r="H184" s="27">
        <f t="shared" si="242"/>
        <v>7227.9250000000002</v>
      </c>
      <c r="I184" s="27">
        <f t="shared" si="243"/>
        <v>7690.3450000000003</v>
      </c>
      <c r="J184" s="27">
        <f t="shared" si="244"/>
        <v>8451.9950000000008</v>
      </c>
      <c r="K184" s="27">
        <f t="shared" si="245"/>
        <v>7790.0883333333331</v>
      </c>
      <c r="L184" s="65"/>
      <c r="M184" s="67">
        <f t="shared" si="246"/>
        <v>0</v>
      </c>
      <c r="N184" s="65" t="str">
        <f t="shared" si="193"/>
        <v/>
      </c>
      <c r="O184" s="65" t="str">
        <f t="shared" ref="O184:P184" si="251">N184</f>
        <v/>
      </c>
      <c r="P184" s="65" t="str">
        <f t="shared" si="251"/>
        <v/>
      </c>
      <c r="Q184" s="38"/>
      <c r="R184" s="3" t="str">
        <f t="shared" si="249"/>
        <v>Tiruchirapalli</v>
      </c>
      <c r="S184" s="3" t="str">
        <f t="shared" si="196"/>
        <v>Manapparai</v>
      </c>
      <c r="T184" s="3" t="str">
        <f t="shared" si="197"/>
        <v>Vaiyampatti</v>
      </c>
      <c r="U184" s="3" t="str">
        <f t="shared" si="198"/>
        <v>Tiruchirapalli_Manapparai_Vaiyampatti</v>
      </c>
      <c r="V184" s="3">
        <f>IF(_xlfn.XLOOKUP($U184,GCA!$H$3:$H$593,GCA!E$3:E$593,"",0,1)="","",_xlfn.XLOOKUP($U184,GCA!$H$3:$H$593,GCA!E$3:E$593,"",0,1))</f>
        <v>7227.9250000000002</v>
      </c>
      <c r="W184" s="3">
        <f>IF(_xlfn.XLOOKUP($U184,GCA!$H$3:$H$593,GCA!F$3:F$593,"",0,1)="","",_xlfn.XLOOKUP($U184,GCA!$H$3:$H$593,GCA!F$3:F$593,"",0,1))</f>
        <v>7690.3450000000003</v>
      </c>
      <c r="X184" s="3">
        <f>IF(_xlfn.XLOOKUP($U184,GCA!$H$3:$H$593,GCA!G$3:G$593,"",0,1)="","",_xlfn.XLOOKUP($U184,GCA!$H$3:$H$593,GCA!G$3:G$593,"",0,1))</f>
        <v>8451.9950000000008</v>
      </c>
    </row>
    <row r="185" spans="1:24" ht="13.2">
      <c r="A185" s="49"/>
      <c r="B185" s="49"/>
      <c r="C185" s="48"/>
      <c r="D185" s="49"/>
      <c r="E185" s="50">
        <v>2</v>
      </c>
      <c r="F185" s="26" t="s">
        <v>688</v>
      </c>
      <c r="G185" s="26" t="s">
        <v>688</v>
      </c>
      <c r="H185" s="27">
        <f t="shared" si="242"/>
        <v>14319.605</v>
      </c>
      <c r="I185" s="27">
        <f t="shared" si="243"/>
        <v>12911.965</v>
      </c>
      <c r="J185" s="27">
        <f t="shared" si="244"/>
        <v>14595.594999999999</v>
      </c>
      <c r="K185" s="27">
        <f t="shared" si="245"/>
        <v>13942.388333333334</v>
      </c>
      <c r="L185" s="65">
        <f>SUM(K185:K191)</f>
        <v>67751.44266666667</v>
      </c>
      <c r="M185" s="67">
        <f t="shared" si="246"/>
        <v>2.8438014597740184</v>
      </c>
      <c r="N185" s="65">
        <f t="shared" si="193"/>
        <v>3</v>
      </c>
      <c r="O185" s="65">
        <f t="shared" ref="O185:P185" si="252">N185</f>
        <v>3</v>
      </c>
      <c r="P185" s="65">
        <f t="shared" si="252"/>
        <v>3</v>
      </c>
      <c r="Q185" s="38"/>
      <c r="R185" s="3" t="str">
        <f t="shared" si="249"/>
        <v>Tiruchirapalli</v>
      </c>
      <c r="S185" s="3" t="str">
        <f t="shared" si="196"/>
        <v>Mannachanallur</v>
      </c>
      <c r="T185" s="3" t="str">
        <f t="shared" si="197"/>
        <v>Mannachanallur</v>
      </c>
      <c r="U185" s="3" t="str">
        <f t="shared" si="198"/>
        <v>Tiruchirapalli_Mannachanallur_Mannachanallur</v>
      </c>
      <c r="V185" s="3">
        <f>IF(_xlfn.XLOOKUP($U185,GCA!$H$3:$H$593,GCA!E$3:E$593,"",0,1)="","",_xlfn.XLOOKUP($U185,GCA!$H$3:$H$593,GCA!E$3:E$593,"",0,1))</f>
        <v>14319.605</v>
      </c>
      <c r="W185" s="3">
        <f>IF(_xlfn.XLOOKUP($U185,GCA!$H$3:$H$593,GCA!F$3:F$593,"",0,1)="","",_xlfn.XLOOKUP($U185,GCA!$H$3:$H$593,GCA!F$3:F$593,"",0,1))</f>
        <v>12911.965</v>
      </c>
      <c r="X185" s="3">
        <f>IF(_xlfn.XLOOKUP($U185,GCA!$H$3:$H$593,GCA!G$3:G$593,"",0,1)="","",_xlfn.XLOOKUP($U185,GCA!$H$3:$H$593,GCA!G$3:G$593,"",0,1))</f>
        <v>14595.594999999999</v>
      </c>
    </row>
    <row r="186" spans="1:24" ht="13.2">
      <c r="A186" s="49"/>
      <c r="B186" s="49"/>
      <c r="C186" s="48"/>
      <c r="D186" s="49"/>
      <c r="E186" s="50"/>
      <c r="F186" s="26" t="s">
        <v>689</v>
      </c>
      <c r="G186" s="26" t="s">
        <v>689</v>
      </c>
      <c r="H186" s="27">
        <f t="shared" si="242"/>
        <v>9063.6049999999996</v>
      </c>
      <c r="I186" s="27">
        <f t="shared" si="243"/>
        <v>8122.77</v>
      </c>
      <c r="J186" s="27">
        <f t="shared" si="244"/>
        <v>9297.1049999999996</v>
      </c>
      <c r="K186" s="27">
        <f t="shared" si="245"/>
        <v>8827.8266666666659</v>
      </c>
      <c r="L186" s="65"/>
      <c r="M186" s="67">
        <f t="shared" si="246"/>
        <v>0</v>
      </c>
      <c r="N186" s="65" t="str">
        <f t="shared" si="193"/>
        <v/>
      </c>
      <c r="O186" s="65" t="str">
        <f t="shared" ref="O186:P186" si="253">N186</f>
        <v/>
      </c>
      <c r="P186" s="65" t="str">
        <f t="shared" si="253"/>
        <v/>
      </c>
      <c r="Q186" s="38"/>
      <c r="R186" s="3" t="str">
        <f t="shared" si="249"/>
        <v>Tiruchirapalli</v>
      </c>
      <c r="S186" s="3" t="str">
        <f t="shared" si="196"/>
        <v>Marungapuri</v>
      </c>
      <c r="T186" s="3" t="str">
        <f t="shared" si="197"/>
        <v>Marungapuri</v>
      </c>
      <c r="U186" s="3" t="str">
        <f t="shared" si="198"/>
        <v>Tiruchirapalli_Marungapuri_Marungapuri</v>
      </c>
      <c r="V186" s="3">
        <f>IF(_xlfn.XLOOKUP($U186,GCA!$H$3:$H$593,GCA!E$3:E$593,"",0,1)="","",_xlfn.XLOOKUP($U186,GCA!$H$3:$H$593,GCA!E$3:E$593,"",0,1))</f>
        <v>9063.6049999999996</v>
      </c>
      <c r="W186" s="3">
        <f>IF(_xlfn.XLOOKUP($U186,GCA!$H$3:$H$593,GCA!F$3:F$593,"",0,1)="","",_xlfn.XLOOKUP($U186,GCA!$H$3:$H$593,GCA!F$3:F$593,"",0,1))</f>
        <v>8122.77</v>
      </c>
      <c r="X186" s="3">
        <f>IF(_xlfn.XLOOKUP($U186,GCA!$H$3:$H$593,GCA!G$3:G$593,"",0,1)="","",_xlfn.XLOOKUP($U186,GCA!$H$3:$H$593,GCA!G$3:G$593,"",0,1))</f>
        <v>9297.1049999999996</v>
      </c>
    </row>
    <row r="187" spans="1:24" ht="13.2">
      <c r="A187" s="49"/>
      <c r="B187" s="49"/>
      <c r="C187" s="48"/>
      <c r="D187" s="49"/>
      <c r="E187" s="50"/>
      <c r="F187" s="26" t="s">
        <v>690</v>
      </c>
      <c r="G187" s="26" t="s">
        <v>690</v>
      </c>
      <c r="H187" s="27">
        <f t="shared" si="242"/>
        <v>12070.68</v>
      </c>
      <c r="I187" s="27">
        <f t="shared" si="243"/>
        <v>11263.62</v>
      </c>
      <c r="J187" s="27">
        <f t="shared" si="244"/>
        <v>14058.55</v>
      </c>
      <c r="K187" s="27">
        <f t="shared" si="245"/>
        <v>12464.283333333335</v>
      </c>
      <c r="L187" s="65"/>
      <c r="M187" s="67">
        <f t="shared" si="246"/>
        <v>0</v>
      </c>
      <c r="N187" s="65" t="str">
        <f t="shared" si="193"/>
        <v/>
      </c>
      <c r="O187" s="65" t="str">
        <f t="shared" ref="O187:P187" si="254">N187</f>
        <v/>
      </c>
      <c r="P187" s="65" t="str">
        <f t="shared" si="254"/>
        <v/>
      </c>
      <c r="Q187" s="38"/>
      <c r="R187" s="3" t="str">
        <f t="shared" si="249"/>
        <v>Tiruchirapalli</v>
      </c>
      <c r="S187" s="3" t="str">
        <f t="shared" si="196"/>
        <v>Musiri</v>
      </c>
      <c r="T187" s="3" t="str">
        <f t="shared" si="197"/>
        <v>Musiri</v>
      </c>
      <c r="U187" s="3" t="str">
        <f t="shared" si="198"/>
        <v>Tiruchirapalli_Musiri_Musiri</v>
      </c>
      <c r="V187" s="3">
        <f>IF(_xlfn.XLOOKUP($U187,GCA!$H$3:$H$593,GCA!E$3:E$593,"",0,1)="","",_xlfn.XLOOKUP($U187,GCA!$H$3:$H$593,GCA!E$3:E$593,"",0,1))</f>
        <v>12070.68</v>
      </c>
      <c r="W187" s="3">
        <f>IF(_xlfn.XLOOKUP($U187,GCA!$H$3:$H$593,GCA!F$3:F$593,"",0,1)="","",_xlfn.XLOOKUP($U187,GCA!$H$3:$H$593,GCA!F$3:F$593,"",0,1))</f>
        <v>11263.62</v>
      </c>
      <c r="X187" s="3">
        <f>IF(_xlfn.XLOOKUP($U187,GCA!$H$3:$H$593,GCA!G$3:G$593,"",0,1)="","",_xlfn.XLOOKUP($U187,GCA!$H$3:$H$593,GCA!G$3:G$593,"",0,1))</f>
        <v>14058.55</v>
      </c>
    </row>
    <row r="188" spans="1:24" ht="13.2">
      <c r="A188" s="49"/>
      <c r="B188" s="49"/>
      <c r="C188" s="48"/>
      <c r="D188" s="49"/>
      <c r="E188" s="50"/>
      <c r="F188" s="26" t="s">
        <v>690</v>
      </c>
      <c r="G188" s="26" t="s">
        <v>691</v>
      </c>
      <c r="H188" s="27">
        <f t="shared" si="242"/>
        <v>12619.875</v>
      </c>
      <c r="I188" s="27">
        <f t="shared" si="243"/>
        <v>12149.12</v>
      </c>
      <c r="J188" s="27">
        <f t="shared" si="244"/>
        <v>13357.314</v>
      </c>
      <c r="K188" s="27">
        <f t="shared" si="245"/>
        <v>12708.769666666667</v>
      </c>
      <c r="L188" s="65"/>
      <c r="M188" s="67">
        <f t="shared" si="246"/>
        <v>0</v>
      </c>
      <c r="N188" s="65" t="str">
        <f t="shared" si="193"/>
        <v/>
      </c>
      <c r="O188" s="65" t="str">
        <f t="shared" ref="O188:P188" si="255">N188</f>
        <v/>
      </c>
      <c r="P188" s="65" t="str">
        <f t="shared" si="255"/>
        <v/>
      </c>
      <c r="Q188" s="38"/>
      <c r="R188" s="3" t="str">
        <f t="shared" si="249"/>
        <v>Tiruchirapalli</v>
      </c>
      <c r="S188" s="3" t="str">
        <f t="shared" si="196"/>
        <v>Musiri</v>
      </c>
      <c r="T188" s="3" t="str">
        <f t="shared" si="197"/>
        <v>Thathaiyangarpettai</v>
      </c>
      <c r="U188" s="3" t="str">
        <f t="shared" si="198"/>
        <v>Tiruchirapalli_Musiri_Thathaiyangarpettai</v>
      </c>
      <c r="V188" s="3">
        <f>IF(_xlfn.XLOOKUP($U188,GCA!$H$3:$H$593,GCA!E$3:E$593,"",0,1)="","",_xlfn.XLOOKUP($U188,GCA!$H$3:$H$593,GCA!E$3:E$593,"",0,1))</f>
        <v>12619.875</v>
      </c>
      <c r="W188" s="3">
        <f>IF(_xlfn.XLOOKUP($U188,GCA!$H$3:$H$593,GCA!F$3:F$593,"",0,1)="","",_xlfn.XLOOKUP($U188,GCA!$H$3:$H$593,GCA!F$3:F$593,"",0,1))</f>
        <v>12149.12</v>
      </c>
      <c r="X188" s="3">
        <f>IF(_xlfn.XLOOKUP($U188,GCA!$H$3:$H$593,GCA!G$3:G$593,"",0,1)="","",_xlfn.XLOOKUP($U188,GCA!$H$3:$H$593,GCA!G$3:G$593,"",0,1))</f>
        <v>13357.314</v>
      </c>
    </row>
    <row r="189" spans="1:24" ht="13.2">
      <c r="A189" s="49"/>
      <c r="B189" s="49"/>
      <c r="C189" s="48"/>
      <c r="D189" s="49"/>
      <c r="E189" s="50"/>
      <c r="F189" s="26" t="s">
        <v>692</v>
      </c>
      <c r="G189" s="26" t="s">
        <v>693</v>
      </c>
      <c r="H189" s="27">
        <f t="shared" si="242"/>
        <v>7862.9579999999996</v>
      </c>
      <c r="I189" s="27">
        <f t="shared" si="243"/>
        <v>4575.3019999999997</v>
      </c>
      <c r="J189" s="27">
        <f t="shared" si="244"/>
        <v>8639.5560000000005</v>
      </c>
      <c r="K189" s="27">
        <f t="shared" si="245"/>
        <v>7025.938666666666</v>
      </c>
      <c r="L189" s="65"/>
      <c r="M189" s="67">
        <f t="shared" si="246"/>
        <v>0</v>
      </c>
      <c r="N189" s="65" t="str">
        <f t="shared" si="193"/>
        <v/>
      </c>
      <c r="O189" s="65" t="str">
        <f t="shared" ref="O189:P189" si="256">N189</f>
        <v/>
      </c>
      <c r="P189" s="65" t="str">
        <f t="shared" si="256"/>
        <v/>
      </c>
      <c r="Q189" s="38"/>
      <c r="R189" s="3" t="str">
        <f t="shared" si="249"/>
        <v>Tiruchirapalli</v>
      </c>
      <c r="S189" s="3" t="str">
        <f t="shared" si="196"/>
        <v>Srirangam</v>
      </c>
      <c r="T189" s="3" t="str">
        <f t="shared" si="197"/>
        <v>Andanallur</v>
      </c>
      <c r="U189" s="3" t="str">
        <f t="shared" si="198"/>
        <v>Tiruchirapalli_Srirangam_Andanallur</v>
      </c>
      <c r="V189" s="3">
        <f>IF(_xlfn.XLOOKUP($U189,GCA!$H$3:$H$593,GCA!E$3:E$593,"",0,1)="","",_xlfn.XLOOKUP($U189,GCA!$H$3:$H$593,GCA!E$3:E$593,"",0,1))</f>
        <v>7862.9579999999996</v>
      </c>
      <c r="W189" s="3">
        <f>IF(_xlfn.XLOOKUP($U189,GCA!$H$3:$H$593,GCA!F$3:F$593,"",0,1)="","",_xlfn.XLOOKUP($U189,GCA!$H$3:$H$593,GCA!F$3:F$593,"",0,1))</f>
        <v>4575.3019999999997</v>
      </c>
      <c r="X189" s="3">
        <f>IF(_xlfn.XLOOKUP($U189,GCA!$H$3:$H$593,GCA!G$3:G$593,"",0,1)="","",_xlfn.XLOOKUP($U189,GCA!$H$3:$H$593,GCA!G$3:G$593,"",0,1))</f>
        <v>8639.5560000000005</v>
      </c>
    </row>
    <row r="190" spans="1:24" ht="13.2">
      <c r="A190" s="49"/>
      <c r="B190" s="49"/>
      <c r="C190" s="48"/>
      <c r="D190" s="49"/>
      <c r="E190" s="50"/>
      <c r="F190" s="26" t="s">
        <v>692</v>
      </c>
      <c r="G190" s="26" t="s">
        <v>694</v>
      </c>
      <c r="H190" s="27">
        <f t="shared" si="242"/>
        <v>7515.085</v>
      </c>
      <c r="I190" s="27">
        <f t="shared" si="243"/>
        <v>5225.1970000000001</v>
      </c>
      <c r="J190" s="27">
        <f t="shared" si="244"/>
        <v>7672.11</v>
      </c>
      <c r="K190" s="27">
        <f t="shared" si="245"/>
        <v>6804.1306666666669</v>
      </c>
      <c r="L190" s="65"/>
      <c r="M190" s="67">
        <f t="shared" si="246"/>
        <v>0</v>
      </c>
      <c r="N190" s="65" t="str">
        <f t="shared" si="193"/>
        <v/>
      </c>
      <c r="O190" s="65" t="str">
        <f t="shared" ref="O190:P190" si="257">N190</f>
        <v/>
      </c>
      <c r="P190" s="65" t="str">
        <f t="shared" si="257"/>
        <v/>
      </c>
      <c r="Q190" s="38"/>
      <c r="R190" s="3" t="str">
        <f t="shared" si="249"/>
        <v>Tiruchirapalli</v>
      </c>
      <c r="S190" s="3" t="str">
        <f t="shared" si="196"/>
        <v>Srirangam</v>
      </c>
      <c r="T190" s="3" t="str">
        <f t="shared" si="197"/>
        <v>Manikandam</v>
      </c>
      <c r="U190" s="3" t="str">
        <f t="shared" si="198"/>
        <v>Tiruchirapalli_Srirangam_Manikandam</v>
      </c>
      <c r="V190" s="3">
        <f>IF(_xlfn.XLOOKUP($U190,GCA!$H$3:$H$593,GCA!E$3:E$593,"",0,1)="","",_xlfn.XLOOKUP($U190,GCA!$H$3:$H$593,GCA!E$3:E$593,"",0,1))</f>
        <v>7515.085</v>
      </c>
      <c r="W190" s="3">
        <f>IF(_xlfn.XLOOKUP($U190,GCA!$H$3:$H$593,GCA!F$3:F$593,"",0,1)="","",_xlfn.XLOOKUP($U190,GCA!$H$3:$H$593,GCA!F$3:F$593,"",0,1))</f>
        <v>5225.1970000000001</v>
      </c>
      <c r="X190" s="3">
        <f>IF(_xlfn.XLOOKUP($U190,GCA!$H$3:$H$593,GCA!G$3:G$593,"",0,1)="","",_xlfn.XLOOKUP($U190,GCA!$H$3:$H$593,GCA!G$3:G$593,"",0,1))</f>
        <v>7672.11</v>
      </c>
    </row>
    <row r="191" spans="1:24" ht="13.2">
      <c r="A191" s="49"/>
      <c r="B191" s="49"/>
      <c r="C191" s="48"/>
      <c r="D191" s="49"/>
      <c r="E191" s="50"/>
      <c r="F191" s="26" t="s">
        <v>695</v>
      </c>
      <c r="G191" s="26" t="s">
        <v>696</v>
      </c>
      <c r="H191" s="27">
        <f t="shared" si="242"/>
        <v>8130.0029999999997</v>
      </c>
      <c r="I191" s="27">
        <f t="shared" si="243"/>
        <v>1858.2929999999999</v>
      </c>
      <c r="J191" s="27">
        <f t="shared" si="244"/>
        <v>7946.02</v>
      </c>
      <c r="K191" s="27">
        <f t="shared" si="245"/>
        <v>5978.105333333333</v>
      </c>
      <c r="L191" s="65"/>
      <c r="M191" s="67">
        <f t="shared" si="246"/>
        <v>0</v>
      </c>
      <c r="N191" s="65" t="str">
        <f t="shared" si="193"/>
        <v/>
      </c>
      <c r="O191" s="65" t="str">
        <f t="shared" ref="O191:P191" si="258">N191</f>
        <v/>
      </c>
      <c r="P191" s="65" t="str">
        <f t="shared" si="258"/>
        <v/>
      </c>
      <c r="Q191" s="38"/>
      <c r="R191" s="3" t="str">
        <f t="shared" si="249"/>
        <v>Tiruchirapalli</v>
      </c>
      <c r="S191" s="3" t="str">
        <f t="shared" si="196"/>
        <v>Thiruverumbur</v>
      </c>
      <c r="T191" s="3" t="str">
        <f t="shared" si="197"/>
        <v>Tiruverumbur</v>
      </c>
      <c r="U191" s="3" t="str">
        <f t="shared" si="198"/>
        <v>Tiruchirapalli_Thiruverumbur_Tiruverumbur</v>
      </c>
      <c r="V191" s="3">
        <f>IF(_xlfn.XLOOKUP($U191,GCA!$H$3:$H$593,GCA!E$3:E$593,"",0,1)="","",_xlfn.XLOOKUP($U191,GCA!$H$3:$H$593,GCA!E$3:E$593,"",0,1))</f>
        <v>8130.0029999999997</v>
      </c>
      <c r="W191" s="3">
        <f>IF(_xlfn.XLOOKUP($U191,GCA!$H$3:$H$593,GCA!F$3:F$593,"",0,1)="","",_xlfn.XLOOKUP($U191,GCA!$H$3:$H$593,GCA!F$3:F$593,"",0,1))</f>
        <v>1858.2929999999999</v>
      </c>
      <c r="X191" s="3">
        <f>IF(_xlfn.XLOOKUP($U191,GCA!$H$3:$H$593,GCA!G$3:G$593,"",0,1)="","",_xlfn.XLOOKUP($U191,GCA!$H$3:$H$593,GCA!G$3:G$593,"",0,1))</f>
        <v>7946.02</v>
      </c>
    </row>
    <row r="192" spans="1:24" ht="13.2">
      <c r="A192" s="49"/>
      <c r="B192" s="49"/>
      <c r="C192" s="48"/>
      <c r="D192" s="49"/>
      <c r="E192" s="50">
        <v>3</v>
      </c>
      <c r="F192" s="26" t="s">
        <v>697</v>
      </c>
      <c r="G192" s="26" t="s">
        <v>697</v>
      </c>
      <c r="H192" s="27">
        <f t="shared" si="242"/>
        <v>13106.14</v>
      </c>
      <c r="I192" s="27">
        <f t="shared" si="243"/>
        <v>11546.477000000001</v>
      </c>
      <c r="J192" s="27">
        <f t="shared" si="244"/>
        <v>14034.458000000001</v>
      </c>
      <c r="K192" s="27">
        <f t="shared" si="245"/>
        <v>12895.691666666666</v>
      </c>
      <c r="L192" s="65">
        <f>SUM(K192:K198)</f>
        <v>50677.64</v>
      </c>
      <c r="M192" s="67">
        <f t="shared" si="246"/>
        <v>2.1271450604963578</v>
      </c>
      <c r="N192" s="65">
        <f t="shared" si="193"/>
        <v>2</v>
      </c>
      <c r="O192" s="65">
        <f t="shared" ref="O192:P192" si="259">N192</f>
        <v>2</v>
      </c>
      <c r="P192" s="65">
        <f t="shared" si="259"/>
        <v>2</v>
      </c>
      <c r="Q192" s="38"/>
      <c r="R192" s="3" t="str">
        <f t="shared" si="249"/>
        <v>Tiruchirapalli</v>
      </c>
      <c r="S192" s="3" t="str">
        <f t="shared" si="196"/>
        <v>Thottiyam</v>
      </c>
      <c r="T192" s="3" t="str">
        <f t="shared" si="197"/>
        <v>Thottiyam</v>
      </c>
      <c r="U192" s="3" t="str">
        <f t="shared" si="198"/>
        <v>Tiruchirapalli_Thottiyam_Thottiyam</v>
      </c>
      <c r="V192" s="3">
        <f>IF(_xlfn.XLOOKUP($U192,GCA!$H$3:$H$593,GCA!E$3:E$593,"",0,1)="","",_xlfn.XLOOKUP($U192,GCA!$H$3:$H$593,GCA!E$3:E$593,"",0,1))</f>
        <v>13106.14</v>
      </c>
      <c r="W192" s="3">
        <f>IF(_xlfn.XLOOKUP($U192,GCA!$H$3:$H$593,GCA!F$3:F$593,"",0,1)="","",_xlfn.XLOOKUP($U192,GCA!$H$3:$H$593,GCA!F$3:F$593,"",0,1))</f>
        <v>11546.477000000001</v>
      </c>
      <c r="X192" s="3">
        <f>IF(_xlfn.XLOOKUP($U192,GCA!$H$3:$H$593,GCA!G$3:G$593,"",0,1)="","",_xlfn.XLOOKUP($U192,GCA!$H$3:$H$593,GCA!G$3:G$593,"",0,1))</f>
        <v>14034.458000000001</v>
      </c>
    </row>
    <row r="193" spans="1:24" ht="13.2">
      <c r="A193" s="49"/>
      <c r="B193" s="49"/>
      <c r="C193" s="48"/>
      <c r="D193" s="49"/>
      <c r="E193" s="50"/>
      <c r="F193" s="26" t="s">
        <v>698</v>
      </c>
      <c r="G193" s="26" t="s">
        <v>698</v>
      </c>
      <c r="H193" s="27">
        <f t="shared" si="242"/>
        <v>17192.666000000001</v>
      </c>
      <c r="I193" s="27">
        <f t="shared" si="243"/>
        <v>17869.005000000001</v>
      </c>
      <c r="J193" s="27">
        <f t="shared" si="244"/>
        <v>17830.95</v>
      </c>
      <c r="K193" s="27">
        <f t="shared" si="245"/>
        <v>17630.873666666666</v>
      </c>
      <c r="L193" s="65"/>
      <c r="M193" s="67">
        <f t="shared" si="246"/>
        <v>0</v>
      </c>
      <c r="N193" s="65" t="str">
        <f t="shared" si="193"/>
        <v/>
      </c>
      <c r="O193" s="65" t="str">
        <f t="shared" ref="O193:P193" si="260">N193</f>
        <v/>
      </c>
      <c r="P193" s="65" t="str">
        <f t="shared" si="260"/>
        <v/>
      </c>
      <c r="Q193" s="38"/>
      <c r="R193" s="3" t="str">
        <f t="shared" si="249"/>
        <v>Tiruchirapalli</v>
      </c>
      <c r="S193" s="3" t="str">
        <f t="shared" si="196"/>
        <v>Thuraiyur</v>
      </c>
      <c r="T193" s="3" t="str">
        <f t="shared" si="197"/>
        <v>Thuraiyur</v>
      </c>
      <c r="U193" s="3" t="str">
        <f t="shared" si="198"/>
        <v>Tiruchirapalli_Thuraiyur_Thuraiyur</v>
      </c>
      <c r="V193" s="3">
        <f>IF(_xlfn.XLOOKUP($U193,GCA!$H$3:$H$593,GCA!E$3:E$593,"",0,1)="","",_xlfn.XLOOKUP($U193,GCA!$H$3:$H$593,GCA!E$3:E$593,"",0,1))</f>
        <v>17192.666000000001</v>
      </c>
      <c r="W193" s="3">
        <f>IF(_xlfn.XLOOKUP($U193,GCA!$H$3:$H$593,GCA!F$3:F$593,"",0,1)="","",_xlfn.XLOOKUP($U193,GCA!$H$3:$H$593,GCA!F$3:F$593,"",0,1))</f>
        <v>17869.005000000001</v>
      </c>
      <c r="X193" s="3">
        <f>IF(_xlfn.XLOOKUP($U193,GCA!$H$3:$H$593,GCA!G$3:G$593,"",0,1)="","",_xlfn.XLOOKUP($U193,GCA!$H$3:$H$593,GCA!G$3:G$593,"",0,1))</f>
        <v>17830.95</v>
      </c>
    </row>
    <row r="194" spans="1:24" ht="13.2">
      <c r="A194" s="49"/>
      <c r="B194" s="49"/>
      <c r="C194" s="48"/>
      <c r="D194" s="49"/>
      <c r="E194" s="50"/>
      <c r="F194" s="26" t="s">
        <v>698</v>
      </c>
      <c r="G194" s="26" t="s">
        <v>699</v>
      </c>
      <c r="H194" s="27">
        <f t="shared" si="242"/>
        <v>18441.275000000001</v>
      </c>
      <c r="I194" s="27">
        <f t="shared" si="243"/>
        <v>18493.14</v>
      </c>
      <c r="J194" s="27">
        <f t="shared" si="244"/>
        <v>20262.924999999999</v>
      </c>
      <c r="K194" s="27">
        <f t="shared" si="245"/>
        <v>19065.78</v>
      </c>
      <c r="L194" s="65"/>
      <c r="M194" s="67">
        <f t="shared" si="246"/>
        <v>0</v>
      </c>
      <c r="N194" s="65" t="str">
        <f t="shared" si="193"/>
        <v/>
      </c>
      <c r="O194" s="65" t="str">
        <f t="shared" ref="O194:P194" si="261">N194</f>
        <v/>
      </c>
      <c r="P194" s="65" t="str">
        <f t="shared" si="261"/>
        <v/>
      </c>
      <c r="Q194" s="38"/>
      <c r="R194" s="3" t="str">
        <f t="shared" si="249"/>
        <v>Tiruchirapalli</v>
      </c>
      <c r="S194" s="3" t="str">
        <f t="shared" si="196"/>
        <v>Thuraiyur</v>
      </c>
      <c r="T194" s="3" t="str">
        <f t="shared" si="197"/>
        <v>Uppiliyapuram</v>
      </c>
      <c r="U194" s="3" t="str">
        <f t="shared" si="198"/>
        <v>Tiruchirapalli_Thuraiyur_Uppiliyapuram</v>
      </c>
      <c r="V194" s="3">
        <f>IF(_xlfn.XLOOKUP($U194,GCA!$H$3:$H$593,GCA!E$3:E$593,"",0,1)="","",_xlfn.XLOOKUP($U194,GCA!$H$3:$H$593,GCA!E$3:E$593,"",0,1))</f>
        <v>18441.275000000001</v>
      </c>
      <c r="W194" s="3">
        <f>IF(_xlfn.XLOOKUP($U194,GCA!$H$3:$H$593,GCA!F$3:F$593,"",0,1)="","",_xlfn.XLOOKUP($U194,GCA!$H$3:$H$593,GCA!F$3:F$593,"",0,1))</f>
        <v>18493.14</v>
      </c>
      <c r="X194" s="3">
        <f>IF(_xlfn.XLOOKUP($U194,GCA!$H$3:$H$593,GCA!G$3:G$593,"",0,1)="","",_xlfn.XLOOKUP($U194,GCA!$H$3:$H$593,GCA!G$3:G$593,"",0,1))</f>
        <v>20262.924999999999</v>
      </c>
    </row>
    <row r="195" spans="1:24" ht="13.2">
      <c r="A195" s="49"/>
      <c r="B195" s="49"/>
      <c r="C195" s="48"/>
      <c r="D195" s="49"/>
      <c r="E195" s="50"/>
      <c r="F195" s="26" t="s">
        <v>700</v>
      </c>
      <c r="G195" s="26" t="s">
        <v>694</v>
      </c>
      <c r="H195" s="27">
        <f t="shared" si="242"/>
        <v>477.85500000000002</v>
      </c>
      <c r="I195" s="27">
        <f t="shared" si="243"/>
        <v>211.375</v>
      </c>
      <c r="J195" s="27">
        <f t="shared" si="244"/>
        <v>439.09</v>
      </c>
      <c r="K195" s="27">
        <f t="shared" si="245"/>
        <v>376.10666666666663</v>
      </c>
      <c r="L195" s="65"/>
      <c r="M195" s="67">
        <f t="shared" si="246"/>
        <v>0</v>
      </c>
      <c r="N195" s="65" t="str">
        <f t="shared" si="193"/>
        <v/>
      </c>
      <c r="O195" s="65" t="str">
        <f t="shared" ref="O195:P195" si="262">N195</f>
        <v/>
      </c>
      <c r="P195" s="65" t="str">
        <f t="shared" si="262"/>
        <v/>
      </c>
      <c r="Q195" s="38"/>
      <c r="R195" s="3" t="str">
        <f t="shared" si="249"/>
        <v>Tiruchirapalli</v>
      </c>
      <c r="S195" s="3" t="str">
        <f t="shared" si="196"/>
        <v>Tiruchirapalli East</v>
      </c>
      <c r="T195" s="3" t="str">
        <f t="shared" si="197"/>
        <v>Manikandam</v>
      </c>
      <c r="U195" s="3" t="str">
        <f t="shared" si="198"/>
        <v>Tiruchirapalli_Tiruchirapalli East_Manikandam</v>
      </c>
      <c r="V195" s="3">
        <f>IF(_xlfn.XLOOKUP($U195,GCA!$H$3:$H$593,GCA!E$3:E$593,"",0,1)="","",_xlfn.XLOOKUP($U195,GCA!$H$3:$H$593,GCA!E$3:E$593,"",0,1))</f>
        <v>477.85500000000002</v>
      </c>
      <c r="W195" s="3">
        <f>IF(_xlfn.XLOOKUP($U195,GCA!$H$3:$H$593,GCA!F$3:F$593,"",0,1)="","",_xlfn.XLOOKUP($U195,GCA!$H$3:$H$593,GCA!F$3:F$593,"",0,1))</f>
        <v>211.375</v>
      </c>
      <c r="X195" s="3">
        <f>IF(_xlfn.XLOOKUP($U195,GCA!$H$3:$H$593,GCA!G$3:G$593,"",0,1)="","",_xlfn.XLOOKUP($U195,GCA!$H$3:$H$593,GCA!G$3:G$593,"",0,1))</f>
        <v>439.09</v>
      </c>
    </row>
    <row r="196" spans="1:24" ht="13.2">
      <c r="A196" s="49"/>
      <c r="B196" s="49"/>
      <c r="C196" s="48"/>
      <c r="D196" s="49"/>
      <c r="E196" s="50"/>
      <c r="F196" s="26" t="s">
        <v>700</v>
      </c>
      <c r="G196" s="26" t="s">
        <v>696</v>
      </c>
      <c r="H196" s="27">
        <f t="shared" si="242"/>
        <v>391.84399999999999</v>
      </c>
      <c r="I196" s="27">
        <f t="shared" si="243"/>
        <v>224.89500000000001</v>
      </c>
      <c r="J196" s="27">
        <f t="shared" si="244"/>
        <v>478.33</v>
      </c>
      <c r="K196" s="27">
        <f t="shared" si="245"/>
        <v>365.02299999999997</v>
      </c>
      <c r="L196" s="65"/>
      <c r="M196" s="67">
        <f t="shared" si="246"/>
        <v>0</v>
      </c>
      <c r="N196" s="65" t="str">
        <f t="shared" si="193"/>
        <v/>
      </c>
      <c r="O196" s="65" t="str">
        <f t="shared" ref="O196:P196" si="263">N196</f>
        <v/>
      </c>
      <c r="P196" s="65" t="str">
        <f t="shared" si="263"/>
        <v/>
      </c>
      <c r="Q196" s="38"/>
      <c r="R196" s="3" t="str">
        <f t="shared" si="249"/>
        <v>Tiruchirapalli</v>
      </c>
      <c r="S196" s="3" t="str">
        <f t="shared" si="196"/>
        <v>Tiruchirapalli East</v>
      </c>
      <c r="T196" s="3" t="str">
        <f t="shared" si="197"/>
        <v>Tiruverumbur</v>
      </c>
      <c r="U196" s="3" t="str">
        <f t="shared" si="198"/>
        <v>Tiruchirapalli_Tiruchirapalli East_Tiruverumbur</v>
      </c>
      <c r="V196" s="3">
        <f>IF(_xlfn.XLOOKUP($U196,GCA!$H$3:$H$593,GCA!E$3:E$593,"",0,1)="","",_xlfn.XLOOKUP($U196,GCA!$H$3:$H$593,GCA!E$3:E$593,"",0,1))</f>
        <v>391.84399999999999</v>
      </c>
      <c r="W196" s="3">
        <f>IF(_xlfn.XLOOKUP($U196,GCA!$H$3:$H$593,GCA!F$3:F$593,"",0,1)="","",_xlfn.XLOOKUP($U196,GCA!$H$3:$H$593,GCA!F$3:F$593,"",0,1))</f>
        <v>224.89500000000001</v>
      </c>
      <c r="X196" s="3">
        <f>IF(_xlfn.XLOOKUP($U196,GCA!$H$3:$H$593,GCA!G$3:G$593,"",0,1)="","",_xlfn.XLOOKUP($U196,GCA!$H$3:$H$593,GCA!G$3:G$593,"",0,1))</f>
        <v>478.33</v>
      </c>
    </row>
    <row r="197" spans="1:24" ht="13.2">
      <c r="A197" s="49"/>
      <c r="B197" s="49"/>
      <c r="C197" s="48"/>
      <c r="D197" s="49"/>
      <c r="E197" s="50"/>
      <c r="F197" s="26" t="s">
        <v>701</v>
      </c>
      <c r="G197" s="26" t="s">
        <v>694</v>
      </c>
      <c r="H197" s="27">
        <f t="shared" si="242"/>
        <v>307.76499999999999</v>
      </c>
      <c r="I197" s="27">
        <f t="shared" si="243"/>
        <v>148.93</v>
      </c>
      <c r="J197" s="27">
        <f t="shared" si="244"/>
        <v>342.37</v>
      </c>
      <c r="K197" s="27">
        <f t="shared" si="245"/>
        <v>266.35500000000002</v>
      </c>
      <c r="L197" s="65"/>
      <c r="M197" s="67">
        <f t="shared" si="246"/>
        <v>0</v>
      </c>
      <c r="N197" s="65" t="str">
        <f t="shared" si="193"/>
        <v/>
      </c>
      <c r="O197" s="65" t="str">
        <f t="shared" ref="O197:P197" si="264">N197</f>
        <v/>
      </c>
      <c r="P197" s="65" t="str">
        <f t="shared" si="264"/>
        <v/>
      </c>
      <c r="Q197" s="38"/>
      <c r="R197" s="3" t="str">
        <f t="shared" si="249"/>
        <v>Tiruchirapalli</v>
      </c>
      <c r="S197" s="3" t="str">
        <f t="shared" si="196"/>
        <v>Tiruchirapalli West</v>
      </c>
      <c r="T197" s="3" t="str">
        <f t="shared" si="197"/>
        <v>Manikandam</v>
      </c>
      <c r="U197" s="3" t="str">
        <f t="shared" si="198"/>
        <v>Tiruchirapalli_Tiruchirapalli West_Manikandam</v>
      </c>
      <c r="V197" s="3">
        <f>IF(_xlfn.XLOOKUP($U197,GCA!$H$3:$H$593,GCA!E$3:E$593,"",0,1)="","",_xlfn.XLOOKUP($U197,GCA!$H$3:$H$593,GCA!E$3:E$593,"",0,1))</f>
        <v>307.76499999999999</v>
      </c>
      <c r="W197" s="3">
        <f>IF(_xlfn.XLOOKUP($U197,GCA!$H$3:$H$593,GCA!F$3:F$593,"",0,1)="","",_xlfn.XLOOKUP($U197,GCA!$H$3:$H$593,GCA!F$3:F$593,"",0,1))</f>
        <v>148.93</v>
      </c>
      <c r="X197" s="3">
        <f>IF(_xlfn.XLOOKUP($U197,GCA!$H$3:$H$593,GCA!G$3:G$593,"",0,1)="","",_xlfn.XLOOKUP($U197,GCA!$H$3:$H$593,GCA!G$3:G$593,"",0,1))</f>
        <v>342.37</v>
      </c>
    </row>
    <row r="198" spans="1:24" ht="13.2">
      <c r="A198" s="49"/>
      <c r="B198" s="49"/>
      <c r="C198" s="48"/>
      <c r="D198" s="49"/>
      <c r="E198" s="50"/>
      <c r="F198" s="26" t="s">
        <v>701</v>
      </c>
      <c r="G198" s="26" t="s">
        <v>696</v>
      </c>
      <c r="H198" s="27">
        <f t="shared" si="242"/>
        <v>67.400000000000006</v>
      </c>
      <c r="I198" s="27">
        <f t="shared" si="243"/>
        <v>75.38</v>
      </c>
      <c r="J198" s="27">
        <f t="shared" si="244"/>
        <v>90.65</v>
      </c>
      <c r="K198" s="27">
        <f t="shared" si="245"/>
        <v>77.81</v>
      </c>
      <c r="L198" s="65"/>
      <c r="M198" s="67">
        <f t="shared" si="246"/>
        <v>0</v>
      </c>
      <c r="N198" s="65" t="str">
        <f t="shared" si="193"/>
        <v/>
      </c>
      <c r="O198" s="65" t="str">
        <f t="shared" ref="O198:P198" si="265">N198</f>
        <v/>
      </c>
      <c r="P198" s="65" t="str">
        <f t="shared" si="265"/>
        <v/>
      </c>
      <c r="Q198" s="38"/>
      <c r="R198" s="3" t="str">
        <f t="shared" si="249"/>
        <v>Tiruchirapalli</v>
      </c>
      <c r="S198" s="3" t="str">
        <f t="shared" si="196"/>
        <v>Tiruchirapalli West</v>
      </c>
      <c r="T198" s="3" t="str">
        <f t="shared" si="197"/>
        <v>Tiruverumbur</v>
      </c>
      <c r="U198" s="3" t="str">
        <f t="shared" si="198"/>
        <v>Tiruchirapalli_Tiruchirapalli West_Tiruverumbur</v>
      </c>
      <c r="V198" s="3">
        <f>IF(_xlfn.XLOOKUP($U198,GCA!$H$3:$H$593,GCA!E$3:E$593,"",0,1)="","",_xlfn.XLOOKUP($U198,GCA!$H$3:$H$593,GCA!E$3:E$593,"",0,1))</f>
        <v>67.400000000000006</v>
      </c>
      <c r="W198" s="3">
        <f>IF(_xlfn.XLOOKUP($U198,GCA!$H$3:$H$593,GCA!F$3:F$593,"",0,1)="","",_xlfn.XLOOKUP($U198,GCA!$H$3:$H$593,GCA!F$3:F$593,"",0,1))</f>
        <v>75.38</v>
      </c>
      <c r="X198" s="3">
        <f>IF(_xlfn.XLOOKUP($U198,GCA!$H$3:$H$593,GCA!G$3:G$593,"",0,1)="","",_xlfn.XLOOKUP($U198,GCA!$H$3:$H$593,GCA!G$3:G$593,"",0,1))</f>
        <v>90.65</v>
      </c>
    </row>
    <row r="199" spans="1:24" ht="13.2">
      <c r="A199" s="49"/>
      <c r="B199" s="49"/>
      <c r="C199" s="48"/>
      <c r="D199" s="49"/>
      <c r="E199" s="47" t="s">
        <v>564</v>
      </c>
      <c r="F199" s="47"/>
      <c r="G199" s="47"/>
      <c r="H199" s="29">
        <f t="shared" ref="H199:P199" si="266">SUM(H181:H198)</f>
        <v>174085.32200000001</v>
      </c>
      <c r="I199" s="29">
        <f t="shared" si="266"/>
        <v>151158.42899999997</v>
      </c>
      <c r="J199" s="29">
        <f t="shared" si="266"/>
        <v>183816.90999999997</v>
      </c>
      <c r="K199" s="29">
        <f t="shared" si="266"/>
        <v>169686.88700000002</v>
      </c>
      <c r="L199" s="29">
        <f t="shared" si="266"/>
        <v>169686.88699999999</v>
      </c>
      <c r="M199" s="30">
        <f t="shared" si="266"/>
        <v>7.1224434190908186</v>
      </c>
      <c r="N199" s="31">
        <f t="shared" si="266"/>
        <v>7</v>
      </c>
      <c r="O199" s="31">
        <f t="shared" si="266"/>
        <v>7</v>
      </c>
      <c r="P199" s="31">
        <f t="shared" si="266"/>
        <v>7</v>
      </c>
      <c r="Q199" s="38"/>
      <c r="R199" s="3" t="str">
        <f t="shared" si="249"/>
        <v>Tiruchirapalli</v>
      </c>
      <c r="S199" s="3">
        <f t="shared" si="196"/>
        <v>0</v>
      </c>
      <c r="T199" s="3">
        <f t="shared" si="197"/>
        <v>0</v>
      </c>
      <c r="U199" s="3" t="str">
        <f t="shared" si="198"/>
        <v>Tiruchirapalli_0_0</v>
      </c>
      <c r="V199" s="3" t="str">
        <f>IF(_xlfn.XLOOKUP($U199,GCA!$H$3:$H$593,GCA!E$3:E$593,"",0,1)="","",_xlfn.XLOOKUP($U199,GCA!$H$3:$H$593,GCA!E$3:E$593,"",0,1))</f>
        <v/>
      </c>
      <c r="W199" s="3" t="str">
        <f>IF(_xlfn.XLOOKUP($U199,GCA!$H$3:$H$593,GCA!F$3:F$593,"",0,1)="","",_xlfn.XLOOKUP($U199,GCA!$H$3:$H$593,GCA!F$3:F$593,"",0,1))</f>
        <v/>
      </c>
      <c r="X199" s="3" t="str">
        <f>IF(_xlfn.XLOOKUP($U199,GCA!$H$3:$H$593,GCA!G$3:G$593,"",0,1)="","",_xlfn.XLOOKUP($U199,GCA!$H$3:$H$593,GCA!G$3:G$593,"",0,1))</f>
        <v/>
      </c>
    </row>
    <row r="200" spans="1:24" ht="13.2">
      <c r="A200" s="49"/>
      <c r="B200" s="49"/>
      <c r="C200" s="48" t="s">
        <v>237</v>
      </c>
      <c r="D200" s="49" t="s">
        <v>532</v>
      </c>
      <c r="E200" s="50">
        <v>1</v>
      </c>
      <c r="F200" s="26" t="s">
        <v>702</v>
      </c>
      <c r="G200" s="26" t="s">
        <v>702</v>
      </c>
      <c r="H200" s="27">
        <f t="shared" ref="H200:H203" si="267">V200</f>
        <v>23968</v>
      </c>
      <c r="I200" s="27">
        <f t="shared" ref="I200:I203" si="268">W200</f>
        <v>23142.15</v>
      </c>
      <c r="J200" s="27">
        <f t="shared" ref="J200:J203" si="269">X200</f>
        <v>24583.165000000001</v>
      </c>
      <c r="K200" s="27">
        <f t="shared" ref="K200:K203" si="270">IFERROR(AVERAGE(H200:J200),"")</f>
        <v>23897.771666666667</v>
      </c>
      <c r="L200" s="65">
        <f>SUM(K200:K202)</f>
        <v>69627.721666666665</v>
      </c>
      <c r="M200" s="67">
        <f>L200*$L$643/$L$642</f>
        <v>2.9225564611308896</v>
      </c>
      <c r="N200" s="65">
        <f t="shared" si="193"/>
        <v>3</v>
      </c>
      <c r="O200" s="65">
        <f t="shared" ref="O200:P200" si="271">N200</f>
        <v>3</v>
      </c>
      <c r="P200" s="65">
        <f t="shared" si="271"/>
        <v>3</v>
      </c>
      <c r="Q200" s="38"/>
      <c r="R200" s="3" t="str">
        <f t="shared" si="195"/>
        <v>Perambalur</v>
      </c>
      <c r="S200" s="3" t="str">
        <f t="shared" si="196"/>
        <v>Alathur</v>
      </c>
      <c r="T200" s="3" t="str">
        <f t="shared" si="197"/>
        <v>Alathur</v>
      </c>
      <c r="U200" s="3" t="str">
        <f t="shared" si="198"/>
        <v>Perambalur_Alathur_Alathur</v>
      </c>
      <c r="V200" s="3">
        <f>IF(_xlfn.XLOOKUP($U200,GCA!$H$3:$H$593,GCA!E$3:E$593,"",0,1)="","",_xlfn.XLOOKUP($U200,GCA!$H$3:$H$593,GCA!E$3:E$593,"",0,1))</f>
        <v>23968</v>
      </c>
      <c r="W200" s="3">
        <f>IF(_xlfn.XLOOKUP($U200,GCA!$H$3:$H$593,GCA!F$3:F$593,"",0,1)="","",_xlfn.XLOOKUP($U200,GCA!$H$3:$H$593,GCA!F$3:F$593,"",0,1))</f>
        <v>23142.15</v>
      </c>
      <c r="X200" s="3">
        <f>IF(_xlfn.XLOOKUP($U200,GCA!$H$3:$H$593,GCA!G$3:G$593,"",0,1)="","",_xlfn.XLOOKUP($U200,GCA!$H$3:$H$593,GCA!G$3:G$593,"",0,1))</f>
        <v>24583.165000000001</v>
      </c>
    </row>
    <row r="201" spans="1:24" ht="13.2">
      <c r="A201" s="49"/>
      <c r="B201" s="49"/>
      <c r="C201" s="48"/>
      <c r="D201" s="49"/>
      <c r="E201" s="50"/>
      <c r="F201" s="26" t="s">
        <v>703</v>
      </c>
      <c r="G201" s="26" t="s">
        <v>704</v>
      </c>
      <c r="H201" s="27">
        <f t="shared" si="267"/>
        <v>28314.965</v>
      </c>
      <c r="I201" s="27">
        <f t="shared" si="268"/>
        <v>27983.697</v>
      </c>
      <c r="J201" s="27">
        <f t="shared" si="269"/>
        <v>28129.251</v>
      </c>
      <c r="K201" s="27">
        <f t="shared" si="270"/>
        <v>28142.637666666666</v>
      </c>
      <c r="L201" s="65"/>
      <c r="M201" s="67">
        <f>L201*$L$643/$L$642</f>
        <v>0</v>
      </c>
      <c r="N201" s="65" t="str">
        <f t="shared" si="193"/>
        <v/>
      </c>
      <c r="O201" s="65" t="str">
        <f t="shared" ref="O201:P201" si="272">N201</f>
        <v/>
      </c>
      <c r="P201" s="65" t="str">
        <f t="shared" si="272"/>
        <v/>
      </c>
      <c r="Q201" s="38"/>
      <c r="R201" s="3" t="str">
        <f t="shared" ref="R201:R204" si="273">R200</f>
        <v>Perambalur</v>
      </c>
      <c r="S201" s="3" t="str">
        <f t="shared" si="196"/>
        <v>Kunnam</v>
      </c>
      <c r="T201" s="3" t="str">
        <f t="shared" si="197"/>
        <v>Veppur</v>
      </c>
      <c r="U201" s="3" t="str">
        <f t="shared" si="198"/>
        <v>Perambalur_Kunnam_Veppur</v>
      </c>
      <c r="V201" s="3">
        <f>IF(_xlfn.XLOOKUP($U201,GCA!$H$3:$H$593,GCA!E$3:E$593,"",0,1)="","",_xlfn.XLOOKUP($U201,GCA!$H$3:$H$593,GCA!E$3:E$593,"",0,1))</f>
        <v>28314.965</v>
      </c>
      <c r="W201" s="3">
        <f>IF(_xlfn.XLOOKUP($U201,GCA!$H$3:$H$593,GCA!F$3:F$593,"",0,1)="","",_xlfn.XLOOKUP($U201,GCA!$H$3:$H$593,GCA!F$3:F$593,"",0,1))</f>
        <v>27983.697</v>
      </c>
      <c r="X201" s="3">
        <f>IF(_xlfn.XLOOKUP($U201,GCA!$H$3:$H$593,GCA!G$3:G$593,"",0,1)="","",_xlfn.XLOOKUP($U201,GCA!$H$3:$H$593,GCA!G$3:G$593,"",0,1))</f>
        <v>28129.251</v>
      </c>
    </row>
    <row r="202" spans="1:24" ht="13.2">
      <c r="A202" s="49"/>
      <c r="B202" s="49"/>
      <c r="C202" s="48"/>
      <c r="D202" s="49"/>
      <c r="E202" s="50"/>
      <c r="F202" s="26" t="s">
        <v>237</v>
      </c>
      <c r="G202" s="26" t="s">
        <v>237</v>
      </c>
      <c r="H202" s="27">
        <f t="shared" si="267"/>
        <v>17739.715</v>
      </c>
      <c r="I202" s="27">
        <f t="shared" si="268"/>
        <v>16990.327000000001</v>
      </c>
      <c r="J202" s="27">
        <f t="shared" si="269"/>
        <v>18031.895</v>
      </c>
      <c r="K202" s="27">
        <f t="shared" si="270"/>
        <v>17587.312333333335</v>
      </c>
      <c r="L202" s="65"/>
      <c r="M202" s="67">
        <f>L202*$L$643/$L$642</f>
        <v>0</v>
      </c>
      <c r="N202" s="65" t="str">
        <f t="shared" si="193"/>
        <v/>
      </c>
      <c r="O202" s="65" t="str">
        <f t="shared" ref="O202:P202" si="274">N202</f>
        <v/>
      </c>
      <c r="P202" s="65" t="str">
        <f t="shared" si="274"/>
        <v/>
      </c>
      <c r="Q202" s="38"/>
      <c r="R202" s="3" t="str">
        <f t="shared" si="273"/>
        <v>Perambalur</v>
      </c>
      <c r="S202" s="3" t="str">
        <f t="shared" si="196"/>
        <v>Perambalur</v>
      </c>
      <c r="T202" s="3" t="str">
        <f t="shared" si="197"/>
        <v>Perambalur</v>
      </c>
      <c r="U202" s="3" t="str">
        <f t="shared" si="198"/>
        <v>Perambalur_Perambalur_Perambalur</v>
      </c>
      <c r="V202" s="3">
        <f>IF(_xlfn.XLOOKUP($U202,GCA!$H$3:$H$593,GCA!E$3:E$593,"",0,1)="","",_xlfn.XLOOKUP($U202,GCA!$H$3:$H$593,GCA!E$3:E$593,"",0,1))</f>
        <v>17739.715</v>
      </c>
      <c r="W202" s="3">
        <f>IF(_xlfn.XLOOKUP($U202,GCA!$H$3:$H$593,GCA!F$3:F$593,"",0,1)="","",_xlfn.XLOOKUP($U202,GCA!$H$3:$H$593,GCA!F$3:F$593,"",0,1))</f>
        <v>16990.327000000001</v>
      </c>
      <c r="X202" s="3">
        <f>IF(_xlfn.XLOOKUP($U202,GCA!$H$3:$H$593,GCA!G$3:G$593,"",0,1)="","",_xlfn.XLOOKUP($U202,GCA!$H$3:$H$593,GCA!G$3:G$593,"",0,1))</f>
        <v>18031.895</v>
      </c>
    </row>
    <row r="203" spans="1:24" ht="13.2">
      <c r="A203" s="49"/>
      <c r="B203" s="49"/>
      <c r="C203" s="48"/>
      <c r="D203" s="49"/>
      <c r="E203" s="25">
        <v>2</v>
      </c>
      <c r="F203" s="26" t="s">
        <v>705</v>
      </c>
      <c r="G203" s="26" t="s">
        <v>705</v>
      </c>
      <c r="H203" s="27">
        <f t="shared" si="267"/>
        <v>40507.230000000003</v>
      </c>
      <c r="I203" s="27">
        <f t="shared" si="268"/>
        <v>39209.415000000001</v>
      </c>
      <c r="J203" s="27">
        <f t="shared" si="269"/>
        <v>39551.495000000003</v>
      </c>
      <c r="K203" s="27">
        <f t="shared" si="270"/>
        <v>39756.046666666669</v>
      </c>
      <c r="L203" s="27">
        <f>SUM(K203)</f>
        <v>39756.046666666669</v>
      </c>
      <c r="M203" s="28">
        <f>L203*$L$643/$L$642</f>
        <v>1.6687217141891906</v>
      </c>
      <c r="N203" s="27">
        <f t="shared" si="193"/>
        <v>2</v>
      </c>
      <c r="O203" s="27">
        <f t="shared" ref="O203:P203" si="275">N203</f>
        <v>2</v>
      </c>
      <c r="P203" s="27">
        <f t="shared" si="275"/>
        <v>2</v>
      </c>
      <c r="Q203" s="38"/>
      <c r="R203" s="3" t="str">
        <f t="shared" si="273"/>
        <v>Perambalur</v>
      </c>
      <c r="S203" s="3" t="str">
        <f t="shared" si="196"/>
        <v>Veppanthattai</v>
      </c>
      <c r="T203" s="3" t="str">
        <f t="shared" si="197"/>
        <v>Veppanthattai</v>
      </c>
      <c r="U203" s="3" t="str">
        <f t="shared" si="198"/>
        <v>Perambalur_Veppanthattai_Veppanthattai</v>
      </c>
      <c r="V203" s="3">
        <f>IF(_xlfn.XLOOKUP($U203,GCA!$H$3:$H$593,GCA!E$3:E$593,"",0,1)="","",_xlfn.XLOOKUP($U203,GCA!$H$3:$H$593,GCA!E$3:E$593,"",0,1))</f>
        <v>40507.230000000003</v>
      </c>
      <c r="W203" s="3">
        <f>IF(_xlfn.XLOOKUP($U203,GCA!$H$3:$H$593,GCA!F$3:F$593,"",0,1)="","",_xlfn.XLOOKUP($U203,GCA!$H$3:$H$593,GCA!F$3:F$593,"",0,1))</f>
        <v>39209.415000000001</v>
      </c>
      <c r="X203" s="3">
        <f>IF(_xlfn.XLOOKUP($U203,GCA!$H$3:$H$593,GCA!G$3:G$593,"",0,1)="","",_xlfn.XLOOKUP($U203,GCA!$H$3:$H$593,GCA!G$3:G$593,"",0,1))</f>
        <v>39551.495000000003</v>
      </c>
    </row>
    <row r="204" spans="1:24" ht="13.2">
      <c r="A204" s="49"/>
      <c r="B204" s="49"/>
      <c r="C204" s="48"/>
      <c r="D204" s="49"/>
      <c r="E204" s="47" t="s">
        <v>564</v>
      </c>
      <c r="F204" s="47"/>
      <c r="G204" s="47"/>
      <c r="H204" s="29">
        <f t="shared" ref="H204:P204" si="276">SUM(H200:H203)</f>
        <v>110529.91</v>
      </c>
      <c r="I204" s="29">
        <f t="shared" si="276"/>
        <v>107325.58900000001</v>
      </c>
      <c r="J204" s="29">
        <f t="shared" si="276"/>
        <v>110295.80600000001</v>
      </c>
      <c r="K204" s="29">
        <f t="shared" si="276"/>
        <v>109383.76833333334</v>
      </c>
      <c r="L204" s="29">
        <f t="shared" si="276"/>
        <v>109383.76833333334</v>
      </c>
      <c r="M204" s="30">
        <f t="shared" si="276"/>
        <v>4.5912781753200802</v>
      </c>
      <c r="N204" s="31">
        <f t="shared" si="276"/>
        <v>5</v>
      </c>
      <c r="O204" s="31">
        <f t="shared" si="276"/>
        <v>5</v>
      </c>
      <c r="P204" s="31">
        <f t="shared" si="276"/>
        <v>5</v>
      </c>
      <c r="Q204" s="38"/>
      <c r="R204" s="3" t="str">
        <f t="shared" si="273"/>
        <v>Perambalur</v>
      </c>
      <c r="S204" s="3">
        <f t="shared" si="196"/>
        <v>0</v>
      </c>
      <c r="T204" s="3">
        <f t="shared" si="197"/>
        <v>0</v>
      </c>
      <c r="U204" s="3" t="str">
        <f t="shared" si="198"/>
        <v>Perambalur_0_0</v>
      </c>
      <c r="V204" s="3" t="str">
        <f>IF(_xlfn.XLOOKUP($U204,GCA!$H$3:$H$593,GCA!E$3:E$593,"",0,1)="","",_xlfn.XLOOKUP($U204,GCA!$H$3:$H$593,GCA!E$3:E$593,"",0,1))</f>
        <v/>
      </c>
      <c r="W204" s="3" t="str">
        <f>IF(_xlfn.XLOOKUP($U204,GCA!$H$3:$H$593,GCA!F$3:F$593,"",0,1)="","",_xlfn.XLOOKUP($U204,GCA!$H$3:$H$593,GCA!F$3:F$593,"",0,1))</f>
        <v/>
      </c>
      <c r="X204" s="3" t="str">
        <f>IF(_xlfn.XLOOKUP($U204,GCA!$H$3:$H$593,GCA!G$3:G$593,"",0,1)="","",_xlfn.XLOOKUP($U204,GCA!$H$3:$H$593,GCA!G$3:G$593,"",0,1))</f>
        <v/>
      </c>
    </row>
    <row r="205" spans="1:24" ht="13.2">
      <c r="A205" s="49"/>
      <c r="B205" s="49"/>
      <c r="C205" s="48" t="s">
        <v>238</v>
      </c>
      <c r="D205" s="49" t="s">
        <v>533</v>
      </c>
      <c r="E205" s="50">
        <v>1</v>
      </c>
      <c r="F205" s="26" t="s">
        <v>706</v>
      </c>
      <c r="G205" s="26" t="s">
        <v>706</v>
      </c>
      <c r="H205" s="27">
        <f t="shared" ref="H205:H210" si="277">V205</f>
        <v>21571.296999999999</v>
      </c>
      <c r="I205" s="27">
        <f t="shared" ref="I205:I210" si="278">W205</f>
        <v>21937.5</v>
      </c>
      <c r="J205" s="27">
        <f t="shared" ref="J205:J210" si="279">X205</f>
        <v>21630.84</v>
      </c>
      <c r="K205" s="27">
        <f t="shared" ref="K205:K210" si="280">IFERROR(AVERAGE(H205:J205),"")</f>
        <v>21713.212333333333</v>
      </c>
      <c r="L205" s="65">
        <f>SUM(K205:K207)</f>
        <v>58350.755666666664</v>
      </c>
      <c r="M205" s="67">
        <f t="shared" ref="M205:M210" si="281">L205*$L$643/$L$642</f>
        <v>2.449216689896764</v>
      </c>
      <c r="N205" s="65">
        <f t="shared" si="193"/>
        <v>2</v>
      </c>
      <c r="O205" s="65">
        <f t="shared" ref="O205:P205" si="282">N205</f>
        <v>2</v>
      </c>
      <c r="P205" s="65">
        <f t="shared" si="282"/>
        <v>2</v>
      </c>
      <c r="Q205" s="38"/>
      <c r="R205" s="3" t="str">
        <f t="shared" si="195"/>
        <v>Ariyalur</v>
      </c>
      <c r="S205" s="3" t="str">
        <f t="shared" si="196"/>
        <v>Andimadam</v>
      </c>
      <c r="T205" s="3" t="str">
        <f t="shared" si="197"/>
        <v>Andimadam</v>
      </c>
      <c r="U205" s="3" t="str">
        <f t="shared" si="198"/>
        <v>Ariyalur_Andimadam_Andimadam</v>
      </c>
      <c r="V205" s="3">
        <f>IF(_xlfn.XLOOKUP($U205,GCA!$H$3:$H$593,GCA!E$3:E$593,"",0,1)="","",_xlfn.XLOOKUP($U205,GCA!$H$3:$H$593,GCA!E$3:E$593,"",0,1))</f>
        <v>21571.296999999999</v>
      </c>
      <c r="W205" s="3">
        <f>IF(_xlfn.XLOOKUP($U205,GCA!$H$3:$H$593,GCA!F$3:F$593,"",0,1)="","",_xlfn.XLOOKUP($U205,GCA!$H$3:$H$593,GCA!F$3:F$593,"",0,1))</f>
        <v>21937.5</v>
      </c>
      <c r="X205" s="3">
        <f>IF(_xlfn.XLOOKUP($U205,GCA!$H$3:$H$593,GCA!G$3:G$593,"",0,1)="","",_xlfn.XLOOKUP($U205,GCA!$H$3:$H$593,GCA!G$3:G$593,"",0,1))</f>
        <v>21630.84</v>
      </c>
    </row>
    <row r="206" spans="1:24" ht="13.2">
      <c r="A206" s="49"/>
      <c r="B206" s="49"/>
      <c r="C206" s="48"/>
      <c r="D206" s="49"/>
      <c r="E206" s="50"/>
      <c r="F206" s="26" t="s">
        <v>238</v>
      </c>
      <c r="G206" s="26" t="s">
        <v>238</v>
      </c>
      <c r="H206" s="27">
        <f t="shared" si="277"/>
        <v>15329.844999999999</v>
      </c>
      <c r="I206" s="27">
        <f t="shared" si="278"/>
        <v>15690.225</v>
      </c>
      <c r="J206" s="27">
        <f t="shared" si="279"/>
        <v>15423.815000000001</v>
      </c>
      <c r="K206" s="27">
        <f t="shared" si="280"/>
        <v>15481.295</v>
      </c>
      <c r="L206" s="65"/>
      <c r="M206" s="67">
        <f t="shared" si="281"/>
        <v>0</v>
      </c>
      <c r="N206" s="65" t="str">
        <f t="shared" si="193"/>
        <v/>
      </c>
      <c r="O206" s="65" t="str">
        <f t="shared" ref="O206:P206" si="283">N206</f>
        <v/>
      </c>
      <c r="P206" s="65" t="str">
        <f t="shared" si="283"/>
        <v/>
      </c>
      <c r="Q206" s="38"/>
      <c r="R206" s="3" t="str">
        <f t="shared" ref="R206:R211" si="284">R205</f>
        <v>Ariyalur</v>
      </c>
      <c r="S206" s="3" t="str">
        <f t="shared" si="196"/>
        <v>Ariyalur</v>
      </c>
      <c r="T206" s="3" t="str">
        <f t="shared" si="197"/>
        <v>Ariyalur</v>
      </c>
      <c r="U206" s="3" t="str">
        <f t="shared" si="198"/>
        <v>Ariyalur_Ariyalur_Ariyalur</v>
      </c>
      <c r="V206" s="3">
        <f>IF(_xlfn.XLOOKUP($U206,GCA!$H$3:$H$593,GCA!E$3:E$593,"",0,1)="","",_xlfn.XLOOKUP($U206,GCA!$H$3:$H$593,GCA!E$3:E$593,"",0,1))</f>
        <v>15329.844999999999</v>
      </c>
      <c r="W206" s="3">
        <f>IF(_xlfn.XLOOKUP($U206,GCA!$H$3:$H$593,GCA!F$3:F$593,"",0,1)="","",_xlfn.XLOOKUP($U206,GCA!$H$3:$H$593,GCA!F$3:F$593,"",0,1))</f>
        <v>15690.225</v>
      </c>
      <c r="X206" s="3">
        <f>IF(_xlfn.XLOOKUP($U206,GCA!$H$3:$H$593,GCA!G$3:G$593,"",0,1)="","",_xlfn.XLOOKUP($U206,GCA!$H$3:$H$593,GCA!G$3:G$593,"",0,1))</f>
        <v>15423.815000000001</v>
      </c>
    </row>
    <row r="207" spans="1:24" ht="13.2">
      <c r="A207" s="49"/>
      <c r="B207" s="49"/>
      <c r="C207" s="48"/>
      <c r="D207" s="49"/>
      <c r="E207" s="50"/>
      <c r="F207" s="26" t="s">
        <v>238</v>
      </c>
      <c r="G207" s="26" t="s">
        <v>707</v>
      </c>
      <c r="H207" s="27">
        <f t="shared" si="277"/>
        <v>21167.06</v>
      </c>
      <c r="I207" s="27">
        <f t="shared" si="278"/>
        <v>20610.330000000002</v>
      </c>
      <c r="J207" s="27">
        <f t="shared" si="279"/>
        <v>21691.355</v>
      </c>
      <c r="K207" s="27">
        <f t="shared" si="280"/>
        <v>21156.248333333333</v>
      </c>
      <c r="L207" s="65"/>
      <c r="M207" s="67">
        <f t="shared" si="281"/>
        <v>0</v>
      </c>
      <c r="N207" s="65" t="str">
        <f t="shared" si="193"/>
        <v/>
      </c>
      <c r="O207" s="65" t="str">
        <f t="shared" ref="O207:P207" si="285">N207</f>
        <v/>
      </c>
      <c r="P207" s="65" t="str">
        <f t="shared" si="285"/>
        <v/>
      </c>
      <c r="Q207" s="38"/>
      <c r="R207" s="3" t="str">
        <f t="shared" si="284"/>
        <v>Ariyalur</v>
      </c>
      <c r="S207" s="3" t="str">
        <f t="shared" si="196"/>
        <v>Ariyalur</v>
      </c>
      <c r="T207" s="3" t="str">
        <f t="shared" si="197"/>
        <v>Thirumanur</v>
      </c>
      <c r="U207" s="3" t="str">
        <f t="shared" si="198"/>
        <v>Ariyalur_Ariyalur_Thirumanur</v>
      </c>
      <c r="V207" s="3">
        <f>IF(_xlfn.XLOOKUP($U207,GCA!$H$3:$H$593,GCA!E$3:E$593,"",0,1)="","",_xlfn.XLOOKUP($U207,GCA!$H$3:$H$593,GCA!E$3:E$593,"",0,1))</f>
        <v>21167.06</v>
      </c>
      <c r="W207" s="3">
        <f>IF(_xlfn.XLOOKUP($U207,GCA!$H$3:$H$593,GCA!F$3:F$593,"",0,1)="","",_xlfn.XLOOKUP($U207,GCA!$H$3:$H$593,GCA!F$3:F$593,"",0,1))</f>
        <v>20610.330000000002</v>
      </c>
      <c r="X207" s="3">
        <f>IF(_xlfn.XLOOKUP($U207,GCA!$H$3:$H$593,GCA!G$3:G$593,"",0,1)="","",_xlfn.XLOOKUP($U207,GCA!$H$3:$H$593,GCA!G$3:G$593,"",0,1))</f>
        <v>21691.355</v>
      </c>
    </row>
    <row r="208" spans="1:24" ht="13.2">
      <c r="A208" s="49"/>
      <c r="B208" s="49"/>
      <c r="C208" s="48"/>
      <c r="D208" s="49"/>
      <c r="E208" s="50">
        <v>2</v>
      </c>
      <c r="F208" s="26" t="s">
        <v>708</v>
      </c>
      <c r="G208" s="26" t="s">
        <v>708</v>
      </c>
      <c r="H208" s="27">
        <f t="shared" si="277"/>
        <v>23545.394</v>
      </c>
      <c r="I208" s="27">
        <f t="shared" si="278"/>
        <v>23545.42</v>
      </c>
      <c r="J208" s="27">
        <f t="shared" si="279"/>
        <v>23514.965</v>
      </c>
      <c r="K208" s="27">
        <f t="shared" si="280"/>
        <v>23535.259666666665</v>
      </c>
      <c r="L208" s="65">
        <f>SUM(K208:K210)</f>
        <v>60334.224666666676</v>
      </c>
      <c r="M208" s="67">
        <f t="shared" si="281"/>
        <v>2.5324708881190507</v>
      </c>
      <c r="N208" s="65">
        <f t="shared" si="193"/>
        <v>3</v>
      </c>
      <c r="O208" s="65">
        <f t="shared" ref="O208:P208" si="286">N208</f>
        <v>3</v>
      </c>
      <c r="P208" s="65">
        <f t="shared" si="286"/>
        <v>3</v>
      </c>
      <c r="Q208" s="38"/>
      <c r="R208" s="3" t="str">
        <f t="shared" si="284"/>
        <v>Ariyalur</v>
      </c>
      <c r="S208" s="3" t="str">
        <f t="shared" si="196"/>
        <v>Sendurai</v>
      </c>
      <c r="T208" s="3" t="str">
        <f t="shared" si="197"/>
        <v>Sendurai</v>
      </c>
      <c r="U208" s="3" t="str">
        <f t="shared" si="198"/>
        <v>Ariyalur_Sendurai_Sendurai</v>
      </c>
      <c r="V208" s="3">
        <f>IF(_xlfn.XLOOKUP($U208,GCA!$H$3:$H$593,GCA!E$3:E$593,"",0,1)="","",_xlfn.XLOOKUP($U208,GCA!$H$3:$H$593,GCA!E$3:E$593,"",0,1))</f>
        <v>23545.394</v>
      </c>
      <c r="W208" s="3">
        <f>IF(_xlfn.XLOOKUP($U208,GCA!$H$3:$H$593,GCA!F$3:F$593,"",0,1)="","",_xlfn.XLOOKUP($U208,GCA!$H$3:$H$593,GCA!F$3:F$593,"",0,1))</f>
        <v>23545.42</v>
      </c>
      <c r="X208" s="3">
        <f>IF(_xlfn.XLOOKUP($U208,GCA!$H$3:$H$593,GCA!G$3:G$593,"",0,1)="","",_xlfn.XLOOKUP($U208,GCA!$H$3:$H$593,GCA!G$3:G$593,"",0,1))</f>
        <v>23514.965</v>
      </c>
    </row>
    <row r="209" spans="1:24" ht="13.2">
      <c r="A209" s="49"/>
      <c r="B209" s="49"/>
      <c r="C209" s="48"/>
      <c r="D209" s="49"/>
      <c r="E209" s="50"/>
      <c r="F209" s="26" t="s">
        <v>709</v>
      </c>
      <c r="G209" s="26" t="s">
        <v>710</v>
      </c>
      <c r="H209" s="27">
        <f t="shared" si="277"/>
        <v>18012.39</v>
      </c>
      <c r="I209" s="27">
        <f t="shared" si="278"/>
        <v>16495.535</v>
      </c>
      <c r="J209" s="27">
        <f t="shared" si="279"/>
        <v>16649.215</v>
      </c>
      <c r="K209" s="27">
        <f t="shared" si="280"/>
        <v>17052.38</v>
      </c>
      <c r="L209" s="65"/>
      <c r="M209" s="67">
        <f t="shared" si="281"/>
        <v>0</v>
      </c>
      <c r="N209" s="65" t="str">
        <f t="shared" ref="N209:N244" si="287">IF(M209&gt;=2, ROUND(M209,0), IF(M209&gt;1.1,2,""))</f>
        <v/>
      </c>
      <c r="O209" s="65" t="str">
        <f t="shared" ref="O209:P209" si="288">N209</f>
        <v/>
      </c>
      <c r="P209" s="65" t="str">
        <f t="shared" si="288"/>
        <v/>
      </c>
      <c r="Q209" s="38"/>
      <c r="R209" s="3" t="str">
        <f t="shared" si="284"/>
        <v>Ariyalur</v>
      </c>
      <c r="S209" s="3" t="str">
        <f t="shared" si="196"/>
        <v>Udayarpalayam</v>
      </c>
      <c r="T209" s="3" t="str">
        <f t="shared" si="197"/>
        <v>Jayankondam</v>
      </c>
      <c r="U209" s="3" t="str">
        <f t="shared" si="198"/>
        <v>Ariyalur_Udayarpalayam_Jayankondam</v>
      </c>
      <c r="V209" s="3">
        <f>IF(_xlfn.XLOOKUP($U209,GCA!$H$3:$H$593,GCA!E$3:E$593,"",0,1)="","",_xlfn.XLOOKUP($U209,GCA!$H$3:$H$593,GCA!E$3:E$593,"",0,1))</f>
        <v>18012.39</v>
      </c>
      <c r="W209" s="3">
        <f>IF(_xlfn.XLOOKUP($U209,GCA!$H$3:$H$593,GCA!F$3:F$593,"",0,1)="","",_xlfn.XLOOKUP($U209,GCA!$H$3:$H$593,GCA!F$3:F$593,"",0,1))</f>
        <v>16495.535</v>
      </c>
      <c r="X209" s="3">
        <f>IF(_xlfn.XLOOKUP($U209,GCA!$H$3:$H$593,GCA!G$3:G$593,"",0,1)="","",_xlfn.XLOOKUP($U209,GCA!$H$3:$H$593,GCA!G$3:G$593,"",0,1))</f>
        <v>16649.215</v>
      </c>
    </row>
    <row r="210" spans="1:24" ht="13.2">
      <c r="A210" s="49"/>
      <c r="B210" s="49"/>
      <c r="C210" s="48"/>
      <c r="D210" s="49"/>
      <c r="E210" s="50"/>
      <c r="F210" s="26" t="s">
        <v>709</v>
      </c>
      <c r="G210" s="26" t="s">
        <v>711</v>
      </c>
      <c r="H210" s="27">
        <f t="shared" si="277"/>
        <v>19559.490000000002</v>
      </c>
      <c r="I210" s="27">
        <f t="shared" si="278"/>
        <v>19847.685000000001</v>
      </c>
      <c r="J210" s="27">
        <f t="shared" si="279"/>
        <v>19832.580000000002</v>
      </c>
      <c r="K210" s="27">
        <f t="shared" si="280"/>
        <v>19746.585000000003</v>
      </c>
      <c r="L210" s="65"/>
      <c r="M210" s="67">
        <f t="shared" si="281"/>
        <v>0</v>
      </c>
      <c r="N210" s="65" t="str">
        <f t="shared" si="287"/>
        <v/>
      </c>
      <c r="O210" s="65" t="str">
        <f t="shared" ref="O210:P210" si="289">N210</f>
        <v/>
      </c>
      <c r="P210" s="65" t="str">
        <f t="shared" si="289"/>
        <v/>
      </c>
      <c r="Q210" s="38"/>
      <c r="R210" s="3" t="str">
        <f t="shared" si="284"/>
        <v>Ariyalur</v>
      </c>
      <c r="S210" s="3" t="str">
        <f t="shared" ref="S210:S251" si="290">F210</f>
        <v>Udayarpalayam</v>
      </c>
      <c r="T210" s="3" t="str">
        <f t="shared" ref="T210:T251" si="291">G210</f>
        <v>T.Palur</v>
      </c>
      <c r="U210" s="3" t="str">
        <f t="shared" ref="U210:U251" si="292">CONCATENATE(R210,"_",S210,"_",T210)</f>
        <v>Ariyalur_Udayarpalayam_T.Palur</v>
      </c>
      <c r="V210" s="3">
        <f>IF(_xlfn.XLOOKUP($U210,GCA!$H$3:$H$593,GCA!E$3:E$593,"",0,1)="","",_xlfn.XLOOKUP($U210,GCA!$H$3:$H$593,GCA!E$3:E$593,"",0,1))</f>
        <v>19559.490000000002</v>
      </c>
      <c r="W210" s="3">
        <f>IF(_xlfn.XLOOKUP($U210,GCA!$H$3:$H$593,GCA!F$3:F$593,"",0,1)="","",_xlfn.XLOOKUP($U210,GCA!$H$3:$H$593,GCA!F$3:F$593,"",0,1))</f>
        <v>19847.685000000001</v>
      </c>
      <c r="X210" s="3">
        <f>IF(_xlfn.XLOOKUP($U210,GCA!$H$3:$H$593,GCA!G$3:G$593,"",0,1)="","",_xlfn.XLOOKUP($U210,GCA!$H$3:$H$593,GCA!G$3:G$593,"",0,1))</f>
        <v>19832.580000000002</v>
      </c>
    </row>
    <row r="211" spans="1:24" ht="13.2">
      <c r="A211" s="49"/>
      <c r="B211" s="49"/>
      <c r="C211" s="48"/>
      <c r="D211" s="49"/>
      <c r="E211" s="47" t="s">
        <v>564</v>
      </c>
      <c r="F211" s="47"/>
      <c r="G211" s="47"/>
      <c r="H211" s="29">
        <f t="shared" ref="H211:P211" si="293">SUM(H205:H210)</f>
        <v>119185.47600000001</v>
      </c>
      <c r="I211" s="29">
        <f t="shared" si="293"/>
        <v>118126.69500000001</v>
      </c>
      <c r="J211" s="29">
        <f t="shared" si="293"/>
        <v>118742.76999999999</v>
      </c>
      <c r="K211" s="29">
        <f t="shared" si="293"/>
        <v>118684.98033333334</v>
      </c>
      <c r="L211" s="29">
        <f t="shared" si="293"/>
        <v>118684.98033333334</v>
      </c>
      <c r="M211" s="30">
        <f t="shared" si="293"/>
        <v>4.9816875780158147</v>
      </c>
      <c r="N211" s="31">
        <f t="shared" si="293"/>
        <v>5</v>
      </c>
      <c r="O211" s="31">
        <f t="shared" si="293"/>
        <v>5</v>
      </c>
      <c r="P211" s="31">
        <f t="shared" si="293"/>
        <v>5</v>
      </c>
      <c r="Q211" s="38"/>
      <c r="R211" s="3" t="str">
        <f t="shared" si="284"/>
        <v>Ariyalur</v>
      </c>
      <c r="S211" s="3">
        <f t="shared" si="290"/>
        <v>0</v>
      </c>
      <c r="T211" s="3">
        <f t="shared" si="291"/>
        <v>0</v>
      </c>
      <c r="U211" s="3" t="str">
        <f t="shared" si="292"/>
        <v>Ariyalur_0_0</v>
      </c>
      <c r="V211" s="3" t="str">
        <f>IF(_xlfn.XLOOKUP($U211,GCA!$H$3:$H$593,GCA!E$3:E$593,"",0,1)="","",_xlfn.XLOOKUP($U211,GCA!$H$3:$H$593,GCA!E$3:E$593,"",0,1))</f>
        <v/>
      </c>
      <c r="W211" s="3" t="str">
        <f>IF(_xlfn.XLOOKUP($U211,GCA!$H$3:$H$593,GCA!F$3:F$593,"",0,1)="","",_xlfn.XLOOKUP($U211,GCA!$H$3:$H$593,GCA!F$3:F$593,"",0,1))</f>
        <v/>
      </c>
      <c r="X211" s="3" t="str">
        <f>IF(_xlfn.XLOOKUP($U211,GCA!$H$3:$H$593,GCA!G$3:G$593,"",0,1)="","",_xlfn.XLOOKUP($U211,GCA!$H$3:$H$593,GCA!G$3:G$593,"",0,1))</f>
        <v/>
      </c>
    </row>
    <row r="212" spans="1:24" ht="13.2">
      <c r="A212" s="49"/>
      <c r="B212" s="49"/>
      <c r="C212" s="54" t="s">
        <v>521</v>
      </c>
      <c r="D212" s="54"/>
      <c r="E212" s="54"/>
      <c r="F212" s="54"/>
      <c r="G212" s="54"/>
      <c r="H212" s="32">
        <f t="shared" ref="H212:P212" si="294">SUM(H211,H204,H199,H180)</f>
        <v>490820.21299999999</v>
      </c>
      <c r="I212" s="32">
        <f t="shared" si="294"/>
        <v>455046.783</v>
      </c>
      <c r="J212" s="32">
        <f t="shared" si="294"/>
        <v>496590.85100000002</v>
      </c>
      <c r="K212" s="32">
        <f t="shared" si="294"/>
        <v>480819.28233333334</v>
      </c>
      <c r="L212" s="32">
        <f t="shared" si="294"/>
        <v>480819.28233333334</v>
      </c>
      <c r="M212" s="46">
        <f t="shared" si="294"/>
        <v>20.181925626504189</v>
      </c>
      <c r="N212" s="32">
        <f t="shared" si="294"/>
        <v>20</v>
      </c>
      <c r="O212" s="32">
        <f t="shared" si="294"/>
        <v>20</v>
      </c>
      <c r="P212" s="32">
        <f t="shared" si="294"/>
        <v>20</v>
      </c>
      <c r="Q212" s="38"/>
      <c r="R212" s="3" t="str">
        <f t="shared" ref="R212:R241" si="295">C212</f>
        <v>SRO TOTAL</v>
      </c>
      <c r="S212" s="3">
        <f t="shared" si="290"/>
        <v>0</v>
      </c>
      <c r="T212" s="3">
        <f t="shared" si="291"/>
        <v>0</v>
      </c>
      <c r="U212" s="3" t="str">
        <f t="shared" si="292"/>
        <v>SRO TOTAL_0_0</v>
      </c>
      <c r="V212" s="3" t="str">
        <f>IF(_xlfn.XLOOKUP($U212,GCA!$H$3:$H$593,GCA!E$3:E$593,"",0,1)="","",_xlfn.XLOOKUP($U212,GCA!$H$3:$H$593,GCA!E$3:E$593,"",0,1))</f>
        <v/>
      </c>
      <c r="W212" s="3" t="str">
        <f>IF(_xlfn.XLOOKUP($U212,GCA!$H$3:$H$593,GCA!F$3:F$593,"",0,1)="","",_xlfn.XLOOKUP($U212,GCA!$H$3:$H$593,GCA!F$3:F$593,"",0,1))</f>
        <v/>
      </c>
      <c r="X212" s="3" t="str">
        <f>IF(_xlfn.XLOOKUP($U212,GCA!$H$3:$H$593,GCA!G$3:G$593,"",0,1)="","",_xlfn.XLOOKUP($U212,GCA!$H$3:$H$593,GCA!G$3:G$593,"",0,1))</f>
        <v/>
      </c>
    </row>
    <row r="213" spans="1:24" ht="13.2">
      <c r="A213" s="49"/>
      <c r="B213" s="55" t="s">
        <v>522</v>
      </c>
      <c r="C213" s="55"/>
      <c r="D213" s="55"/>
      <c r="E213" s="55"/>
      <c r="F213" s="55"/>
      <c r="G213" s="55"/>
      <c r="H213" s="43">
        <f t="shared" ref="H213:P213" si="296">SUM(H212,H166,H118,H73)</f>
        <v>2234407.6680000001</v>
      </c>
      <c r="I213" s="43">
        <f t="shared" si="296"/>
        <v>2145506.6859999998</v>
      </c>
      <c r="J213" s="43">
        <f t="shared" si="296"/>
        <v>2212378.2719999999</v>
      </c>
      <c r="K213" s="43">
        <f t="shared" si="296"/>
        <v>2197430.8753333334</v>
      </c>
      <c r="L213" s="43">
        <f t="shared" si="296"/>
        <v>2197430.8753333334</v>
      </c>
      <c r="M213" s="44">
        <f t="shared" si="296"/>
        <v>92.235041573512248</v>
      </c>
      <c r="N213" s="45">
        <f t="shared" si="296"/>
        <v>92</v>
      </c>
      <c r="O213" s="45">
        <f t="shared" si="296"/>
        <v>92</v>
      </c>
      <c r="P213" s="45">
        <f t="shared" si="296"/>
        <v>92</v>
      </c>
      <c r="Q213" s="38"/>
      <c r="R213" s="3" t="str">
        <f>R212</f>
        <v>SRO TOTAL</v>
      </c>
      <c r="S213" s="3">
        <f t="shared" si="290"/>
        <v>0</v>
      </c>
      <c r="T213" s="3">
        <f t="shared" si="291"/>
        <v>0</v>
      </c>
      <c r="U213" s="3" t="str">
        <f t="shared" si="292"/>
        <v>SRO TOTAL_0_0</v>
      </c>
      <c r="V213" s="3" t="str">
        <f>IF(_xlfn.XLOOKUP($U213,GCA!$H$3:$H$593,GCA!E$3:E$593,"",0,1)="","",_xlfn.XLOOKUP($U213,GCA!$H$3:$H$593,GCA!E$3:E$593,"",0,1))</f>
        <v/>
      </c>
      <c r="W213" s="3" t="str">
        <f>IF(_xlfn.XLOOKUP($U213,GCA!$H$3:$H$593,GCA!F$3:F$593,"",0,1)="","",_xlfn.XLOOKUP($U213,GCA!$H$3:$H$593,GCA!F$3:F$593,"",0,1))</f>
        <v/>
      </c>
      <c r="X213" s="3" t="str">
        <f>IF(_xlfn.XLOOKUP($U213,GCA!$H$3:$H$593,GCA!G$3:G$593,"",0,1)="","",_xlfn.XLOOKUP($U213,GCA!$H$3:$H$593,GCA!G$3:G$593,"",0,1))</f>
        <v/>
      </c>
    </row>
    <row r="214" spans="1:24" ht="13.2">
      <c r="A214" s="49" t="s">
        <v>260</v>
      </c>
      <c r="B214" s="49" t="s">
        <v>260</v>
      </c>
      <c r="C214" s="48" t="s">
        <v>223</v>
      </c>
      <c r="D214" s="49" t="s">
        <v>537</v>
      </c>
      <c r="E214" s="50">
        <v>1</v>
      </c>
      <c r="F214" s="26" t="s">
        <v>727</v>
      </c>
      <c r="G214" s="26" t="s">
        <v>728</v>
      </c>
      <c r="H214" s="27">
        <f t="shared" ref="H214:H231" si="297">V214</f>
        <v>558.65499999999997</v>
      </c>
      <c r="I214" s="27">
        <f t="shared" ref="I214:I231" si="298">W214</f>
        <v>543.48</v>
      </c>
      <c r="J214" s="27">
        <f t="shared" ref="J214:J231" si="299">X214</f>
        <v>583.26499999999999</v>
      </c>
      <c r="K214" s="27">
        <f t="shared" ref="K214:K231" si="300">IFERROR(AVERAGE(H214:J214),"")</f>
        <v>561.80000000000007</v>
      </c>
      <c r="L214" s="65">
        <f>SUM(K214:K220)</f>
        <v>77077.921666666662</v>
      </c>
      <c r="M214" s="67">
        <f t="shared" ref="M214:M231" si="301">L214*$L$643/$L$642</f>
        <v>3.235271420424771</v>
      </c>
      <c r="N214" s="65">
        <f t="shared" si="287"/>
        <v>3</v>
      </c>
      <c r="O214" s="65">
        <f t="shared" ref="O214:P214" si="302">N214</f>
        <v>3</v>
      </c>
      <c r="P214" s="65">
        <f t="shared" si="302"/>
        <v>3</v>
      </c>
      <c r="Q214" s="38"/>
      <c r="R214" s="3" t="str">
        <f t="shared" si="295"/>
        <v>Thiruvallur</v>
      </c>
      <c r="S214" s="3" t="str">
        <f t="shared" si="290"/>
        <v>Avadi</v>
      </c>
      <c r="T214" s="3" t="str">
        <f t="shared" si="291"/>
        <v>Poonamallee</v>
      </c>
      <c r="U214" s="3" t="str">
        <f t="shared" si="292"/>
        <v>Thiruvallur_Avadi_Poonamallee</v>
      </c>
      <c r="V214" s="3">
        <f>IF(_xlfn.XLOOKUP($U214,GCA!$H$3:$H$593,GCA!E$3:E$593,"",0,1)="","",_xlfn.XLOOKUP($U214,GCA!$H$3:$H$593,GCA!E$3:E$593,"",0,1))</f>
        <v>558.65499999999997</v>
      </c>
      <c r="W214" s="3">
        <f>IF(_xlfn.XLOOKUP($U214,GCA!$H$3:$H$593,GCA!F$3:F$593,"",0,1)="","",_xlfn.XLOOKUP($U214,GCA!$H$3:$H$593,GCA!F$3:F$593,"",0,1))</f>
        <v>543.48</v>
      </c>
      <c r="X214" s="3">
        <f>IF(_xlfn.XLOOKUP($U214,GCA!$H$3:$H$593,GCA!G$3:G$593,"",0,1)="","",_xlfn.XLOOKUP($U214,GCA!$H$3:$H$593,GCA!G$3:G$593,"",0,1))</f>
        <v>583.26499999999999</v>
      </c>
    </row>
    <row r="215" spans="1:24" ht="13.2">
      <c r="A215" s="49"/>
      <c r="B215" s="49"/>
      <c r="C215" s="48"/>
      <c r="D215" s="49"/>
      <c r="E215" s="50"/>
      <c r="F215" s="26" t="s">
        <v>727</v>
      </c>
      <c r="G215" s="26" t="s">
        <v>729</v>
      </c>
      <c r="H215" s="27">
        <f t="shared" si="297"/>
        <v>2275.1770000000001</v>
      </c>
      <c r="I215" s="27">
        <f t="shared" si="298"/>
        <v>2184.15</v>
      </c>
      <c r="J215" s="27">
        <f t="shared" si="299"/>
        <v>2493.4899999999998</v>
      </c>
      <c r="K215" s="27">
        <f t="shared" si="300"/>
        <v>2317.6056666666668</v>
      </c>
      <c r="L215" s="65"/>
      <c r="M215" s="67">
        <f t="shared" si="301"/>
        <v>0</v>
      </c>
      <c r="N215" s="65" t="str">
        <f t="shared" si="287"/>
        <v/>
      </c>
      <c r="O215" s="65" t="str">
        <f t="shared" ref="O215:P215" si="303">N215</f>
        <v/>
      </c>
      <c r="P215" s="65" t="str">
        <f t="shared" si="303"/>
        <v/>
      </c>
      <c r="Q215" s="38"/>
      <c r="R215" s="3" t="str">
        <f t="shared" ref="R215:R232" si="304">R214</f>
        <v>Thiruvallur</v>
      </c>
      <c r="S215" s="3" t="str">
        <f t="shared" si="290"/>
        <v>Avadi</v>
      </c>
      <c r="T215" s="3" t="str">
        <f t="shared" si="291"/>
        <v>Villivakkam</v>
      </c>
      <c r="U215" s="3" t="str">
        <f t="shared" si="292"/>
        <v>Thiruvallur_Avadi_Villivakkam</v>
      </c>
      <c r="V215" s="3">
        <f>IF(_xlfn.XLOOKUP($U215,GCA!$H$3:$H$593,GCA!E$3:E$593,"",0,1)="","",_xlfn.XLOOKUP($U215,GCA!$H$3:$H$593,GCA!E$3:E$593,"",0,1))</f>
        <v>2275.1770000000001</v>
      </c>
      <c r="W215" s="3">
        <f>IF(_xlfn.XLOOKUP($U215,GCA!$H$3:$H$593,GCA!F$3:F$593,"",0,1)="","",_xlfn.XLOOKUP($U215,GCA!$H$3:$H$593,GCA!F$3:F$593,"",0,1))</f>
        <v>2184.15</v>
      </c>
      <c r="X215" s="3">
        <f>IF(_xlfn.XLOOKUP($U215,GCA!$H$3:$H$593,GCA!G$3:G$593,"",0,1)="","",_xlfn.XLOOKUP($U215,GCA!$H$3:$H$593,GCA!G$3:G$593,"",0,1))</f>
        <v>2493.4899999999998</v>
      </c>
    </row>
    <row r="216" spans="1:24" ht="13.2">
      <c r="A216" s="49"/>
      <c r="B216" s="49"/>
      <c r="C216" s="48"/>
      <c r="D216" s="49"/>
      <c r="E216" s="50"/>
      <c r="F216" s="26" t="s">
        <v>730</v>
      </c>
      <c r="G216" s="26" t="s">
        <v>730</v>
      </c>
      <c r="H216" s="27">
        <f t="shared" si="297"/>
        <v>26233.42</v>
      </c>
      <c r="I216" s="27">
        <f t="shared" si="298"/>
        <v>25219.361000000001</v>
      </c>
      <c r="J216" s="27">
        <f t="shared" si="299"/>
        <v>25455.412</v>
      </c>
      <c r="K216" s="27">
        <f t="shared" si="300"/>
        <v>25636.064333333332</v>
      </c>
      <c r="L216" s="65"/>
      <c r="M216" s="67">
        <f t="shared" si="301"/>
        <v>0</v>
      </c>
      <c r="N216" s="65" t="str">
        <f t="shared" si="287"/>
        <v/>
      </c>
      <c r="O216" s="65" t="str">
        <f t="shared" ref="O216:P216" si="305">N216</f>
        <v/>
      </c>
      <c r="P216" s="65" t="str">
        <f t="shared" si="305"/>
        <v/>
      </c>
      <c r="Q216" s="38"/>
      <c r="R216" s="3" t="str">
        <f t="shared" si="304"/>
        <v>Thiruvallur</v>
      </c>
      <c r="S216" s="3" t="str">
        <f t="shared" si="290"/>
        <v>Gummidipoondi</v>
      </c>
      <c r="T216" s="3" t="str">
        <f t="shared" si="291"/>
        <v>Gummidipoondi</v>
      </c>
      <c r="U216" s="3" t="str">
        <f t="shared" si="292"/>
        <v>Thiruvallur_Gummidipoondi_Gummidipoondi</v>
      </c>
      <c r="V216" s="3">
        <f>IF(_xlfn.XLOOKUP($U216,GCA!$H$3:$H$593,GCA!E$3:E$593,"",0,1)="","",_xlfn.XLOOKUP($U216,GCA!$H$3:$H$593,GCA!E$3:E$593,"",0,1))</f>
        <v>26233.42</v>
      </c>
      <c r="W216" s="3">
        <f>IF(_xlfn.XLOOKUP($U216,GCA!$H$3:$H$593,GCA!F$3:F$593,"",0,1)="","",_xlfn.XLOOKUP($U216,GCA!$H$3:$H$593,GCA!F$3:F$593,"",0,1))</f>
        <v>25219.361000000001</v>
      </c>
      <c r="X216" s="3">
        <f>IF(_xlfn.XLOOKUP($U216,GCA!$H$3:$H$593,GCA!G$3:G$593,"",0,1)="","",_xlfn.XLOOKUP($U216,GCA!$H$3:$H$593,GCA!G$3:G$593,"",0,1))</f>
        <v>25455.412</v>
      </c>
    </row>
    <row r="217" spans="1:24" ht="13.2">
      <c r="A217" s="49"/>
      <c r="B217" s="49"/>
      <c r="C217" s="48"/>
      <c r="D217" s="49"/>
      <c r="E217" s="50"/>
      <c r="F217" s="26" t="s">
        <v>731</v>
      </c>
      <c r="G217" s="26" t="s">
        <v>732</v>
      </c>
      <c r="H217" s="27">
        <f t="shared" si="297"/>
        <v>6760.625</v>
      </c>
      <c r="I217" s="27">
        <f t="shared" si="298"/>
        <v>6153.585</v>
      </c>
      <c r="J217" s="27">
        <f t="shared" si="299"/>
        <v>5948.8249999999998</v>
      </c>
      <c r="K217" s="27">
        <f t="shared" si="300"/>
        <v>6287.6783333333333</v>
      </c>
      <c r="L217" s="65"/>
      <c r="M217" s="67">
        <f t="shared" si="301"/>
        <v>0</v>
      </c>
      <c r="N217" s="65" t="str">
        <f t="shared" si="287"/>
        <v/>
      </c>
      <c r="O217" s="65" t="str">
        <f t="shared" ref="O217:P217" si="306">N217</f>
        <v/>
      </c>
      <c r="P217" s="65" t="str">
        <f t="shared" si="306"/>
        <v/>
      </c>
      <c r="Q217" s="38"/>
      <c r="R217" s="3" t="str">
        <f t="shared" si="304"/>
        <v>Thiruvallur</v>
      </c>
      <c r="S217" s="3" t="str">
        <f t="shared" si="290"/>
        <v>Pallipet</v>
      </c>
      <c r="T217" s="3" t="str">
        <f t="shared" si="291"/>
        <v>Pallipattu</v>
      </c>
      <c r="U217" s="3" t="str">
        <f t="shared" si="292"/>
        <v>Thiruvallur_Pallipet_Pallipattu</v>
      </c>
      <c r="V217" s="3">
        <f>IF(_xlfn.XLOOKUP($U217,GCA!$H$3:$H$593,GCA!E$3:E$593,"",0,1)="","",_xlfn.XLOOKUP($U217,GCA!$H$3:$H$593,GCA!E$3:E$593,"",0,1))</f>
        <v>6760.625</v>
      </c>
      <c r="W217" s="3">
        <f>IF(_xlfn.XLOOKUP($U217,GCA!$H$3:$H$593,GCA!F$3:F$593,"",0,1)="","",_xlfn.XLOOKUP($U217,GCA!$H$3:$H$593,GCA!F$3:F$593,"",0,1))</f>
        <v>6153.585</v>
      </c>
      <c r="X217" s="3">
        <f>IF(_xlfn.XLOOKUP($U217,GCA!$H$3:$H$593,GCA!G$3:G$593,"",0,1)="","",_xlfn.XLOOKUP($U217,GCA!$H$3:$H$593,GCA!G$3:G$593,"",0,1))</f>
        <v>5948.8249999999998</v>
      </c>
    </row>
    <row r="218" spans="1:24" ht="13.2">
      <c r="A218" s="49"/>
      <c r="B218" s="49"/>
      <c r="C218" s="48"/>
      <c r="D218" s="49"/>
      <c r="E218" s="50"/>
      <c r="F218" s="26" t="s">
        <v>733</v>
      </c>
      <c r="G218" s="26" t="s">
        <v>734</v>
      </c>
      <c r="H218" s="27">
        <f t="shared" si="297"/>
        <v>24446.615000000002</v>
      </c>
      <c r="I218" s="27">
        <f t="shared" si="298"/>
        <v>23998.564999999999</v>
      </c>
      <c r="J218" s="27">
        <f t="shared" si="299"/>
        <v>24371.25</v>
      </c>
      <c r="K218" s="27">
        <f t="shared" si="300"/>
        <v>24272.14333333333</v>
      </c>
      <c r="L218" s="65"/>
      <c r="M218" s="67">
        <f t="shared" si="301"/>
        <v>0</v>
      </c>
      <c r="N218" s="65" t="str">
        <f t="shared" si="287"/>
        <v/>
      </c>
      <c r="O218" s="65" t="str">
        <f t="shared" ref="O218:P218" si="307">N218</f>
        <v/>
      </c>
      <c r="P218" s="65" t="str">
        <f t="shared" si="307"/>
        <v/>
      </c>
      <c r="Q218" s="38"/>
      <c r="R218" s="3" t="str">
        <f t="shared" si="304"/>
        <v>Thiruvallur</v>
      </c>
      <c r="S218" s="3" t="str">
        <f t="shared" si="290"/>
        <v>Ponneri</v>
      </c>
      <c r="T218" s="3" t="str">
        <f t="shared" si="291"/>
        <v>Minjur</v>
      </c>
      <c r="U218" s="3" t="str">
        <f t="shared" si="292"/>
        <v>Thiruvallur_Ponneri_Minjur</v>
      </c>
      <c r="V218" s="3">
        <f>IF(_xlfn.XLOOKUP($U218,GCA!$H$3:$H$593,GCA!E$3:E$593,"",0,1)="","",_xlfn.XLOOKUP($U218,GCA!$H$3:$H$593,GCA!E$3:E$593,"",0,1))</f>
        <v>24446.615000000002</v>
      </c>
      <c r="W218" s="3">
        <f>IF(_xlfn.XLOOKUP($U218,GCA!$H$3:$H$593,GCA!F$3:F$593,"",0,1)="","",_xlfn.XLOOKUP($U218,GCA!$H$3:$H$593,GCA!F$3:F$593,"",0,1))</f>
        <v>23998.564999999999</v>
      </c>
      <c r="X218" s="3">
        <f>IF(_xlfn.XLOOKUP($U218,GCA!$H$3:$H$593,GCA!G$3:G$593,"",0,1)="","",_xlfn.XLOOKUP($U218,GCA!$H$3:$H$593,GCA!G$3:G$593,"",0,1))</f>
        <v>24371.25</v>
      </c>
    </row>
    <row r="219" spans="1:24" ht="13.2">
      <c r="A219" s="49"/>
      <c r="B219" s="49"/>
      <c r="C219" s="48"/>
      <c r="D219" s="49"/>
      <c r="E219" s="50"/>
      <c r="F219" s="26" t="s">
        <v>733</v>
      </c>
      <c r="G219" s="26" t="s">
        <v>735</v>
      </c>
      <c r="H219" s="27">
        <f t="shared" si="297"/>
        <v>85.2</v>
      </c>
      <c r="I219" s="27">
        <f t="shared" si="298"/>
        <v>113.63</v>
      </c>
      <c r="J219" s="27">
        <f t="shared" si="299"/>
        <v>119.63</v>
      </c>
      <c r="K219" s="27">
        <f t="shared" si="300"/>
        <v>106.15333333333332</v>
      </c>
      <c r="L219" s="65"/>
      <c r="M219" s="67">
        <f t="shared" si="301"/>
        <v>0</v>
      </c>
      <c r="N219" s="65" t="str">
        <f t="shared" si="287"/>
        <v/>
      </c>
      <c r="O219" s="65" t="str">
        <f t="shared" ref="O219:P219" si="308">N219</f>
        <v/>
      </c>
      <c r="P219" s="65" t="str">
        <f t="shared" si="308"/>
        <v/>
      </c>
      <c r="Q219" s="38"/>
      <c r="R219" s="3" t="str">
        <f t="shared" si="304"/>
        <v>Thiruvallur</v>
      </c>
      <c r="S219" s="3" t="str">
        <f t="shared" si="290"/>
        <v>Ponneri</v>
      </c>
      <c r="T219" s="3" t="str">
        <f t="shared" si="291"/>
        <v>Puzhal</v>
      </c>
      <c r="U219" s="3" t="str">
        <f t="shared" si="292"/>
        <v>Thiruvallur_Ponneri_Puzhal</v>
      </c>
      <c r="V219" s="3">
        <f>IF(_xlfn.XLOOKUP($U219,GCA!$H$3:$H$593,GCA!E$3:E$593,"",0,1)="","",_xlfn.XLOOKUP($U219,GCA!$H$3:$H$593,GCA!E$3:E$593,"",0,1))</f>
        <v>85.2</v>
      </c>
      <c r="W219" s="3">
        <f>IF(_xlfn.XLOOKUP($U219,GCA!$H$3:$H$593,GCA!F$3:F$593,"",0,1)="","",_xlfn.XLOOKUP($U219,GCA!$H$3:$H$593,GCA!F$3:F$593,"",0,1))</f>
        <v>113.63</v>
      </c>
      <c r="X219" s="3">
        <f>IF(_xlfn.XLOOKUP($U219,GCA!$H$3:$H$593,GCA!G$3:G$593,"",0,1)="","",_xlfn.XLOOKUP($U219,GCA!$H$3:$H$593,GCA!G$3:G$593,"",0,1))</f>
        <v>119.63</v>
      </c>
    </row>
    <row r="220" spans="1:24" ht="13.2">
      <c r="A220" s="49"/>
      <c r="B220" s="49"/>
      <c r="C220" s="48"/>
      <c r="D220" s="49"/>
      <c r="E220" s="50"/>
      <c r="F220" s="26" t="s">
        <v>733</v>
      </c>
      <c r="G220" s="26" t="s">
        <v>736</v>
      </c>
      <c r="H220" s="27">
        <f t="shared" si="297"/>
        <v>17636.490000000002</v>
      </c>
      <c r="I220" s="27">
        <f t="shared" si="298"/>
        <v>17692.7</v>
      </c>
      <c r="J220" s="27">
        <f t="shared" si="299"/>
        <v>18360.240000000002</v>
      </c>
      <c r="K220" s="27">
        <f t="shared" si="300"/>
        <v>17896.476666666669</v>
      </c>
      <c r="L220" s="65"/>
      <c r="M220" s="67">
        <f t="shared" si="301"/>
        <v>0</v>
      </c>
      <c r="N220" s="65" t="str">
        <f t="shared" si="287"/>
        <v/>
      </c>
      <c r="O220" s="65" t="str">
        <f t="shared" ref="O220:P220" si="309">N220</f>
        <v/>
      </c>
      <c r="P220" s="65" t="str">
        <f t="shared" si="309"/>
        <v/>
      </c>
      <c r="Q220" s="38"/>
      <c r="R220" s="3" t="str">
        <f t="shared" si="304"/>
        <v>Thiruvallur</v>
      </c>
      <c r="S220" s="3" t="str">
        <f t="shared" si="290"/>
        <v>Ponneri</v>
      </c>
      <c r="T220" s="3" t="str">
        <f t="shared" si="291"/>
        <v>Sholavaram</v>
      </c>
      <c r="U220" s="3" t="str">
        <f t="shared" si="292"/>
        <v>Thiruvallur_Ponneri_Sholavaram</v>
      </c>
      <c r="V220" s="3">
        <f>IF(_xlfn.XLOOKUP($U220,GCA!$H$3:$H$593,GCA!E$3:E$593,"",0,1)="","",_xlfn.XLOOKUP($U220,GCA!$H$3:$H$593,GCA!E$3:E$593,"",0,1))</f>
        <v>17636.490000000002</v>
      </c>
      <c r="W220" s="3">
        <f>IF(_xlfn.XLOOKUP($U220,GCA!$H$3:$H$593,GCA!F$3:F$593,"",0,1)="","",_xlfn.XLOOKUP($U220,GCA!$H$3:$H$593,GCA!F$3:F$593,"",0,1))</f>
        <v>17692.7</v>
      </c>
      <c r="X220" s="3">
        <f>IF(_xlfn.XLOOKUP($U220,GCA!$H$3:$H$593,GCA!G$3:G$593,"",0,1)="","",_xlfn.XLOOKUP($U220,GCA!$H$3:$H$593,GCA!G$3:G$593,"",0,1))</f>
        <v>18360.240000000002</v>
      </c>
    </row>
    <row r="221" spans="1:24" ht="13.2">
      <c r="A221" s="49"/>
      <c r="B221" s="49"/>
      <c r="C221" s="48"/>
      <c r="D221" s="49"/>
      <c r="E221" s="50">
        <v>2</v>
      </c>
      <c r="F221" s="26" t="s">
        <v>728</v>
      </c>
      <c r="G221" s="26" t="s">
        <v>728</v>
      </c>
      <c r="H221" s="27">
        <f t="shared" si="297"/>
        <v>2241.665</v>
      </c>
      <c r="I221" s="27">
        <f t="shared" si="298"/>
        <v>2052.6799999999998</v>
      </c>
      <c r="J221" s="27">
        <f t="shared" si="299"/>
        <v>2230.047</v>
      </c>
      <c r="K221" s="27">
        <f t="shared" si="300"/>
        <v>2174.7973333333334</v>
      </c>
      <c r="L221" s="65">
        <f>SUM(K221:K231)</f>
        <v>72835.33</v>
      </c>
      <c r="M221" s="67">
        <f t="shared" si="301"/>
        <v>3.0571927271893911</v>
      </c>
      <c r="N221" s="65">
        <f t="shared" si="287"/>
        <v>3</v>
      </c>
      <c r="O221" s="65">
        <f t="shared" ref="O221:P221" si="310">N221</f>
        <v>3</v>
      </c>
      <c r="P221" s="65">
        <f t="shared" si="310"/>
        <v>3</v>
      </c>
      <c r="Q221" s="38"/>
      <c r="R221" s="3" t="str">
        <f t="shared" si="304"/>
        <v>Thiruvallur</v>
      </c>
      <c r="S221" s="3" t="str">
        <f t="shared" si="290"/>
        <v>Poonamallee</v>
      </c>
      <c r="T221" s="3" t="str">
        <f t="shared" si="291"/>
        <v>Poonamallee</v>
      </c>
      <c r="U221" s="3" t="str">
        <f t="shared" si="292"/>
        <v>Thiruvallur_Poonamallee_Poonamallee</v>
      </c>
      <c r="V221" s="3">
        <f>IF(_xlfn.XLOOKUP($U221,GCA!$H$3:$H$593,GCA!E$3:E$593,"",0,1)="","",_xlfn.XLOOKUP($U221,GCA!$H$3:$H$593,GCA!E$3:E$593,"",0,1))</f>
        <v>2241.665</v>
      </c>
      <c r="W221" s="3">
        <f>IF(_xlfn.XLOOKUP($U221,GCA!$H$3:$H$593,GCA!F$3:F$593,"",0,1)="","",_xlfn.XLOOKUP($U221,GCA!$H$3:$H$593,GCA!F$3:F$593,"",0,1))</f>
        <v>2052.6799999999998</v>
      </c>
      <c r="X221" s="3">
        <f>IF(_xlfn.XLOOKUP($U221,GCA!$H$3:$H$593,GCA!G$3:G$593,"",0,1)="","",_xlfn.XLOOKUP($U221,GCA!$H$3:$H$593,GCA!G$3:G$593,"",0,1))</f>
        <v>2230.047</v>
      </c>
    </row>
    <row r="222" spans="1:24" ht="13.2">
      <c r="A222" s="49"/>
      <c r="B222" s="49"/>
      <c r="C222" s="48"/>
      <c r="D222" s="49"/>
      <c r="E222" s="50"/>
      <c r="F222" s="26" t="s">
        <v>728</v>
      </c>
      <c r="G222" s="26" t="s">
        <v>729</v>
      </c>
      <c r="H222" s="27">
        <f t="shared" si="297"/>
        <v>7.4450000000000003</v>
      </c>
      <c r="I222" s="27">
        <f t="shared" si="298"/>
        <v>9.4649999999999999</v>
      </c>
      <c r="J222" s="27">
        <f t="shared" si="299"/>
        <v>7.84</v>
      </c>
      <c r="K222" s="27">
        <f t="shared" si="300"/>
        <v>8.25</v>
      </c>
      <c r="L222" s="65"/>
      <c r="M222" s="67">
        <f t="shared" si="301"/>
        <v>0</v>
      </c>
      <c r="N222" s="65" t="str">
        <f t="shared" si="287"/>
        <v/>
      </c>
      <c r="O222" s="65" t="str">
        <f t="shared" ref="O222:P222" si="311">N222</f>
        <v/>
      </c>
      <c r="P222" s="65" t="str">
        <f t="shared" si="311"/>
        <v/>
      </c>
      <c r="Q222" s="38"/>
      <c r="R222" s="3" t="str">
        <f t="shared" si="304"/>
        <v>Thiruvallur</v>
      </c>
      <c r="S222" s="3" t="str">
        <f t="shared" si="290"/>
        <v>Poonamallee</v>
      </c>
      <c r="T222" s="3" t="str">
        <f t="shared" si="291"/>
        <v>Villivakkam</v>
      </c>
      <c r="U222" s="3" t="str">
        <f t="shared" si="292"/>
        <v>Thiruvallur_Poonamallee_Villivakkam</v>
      </c>
      <c r="V222" s="3">
        <f>IF(_xlfn.XLOOKUP($U222,GCA!$H$3:$H$593,GCA!E$3:E$593,"",0,1)="","",_xlfn.XLOOKUP($U222,GCA!$H$3:$H$593,GCA!E$3:E$593,"",0,1))</f>
        <v>7.4450000000000003</v>
      </c>
      <c r="W222" s="3">
        <f>IF(_xlfn.XLOOKUP($U222,GCA!$H$3:$H$593,GCA!F$3:F$593,"",0,1)="","",_xlfn.XLOOKUP($U222,GCA!$H$3:$H$593,GCA!F$3:F$593,"",0,1))</f>
        <v>9.4649999999999999</v>
      </c>
      <c r="X222" s="3">
        <f>IF(_xlfn.XLOOKUP($U222,GCA!$H$3:$H$593,GCA!G$3:G$593,"",0,1)="","",_xlfn.XLOOKUP($U222,GCA!$H$3:$H$593,GCA!G$3:G$593,"",0,1))</f>
        <v>7.84</v>
      </c>
    </row>
    <row r="223" spans="1:24" ht="13.2">
      <c r="A223" s="49"/>
      <c r="B223" s="49"/>
      <c r="C223" s="48"/>
      <c r="D223" s="49"/>
      <c r="E223" s="50"/>
      <c r="F223" s="26" t="s">
        <v>737</v>
      </c>
      <c r="G223" s="26" t="s">
        <v>737</v>
      </c>
      <c r="H223" s="27">
        <f t="shared" si="297"/>
        <v>4948.6899999999996</v>
      </c>
      <c r="I223" s="27">
        <f t="shared" si="298"/>
        <v>4584.3180000000002</v>
      </c>
      <c r="J223" s="27">
        <f t="shared" si="299"/>
        <v>4427.5649999999996</v>
      </c>
      <c r="K223" s="27">
        <f t="shared" si="300"/>
        <v>4653.5243333333337</v>
      </c>
      <c r="L223" s="65"/>
      <c r="M223" s="67">
        <f t="shared" si="301"/>
        <v>0</v>
      </c>
      <c r="N223" s="65" t="str">
        <f t="shared" si="287"/>
        <v/>
      </c>
      <c r="O223" s="65" t="str">
        <f t="shared" ref="O223:P223" si="312">N223</f>
        <v/>
      </c>
      <c r="P223" s="65" t="str">
        <f t="shared" si="312"/>
        <v/>
      </c>
      <c r="Q223" s="38"/>
      <c r="R223" s="3" t="str">
        <f t="shared" si="304"/>
        <v>Thiruvallur</v>
      </c>
      <c r="S223" s="3" t="str">
        <f t="shared" si="290"/>
        <v>R.K.Pet</v>
      </c>
      <c r="T223" s="3" t="str">
        <f t="shared" si="291"/>
        <v>R.K.Pet</v>
      </c>
      <c r="U223" s="3" t="str">
        <f t="shared" si="292"/>
        <v>Thiruvallur_R.K.Pet_R.K.Pet</v>
      </c>
      <c r="V223" s="3">
        <f>IF(_xlfn.XLOOKUP($U223,GCA!$H$3:$H$593,GCA!E$3:E$593,"",0,1)="","",_xlfn.XLOOKUP($U223,GCA!$H$3:$H$593,GCA!E$3:E$593,"",0,1))</f>
        <v>4948.6899999999996</v>
      </c>
      <c r="W223" s="3">
        <f>IF(_xlfn.XLOOKUP($U223,GCA!$H$3:$H$593,GCA!F$3:F$593,"",0,1)="","",_xlfn.XLOOKUP($U223,GCA!$H$3:$H$593,GCA!F$3:F$593,"",0,1))</f>
        <v>4584.3180000000002</v>
      </c>
      <c r="X223" s="3">
        <f>IF(_xlfn.XLOOKUP($U223,GCA!$H$3:$H$593,GCA!G$3:G$593,"",0,1)="","",_xlfn.XLOOKUP($U223,GCA!$H$3:$H$593,GCA!G$3:G$593,"",0,1))</f>
        <v>4427.5649999999996</v>
      </c>
    </row>
    <row r="224" spans="1:24" ht="13.2">
      <c r="A224" s="49"/>
      <c r="B224" s="49"/>
      <c r="C224" s="48"/>
      <c r="D224" s="49"/>
      <c r="E224" s="50"/>
      <c r="F224" s="26" t="s">
        <v>223</v>
      </c>
      <c r="G224" s="26" t="s">
        <v>738</v>
      </c>
      <c r="H224" s="27">
        <f t="shared" si="297"/>
        <v>2520.5349999999999</v>
      </c>
      <c r="I224" s="27">
        <f t="shared" si="298"/>
        <v>2618.58</v>
      </c>
      <c r="J224" s="27">
        <f t="shared" si="299"/>
        <v>2671.45</v>
      </c>
      <c r="K224" s="27">
        <f t="shared" si="300"/>
        <v>2603.5216666666665</v>
      </c>
      <c r="L224" s="65"/>
      <c r="M224" s="67">
        <f t="shared" si="301"/>
        <v>0</v>
      </c>
      <c r="N224" s="65" t="str">
        <f t="shared" si="287"/>
        <v/>
      </c>
      <c r="O224" s="65" t="str">
        <f t="shared" ref="O224:P224" si="313">N224</f>
        <v/>
      </c>
      <c r="P224" s="65" t="str">
        <f t="shared" si="313"/>
        <v/>
      </c>
      <c r="Q224" s="38"/>
      <c r="R224" s="3" t="str">
        <f t="shared" si="304"/>
        <v>Thiruvallur</v>
      </c>
      <c r="S224" s="3" t="str">
        <f t="shared" si="290"/>
        <v>Thiruvallur</v>
      </c>
      <c r="T224" s="3" t="str">
        <f t="shared" si="291"/>
        <v>Ellapuram</v>
      </c>
      <c r="U224" s="3" t="str">
        <f t="shared" si="292"/>
        <v>Thiruvallur_Thiruvallur_Ellapuram</v>
      </c>
      <c r="V224" s="3">
        <f>IF(_xlfn.XLOOKUP($U224,GCA!$H$3:$H$593,GCA!E$3:E$593,"",0,1)="","",_xlfn.XLOOKUP($U224,GCA!$H$3:$H$593,GCA!E$3:E$593,"",0,1))</f>
        <v>2520.5349999999999</v>
      </c>
      <c r="W224" s="3">
        <f>IF(_xlfn.XLOOKUP($U224,GCA!$H$3:$H$593,GCA!F$3:F$593,"",0,1)="","",_xlfn.XLOOKUP($U224,GCA!$H$3:$H$593,GCA!F$3:F$593,"",0,1))</f>
        <v>2618.58</v>
      </c>
      <c r="X224" s="3">
        <f>IF(_xlfn.XLOOKUP($U224,GCA!$H$3:$H$593,GCA!G$3:G$593,"",0,1)="","",_xlfn.XLOOKUP($U224,GCA!$H$3:$H$593,GCA!G$3:G$593,"",0,1))</f>
        <v>2671.45</v>
      </c>
    </row>
    <row r="225" spans="1:24" ht="13.2">
      <c r="A225" s="49"/>
      <c r="B225" s="49"/>
      <c r="C225" s="48"/>
      <c r="D225" s="49"/>
      <c r="E225" s="50"/>
      <c r="F225" s="26" t="s">
        <v>223</v>
      </c>
      <c r="G225" s="26" t="s">
        <v>739</v>
      </c>
      <c r="H225" s="27">
        <f t="shared" si="297"/>
        <v>11113.362999999999</v>
      </c>
      <c r="I225" s="27">
        <f t="shared" si="298"/>
        <v>10829.763999999999</v>
      </c>
      <c r="J225" s="27">
        <f t="shared" si="299"/>
        <v>11222.968999999999</v>
      </c>
      <c r="K225" s="27">
        <f t="shared" si="300"/>
        <v>11055.365333333333</v>
      </c>
      <c r="L225" s="65"/>
      <c r="M225" s="67">
        <f t="shared" si="301"/>
        <v>0</v>
      </c>
      <c r="N225" s="65" t="str">
        <f t="shared" si="287"/>
        <v/>
      </c>
      <c r="O225" s="65" t="str">
        <f t="shared" ref="O225:P225" si="314">N225</f>
        <v/>
      </c>
      <c r="P225" s="65" t="str">
        <f t="shared" si="314"/>
        <v/>
      </c>
      <c r="Q225" s="38"/>
      <c r="R225" s="3" t="str">
        <f t="shared" si="304"/>
        <v>Thiruvallur</v>
      </c>
      <c r="S225" s="3" t="str">
        <f t="shared" si="290"/>
        <v>Thiruvallur</v>
      </c>
      <c r="T225" s="3" t="str">
        <f t="shared" si="291"/>
        <v>Kadambathur</v>
      </c>
      <c r="U225" s="3" t="str">
        <f t="shared" si="292"/>
        <v>Thiruvallur_Thiruvallur_Kadambathur</v>
      </c>
      <c r="V225" s="3">
        <f>IF(_xlfn.XLOOKUP($U225,GCA!$H$3:$H$593,GCA!E$3:E$593,"",0,1)="","",_xlfn.XLOOKUP($U225,GCA!$H$3:$H$593,GCA!E$3:E$593,"",0,1))</f>
        <v>11113.362999999999</v>
      </c>
      <c r="W225" s="3">
        <f>IF(_xlfn.XLOOKUP($U225,GCA!$H$3:$H$593,GCA!F$3:F$593,"",0,1)="","",_xlfn.XLOOKUP($U225,GCA!$H$3:$H$593,GCA!F$3:F$593,"",0,1))</f>
        <v>10829.763999999999</v>
      </c>
      <c r="X225" s="3">
        <f>IF(_xlfn.XLOOKUP($U225,GCA!$H$3:$H$593,GCA!G$3:G$593,"",0,1)="","",_xlfn.XLOOKUP($U225,GCA!$H$3:$H$593,GCA!G$3:G$593,"",0,1))</f>
        <v>11222.968999999999</v>
      </c>
    </row>
    <row r="226" spans="1:24" ht="13.2">
      <c r="A226" s="49"/>
      <c r="B226" s="49"/>
      <c r="C226" s="48"/>
      <c r="D226" s="49"/>
      <c r="E226" s="50"/>
      <c r="F226" s="26" t="s">
        <v>223</v>
      </c>
      <c r="G226" s="26" t="s">
        <v>740</v>
      </c>
      <c r="H226" s="27">
        <f t="shared" si="297"/>
        <v>5107.0910000000003</v>
      </c>
      <c r="I226" s="27">
        <f t="shared" si="298"/>
        <v>5507.23</v>
      </c>
      <c r="J226" s="27">
        <f t="shared" si="299"/>
        <v>5498.4719999999998</v>
      </c>
      <c r="K226" s="27">
        <f t="shared" si="300"/>
        <v>5370.9309999999996</v>
      </c>
      <c r="L226" s="65"/>
      <c r="M226" s="67">
        <f t="shared" si="301"/>
        <v>0</v>
      </c>
      <c r="N226" s="65" t="str">
        <f t="shared" si="287"/>
        <v/>
      </c>
      <c r="O226" s="65" t="str">
        <f t="shared" ref="O226:P226" si="315">N226</f>
        <v/>
      </c>
      <c r="P226" s="65" t="str">
        <f t="shared" si="315"/>
        <v/>
      </c>
      <c r="Q226" s="38"/>
      <c r="R226" s="3" t="str">
        <f t="shared" si="304"/>
        <v>Thiruvallur</v>
      </c>
      <c r="S226" s="3" t="str">
        <f t="shared" si="290"/>
        <v>Thiruvallur</v>
      </c>
      <c r="T226" s="3" t="str">
        <f t="shared" si="291"/>
        <v>Poondi</v>
      </c>
      <c r="U226" s="3" t="str">
        <f t="shared" si="292"/>
        <v>Thiruvallur_Thiruvallur_Poondi</v>
      </c>
      <c r="V226" s="3">
        <f>IF(_xlfn.XLOOKUP($U226,GCA!$H$3:$H$593,GCA!E$3:E$593,"",0,1)="","",_xlfn.XLOOKUP($U226,GCA!$H$3:$H$593,GCA!E$3:E$593,"",0,1))</f>
        <v>5107.0910000000003</v>
      </c>
      <c r="W226" s="3">
        <f>IF(_xlfn.XLOOKUP($U226,GCA!$H$3:$H$593,GCA!F$3:F$593,"",0,1)="","",_xlfn.XLOOKUP($U226,GCA!$H$3:$H$593,GCA!F$3:F$593,"",0,1))</f>
        <v>5507.23</v>
      </c>
      <c r="X226" s="3">
        <f>IF(_xlfn.XLOOKUP($U226,GCA!$H$3:$H$593,GCA!G$3:G$593,"",0,1)="","",_xlfn.XLOOKUP($U226,GCA!$H$3:$H$593,GCA!G$3:G$593,"",0,1))</f>
        <v>5498.4719999999998</v>
      </c>
    </row>
    <row r="227" spans="1:24" ht="13.2">
      <c r="A227" s="49"/>
      <c r="B227" s="49"/>
      <c r="C227" s="48"/>
      <c r="D227" s="49"/>
      <c r="E227" s="50"/>
      <c r="F227" s="26" t="s">
        <v>223</v>
      </c>
      <c r="G227" s="26" t="s">
        <v>223</v>
      </c>
      <c r="H227" s="27">
        <f t="shared" si="297"/>
        <v>9076.8340000000007</v>
      </c>
      <c r="I227" s="27">
        <f t="shared" si="298"/>
        <v>8882.5969999999998</v>
      </c>
      <c r="J227" s="27">
        <f t="shared" si="299"/>
        <v>9125.59</v>
      </c>
      <c r="K227" s="27">
        <f t="shared" si="300"/>
        <v>9028.3403333333335</v>
      </c>
      <c r="L227" s="65"/>
      <c r="M227" s="67">
        <f t="shared" si="301"/>
        <v>0</v>
      </c>
      <c r="N227" s="65" t="str">
        <f t="shared" si="287"/>
        <v/>
      </c>
      <c r="O227" s="65" t="str">
        <f t="shared" ref="O227:P227" si="316">N227</f>
        <v/>
      </c>
      <c r="P227" s="65" t="str">
        <f t="shared" si="316"/>
        <v/>
      </c>
      <c r="Q227" s="38"/>
      <c r="R227" s="3" t="str">
        <f t="shared" si="304"/>
        <v>Thiruvallur</v>
      </c>
      <c r="S227" s="3" t="str">
        <f t="shared" si="290"/>
        <v>Thiruvallur</v>
      </c>
      <c r="T227" s="3" t="str">
        <f t="shared" si="291"/>
        <v>Thiruvallur</v>
      </c>
      <c r="U227" s="3" t="str">
        <f t="shared" si="292"/>
        <v>Thiruvallur_Thiruvallur_Thiruvallur</v>
      </c>
      <c r="V227" s="3">
        <f>IF(_xlfn.XLOOKUP($U227,GCA!$H$3:$H$593,GCA!E$3:E$593,"",0,1)="","",_xlfn.XLOOKUP($U227,GCA!$H$3:$H$593,GCA!E$3:E$593,"",0,1))</f>
        <v>9076.8340000000007</v>
      </c>
      <c r="W227" s="3">
        <f>IF(_xlfn.XLOOKUP($U227,GCA!$H$3:$H$593,GCA!F$3:F$593,"",0,1)="","",_xlfn.XLOOKUP($U227,GCA!$H$3:$H$593,GCA!F$3:F$593,"",0,1))</f>
        <v>8882.5969999999998</v>
      </c>
      <c r="X227" s="3">
        <f>IF(_xlfn.XLOOKUP($U227,GCA!$H$3:$H$593,GCA!G$3:G$593,"",0,1)="","",_xlfn.XLOOKUP($U227,GCA!$H$3:$H$593,GCA!G$3:G$593,"",0,1))</f>
        <v>9125.59</v>
      </c>
    </row>
    <row r="228" spans="1:24" ht="13.2">
      <c r="A228" s="49"/>
      <c r="B228" s="49"/>
      <c r="C228" s="48"/>
      <c r="D228" s="49"/>
      <c r="E228" s="50"/>
      <c r="F228" s="26" t="s">
        <v>741</v>
      </c>
      <c r="G228" s="26" t="s">
        <v>742</v>
      </c>
      <c r="H228" s="27">
        <f t="shared" si="297"/>
        <v>8601.4240000000009</v>
      </c>
      <c r="I228" s="27">
        <f t="shared" si="298"/>
        <v>8279.9539999999997</v>
      </c>
      <c r="J228" s="27">
        <f t="shared" si="299"/>
        <v>8109.49</v>
      </c>
      <c r="K228" s="27">
        <f t="shared" si="300"/>
        <v>8330.2893333333341</v>
      </c>
      <c r="L228" s="65"/>
      <c r="M228" s="67">
        <f t="shared" si="301"/>
        <v>0</v>
      </c>
      <c r="N228" s="65" t="str">
        <f t="shared" si="287"/>
        <v/>
      </c>
      <c r="O228" s="65" t="str">
        <f t="shared" ref="O228:P228" si="317">N228</f>
        <v/>
      </c>
      <c r="P228" s="65" t="str">
        <f t="shared" si="317"/>
        <v/>
      </c>
      <c r="Q228" s="38"/>
      <c r="R228" s="3" t="str">
        <f t="shared" si="304"/>
        <v>Thiruvallur</v>
      </c>
      <c r="S228" s="3" t="str">
        <f t="shared" si="290"/>
        <v>Tiruttani</v>
      </c>
      <c r="T228" s="3" t="str">
        <f t="shared" si="291"/>
        <v>Thiruvalangadu</v>
      </c>
      <c r="U228" s="3" t="str">
        <f t="shared" si="292"/>
        <v>Thiruvallur_Tiruttani_Thiruvalangadu</v>
      </c>
      <c r="V228" s="3">
        <f>IF(_xlfn.XLOOKUP($U228,GCA!$H$3:$H$593,GCA!E$3:E$593,"",0,1)="","",_xlfn.XLOOKUP($U228,GCA!$H$3:$H$593,GCA!E$3:E$593,"",0,1))</f>
        <v>8601.4240000000009</v>
      </c>
      <c r="W228" s="3">
        <f>IF(_xlfn.XLOOKUP($U228,GCA!$H$3:$H$593,GCA!F$3:F$593,"",0,1)="","",_xlfn.XLOOKUP($U228,GCA!$H$3:$H$593,GCA!F$3:F$593,"",0,1))</f>
        <v>8279.9539999999997</v>
      </c>
      <c r="X228" s="3">
        <f>IF(_xlfn.XLOOKUP($U228,GCA!$H$3:$H$593,GCA!G$3:G$593,"",0,1)="","",_xlfn.XLOOKUP($U228,GCA!$H$3:$H$593,GCA!G$3:G$593,"",0,1))</f>
        <v>8109.49</v>
      </c>
    </row>
    <row r="229" spans="1:24" ht="13.2">
      <c r="A229" s="49"/>
      <c r="B229" s="49"/>
      <c r="C229" s="48"/>
      <c r="D229" s="49"/>
      <c r="E229" s="50"/>
      <c r="F229" s="26" t="s">
        <v>741</v>
      </c>
      <c r="G229" s="26" t="s">
        <v>741</v>
      </c>
      <c r="H229" s="27">
        <f t="shared" si="297"/>
        <v>5979.5110000000004</v>
      </c>
      <c r="I229" s="27">
        <f t="shared" si="298"/>
        <v>5831.4059999999999</v>
      </c>
      <c r="J229" s="27">
        <f t="shared" si="299"/>
        <v>5447.13</v>
      </c>
      <c r="K229" s="27">
        <f t="shared" si="300"/>
        <v>5752.6823333333341</v>
      </c>
      <c r="L229" s="65"/>
      <c r="M229" s="67">
        <f t="shared" si="301"/>
        <v>0</v>
      </c>
      <c r="N229" s="65" t="str">
        <f t="shared" si="287"/>
        <v/>
      </c>
      <c r="O229" s="65" t="str">
        <f t="shared" ref="O229:P229" si="318">N229</f>
        <v/>
      </c>
      <c r="P229" s="65" t="str">
        <f t="shared" si="318"/>
        <v/>
      </c>
      <c r="Q229" s="38"/>
      <c r="R229" s="3" t="str">
        <f t="shared" si="304"/>
        <v>Thiruvallur</v>
      </c>
      <c r="S229" s="3" t="str">
        <f t="shared" si="290"/>
        <v>Tiruttani</v>
      </c>
      <c r="T229" s="3" t="str">
        <f t="shared" si="291"/>
        <v>Tiruttani</v>
      </c>
      <c r="U229" s="3" t="str">
        <f t="shared" si="292"/>
        <v>Thiruvallur_Tiruttani_Tiruttani</v>
      </c>
      <c r="V229" s="3">
        <f>IF(_xlfn.XLOOKUP($U229,GCA!$H$3:$H$593,GCA!E$3:E$593,"",0,1)="","",_xlfn.XLOOKUP($U229,GCA!$H$3:$H$593,GCA!E$3:E$593,"",0,1))</f>
        <v>5979.5110000000004</v>
      </c>
      <c r="W229" s="3">
        <f>IF(_xlfn.XLOOKUP($U229,GCA!$H$3:$H$593,GCA!F$3:F$593,"",0,1)="","",_xlfn.XLOOKUP($U229,GCA!$H$3:$H$593,GCA!F$3:F$593,"",0,1))</f>
        <v>5831.4059999999999</v>
      </c>
      <c r="X229" s="3">
        <f>IF(_xlfn.XLOOKUP($U229,GCA!$H$3:$H$593,GCA!G$3:G$593,"",0,1)="","",_xlfn.XLOOKUP($U229,GCA!$H$3:$H$593,GCA!G$3:G$593,"",0,1))</f>
        <v>5447.13</v>
      </c>
    </row>
    <row r="230" spans="1:24" ht="13.2">
      <c r="A230" s="49"/>
      <c r="B230" s="49"/>
      <c r="C230" s="48"/>
      <c r="D230" s="49"/>
      <c r="E230" s="50"/>
      <c r="F230" s="26" t="s">
        <v>743</v>
      </c>
      <c r="G230" s="26" t="s">
        <v>738</v>
      </c>
      <c r="H230" s="27">
        <f t="shared" si="297"/>
        <v>15432.775</v>
      </c>
      <c r="I230" s="27">
        <f t="shared" si="298"/>
        <v>15120.825000000001</v>
      </c>
      <c r="J230" s="27">
        <f t="shared" si="299"/>
        <v>15186.47</v>
      </c>
      <c r="K230" s="27">
        <f t="shared" si="300"/>
        <v>15246.69</v>
      </c>
      <c r="L230" s="65"/>
      <c r="M230" s="67">
        <f t="shared" si="301"/>
        <v>0</v>
      </c>
      <c r="N230" s="65" t="str">
        <f t="shared" si="287"/>
        <v/>
      </c>
      <c r="O230" s="65" t="str">
        <f t="shared" ref="O230:P230" si="319">N230</f>
        <v/>
      </c>
      <c r="P230" s="65" t="str">
        <f t="shared" si="319"/>
        <v/>
      </c>
      <c r="Q230" s="38"/>
      <c r="R230" s="3" t="str">
        <f t="shared" si="304"/>
        <v>Thiruvallur</v>
      </c>
      <c r="S230" s="3" t="str">
        <f t="shared" si="290"/>
        <v>Uthukottai</v>
      </c>
      <c r="T230" s="3" t="str">
        <f t="shared" si="291"/>
        <v>Ellapuram</v>
      </c>
      <c r="U230" s="3" t="str">
        <f t="shared" si="292"/>
        <v>Thiruvallur_Uthukottai_Ellapuram</v>
      </c>
      <c r="V230" s="3">
        <f>IF(_xlfn.XLOOKUP($U230,GCA!$H$3:$H$593,GCA!E$3:E$593,"",0,1)="","",_xlfn.XLOOKUP($U230,GCA!$H$3:$H$593,GCA!E$3:E$593,"",0,1))</f>
        <v>15432.775</v>
      </c>
      <c r="W230" s="3">
        <f>IF(_xlfn.XLOOKUP($U230,GCA!$H$3:$H$593,GCA!F$3:F$593,"",0,1)="","",_xlfn.XLOOKUP($U230,GCA!$H$3:$H$593,GCA!F$3:F$593,"",0,1))</f>
        <v>15120.825000000001</v>
      </c>
      <c r="X230" s="3">
        <f>IF(_xlfn.XLOOKUP($U230,GCA!$H$3:$H$593,GCA!G$3:G$593,"",0,1)="","",_xlfn.XLOOKUP($U230,GCA!$H$3:$H$593,GCA!G$3:G$593,"",0,1))</f>
        <v>15186.47</v>
      </c>
    </row>
    <row r="231" spans="1:24" ht="13.2">
      <c r="A231" s="49"/>
      <c r="B231" s="49"/>
      <c r="C231" s="48"/>
      <c r="D231" s="49"/>
      <c r="E231" s="50"/>
      <c r="F231" s="26" t="s">
        <v>743</v>
      </c>
      <c r="G231" s="26" t="s">
        <v>740</v>
      </c>
      <c r="H231" s="27">
        <f t="shared" si="297"/>
        <v>8534.4950000000008</v>
      </c>
      <c r="I231" s="27">
        <f t="shared" si="298"/>
        <v>8667.9599999999991</v>
      </c>
      <c r="J231" s="27">
        <f t="shared" si="299"/>
        <v>8630.36</v>
      </c>
      <c r="K231" s="27">
        <f t="shared" si="300"/>
        <v>8610.9383333333335</v>
      </c>
      <c r="L231" s="65"/>
      <c r="M231" s="67">
        <f t="shared" si="301"/>
        <v>0</v>
      </c>
      <c r="N231" s="65" t="str">
        <f t="shared" si="287"/>
        <v/>
      </c>
      <c r="O231" s="65" t="str">
        <f t="shared" ref="O231:P231" si="320">N231</f>
        <v/>
      </c>
      <c r="P231" s="65" t="str">
        <f t="shared" si="320"/>
        <v/>
      </c>
      <c r="Q231" s="38"/>
      <c r="R231" s="3" t="str">
        <f t="shared" si="304"/>
        <v>Thiruvallur</v>
      </c>
      <c r="S231" s="3" t="str">
        <f t="shared" si="290"/>
        <v>Uthukottai</v>
      </c>
      <c r="T231" s="3" t="str">
        <f t="shared" si="291"/>
        <v>Poondi</v>
      </c>
      <c r="U231" s="3" t="str">
        <f t="shared" si="292"/>
        <v>Thiruvallur_Uthukottai_Poondi</v>
      </c>
      <c r="V231" s="3">
        <f>IF(_xlfn.XLOOKUP($U231,GCA!$H$3:$H$593,GCA!E$3:E$593,"",0,1)="","",_xlfn.XLOOKUP($U231,GCA!$H$3:$H$593,GCA!E$3:E$593,"",0,1))</f>
        <v>8534.4950000000008</v>
      </c>
      <c r="W231" s="3">
        <f>IF(_xlfn.XLOOKUP($U231,GCA!$H$3:$H$593,GCA!F$3:F$593,"",0,1)="","",_xlfn.XLOOKUP($U231,GCA!$H$3:$H$593,GCA!F$3:F$593,"",0,1))</f>
        <v>8667.9599999999991</v>
      </c>
      <c r="X231" s="3">
        <f>IF(_xlfn.XLOOKUP($U231,GCA!$H$3:$H$593,GCA!G$3:G$593,"",0,1)="","",_xlfn.XLOOKUP($U231,GCA!$H$3:$H$593,GCA!G$3:G$593,"",0,1))</f>
        <v>8630.36</v>
      </c>
    </row>
    <row r="232" spans="1:24" ht="13.2">
      <c r="A232" s="49"/>
      <c r="B232" s="49"/>
      <c r="C232" s="48"/>
      <c r="D232" s="49"/>
      <c r="E232" s="47" t="s">
        <v>564</v>
      </c>
      <c r="F232" s="47"/>
      <c r="G232" s="47"/>
      <c r="H232" s="29">
        <f t="shared" ref="H232:P232" si="321">SUM(H214:H231)</f>
        <v>151560.01</v>
      </c>
      <c r="I232" s="29">
        <f t="shared" si="321"/>
        <v>148290.24999999997</v>
      </c>
      <c r="J232" s="29">
        <f t="shared" si="321"/>
        <v>149889.495</v>
      </c>
      <c r="K232" s="29">
        <f t="shared" si="321"/>
        <v>149913.25166666665</v>
      </c>
      <c r="L232" s="29">
        <f t="shared" si="321"/>
        <v>149913.25166666665</v>
      </c>
      <c r="M232" s="30">
        <f t="shared" si="321"/>
        <v>6.2924641476141616</v>
      </c>
      <c r="N232" s="31">
        <f t="shared" si="321"/>
        <v>6</v>
      </c>
      <c r="O232" s="31">
        <f t="shared" si="321"/>
        <v>6</v>
      </c>
      <c r="P232" s="31">
        <f t="shared" si="321"/>
        <v>6</v>
      </c>
      <c r="Q232" s="38"/>
      <c r="R232" s="3" t="str">
        <f t="shared" si="304"/>
        <v>Thiruvallur</v>
      </c>
      <c r="S232" s="3">
        <f t="shared" si="290"/>
        <v>0</v>
      </c>
      <c r="T232" s="3">
        <f t="shared" si="291"/>
        <v>0</v>
      </c>
      <c r="U232" s="3" t="str">
        <f t="shared" si="292"/>
        <v>Thiruvallur_0_0</v>
      </c>
      <c r="V232" s="3" t="str">
        <f>IF(_xlfn.XLOOKUP($U232,GCA!$H$3:$H$593,GCA!E$3:E$593,"",0,1)="","",_xlfn.XLOOKUP($U232,GCA!$H$3:$H$593,GCA!E$3:E$593,"",0,1))</f>
        <v/>
      </c>
      <c r="W232" s="3" t="str">
        <f>IF(_xlfn.XLOOKUP($U232,GCA!$H$3:$H$593,GCA!F$3:F$593,"",0,1)="","",_xlfn.XLOOKUP($U232,GCA!$H$3:$H$593,GCA!F$3:F$593,"",0,1))</f>
        <v/>
      </c>
      <c r="X232" s="3" t="str">
        <f>IF(_xlfn.XLOOKUP($U232,GCA!$H$3:$H$593,GCA!G$3:G$593,"",0,1)="","",_xlfn.XLOOKUP($U232,GCA!$H$3:$H$593,GCA!G$3:G$593,"",0,1))</f>
        <v/>
      </c>
    </row>
    <row r="233" spans="1:24" ht="13.2">
      <c r="A233" s="49"/>
      <c r="B233" s="49"/>
      <c r="C233" s="48" t="s">
        <v>224</v>
      </c>
      <c r="D233" s="49" t="s">
        <v>538</v>
      </c>
      <c r="E233" s="50">
        <v>1</v>
      </c>
      <c r="F233" s="26" t="s">
        <v>224</v>
      </c>
      <c r="G233" s="26" t="s">
        <v>224</v>
      </c>
      <c r="H233" s="27">
        <f t="shared" ref="H233:H239" si="322">V233</f>
        <v>9150.0589999999993</v>
      </c>
      <c r="I233" s="27">
        <f t="shared" ref="I233:I239" si="323">W233</f>
        <v>9108.18</v>
      </c>
      <c r="J233" s="27">
        <f t="shared" ref="J233:J239" si="324">X233</f>
        <v>8282.3379999999997</v>
      </c>
      <c r="K233" s="27">
        <f t="shared" ref="K233:K239" si="325">IFERROR(AVERAGE(H233:J233),"")</f>
        <v>8846.8590000000004</v>
      </c>
      <c r="L233" s="65">
        <f>SUM(K233:K239)</f>
        <v>60314.813666666676</v>
      </c>
      <c r="M233" s="67">
        <f t="shared" ref="M233:M239" si="326">L233*$L$643/$L$642</f>
        <v>2.5316561301159295</v>
      </c>
      <c r="N233" s="66">
        <v>2</v>
      </c>
      <c r="O233" s="65">
        <f t="shared" ref="O233:P233" si="327">N233</f>
        <v>2</v>
      </c>
      <c r="P233" s="65">
        <f t="shared" si="327"/>
        <v>2</v>
      </c>
      <c r="Q233" s="38"/>
      <c r="R233" s="3" t="str">
        <f t="shared" si="295"/>
        <v>Kancheepuram</v>
      </c>
      <c r="S233" s="3" t="str">
        <f t="shared" si="290"/>
        <v>Kancheepuram</v>
      </c>
      <c r="T233" s="3" t="str">
        <f t="shared" si="291"/>
        <v>Kancheepuram</v>
      </c>
      <c r="U233" s="3" t="str">
        <f t="shared" si="292"/>
        <v>Kancheepuram_Kancheepuram_Kancheepuram</v>
      </c>
      <c r="V233" s="3">
        <f>IF(_xlfn.XLOOKUP($U233,GCA!$H$3:$H$593,GCA!E$3:E$593,"",0,1)="","",_xlfn.XLOOKUP($U233,GCA!$H$3:$H$593,GCA!E$3:E$593,"",0,1))</f>
        <v>9150.0589999999993</v>
      </c>
      <c r="W233" s="3">
        <f>IF(_xlfn.XLOOKUP($U233,GCA!$H$3:$H$593,GCA!F$3:F$593,"",0,1)="","",_xlfn.XLOOKUP($U233,GCA!$H$3:$H$593,GCA!F$3:F$593,"",0,1))</f>
        <v>9108.18</v>
      </c>
      <c r="X233" s="3">
        <f>IF(_xlfn.XLOOKUP($U233,GCA!$H$3:$H$593,GCA!G$3:G$593,"",0,1)="","",_xlfn.XLOOKUP($U233,GCA!$H$3:$H$593,GCA!G$3:G$593,"",0,1))</f>
        <v>8282.3379999999997</v>
      </c>
    </row>
    <row r="234" spans="1:24" ht="13.2">
      <c r="A234" s="49"/>
      <c r="B234" s="49"/>
      <c r="C234" s="48"/>
      <c r="D234" s="49"/>
      <c r="E234" s="50"/>
      <c r="F234" s="26" t="s">
        <v>224</v>
      </c>
      <c r="G234" s="26" t="s">
        <v>744</v>
      </c>
      <c r="H234" s="27">
        <f t="shared" si="322"/>
        <v>10453.964</v>
      </c>
      <c r="I234" s="27">
        <f t="shared" si="323"/>
        <v>10944.727000000001</v>
      </c>
      <c r="J234" s="27">
        <f t="shared" si="324"/>
        <v>11010.536</v>
      </c>
      <c r="K234" s="27">
        <f t="shared" si="325"/>
        <v>10803.075666666666</v>
      </c>
      <c r="L234" s="65"/>
      <c r="M234" s="67">
        <f t="shared" si="326"/>
        <v>0</v>
      </c>
      <c r="N234" s="66" t="str">
        <f t="shared" ref="N234:N239" si="328">IF(M234&gt;=2, ROUND(M234,0), IF(M234&gt;1.1,2,""))</f>
        <v/>
      </c>
      <c r="O234" s="65" t="str">
        <f t="shared" ref="O234:P234" si="329">N234</f>
        <v/>
      </c>
      <c r="P234" s="65" t="str">
        <f t="shared" si="329"/>
        <v/>
      </c>
      <c r="Q234" s="38"/>
      <c r="R234" s="3" t="str">
        <f t="shared" ref="R234:R240" si="330">R233</f>
        <v>Kancheepuram</v>
      </c>
      <c r="S234" s="3" t="str">
        <f t="shared" si="290"/>
        <v>Kancheepuram</v>
      </c>
      <c r="T234" s="3" t="str">
        <f t="shared" si="291"/>
        <v>Walajabad</v>
      </c>
      <c r="U234" s="3" t="str">
        <f t="shared" si="292"/>
        <v>Kancheepuram_Kancheepuram_Walajabad</v>
      </c>
      <c r="V234" s="3">
        <f>IF(_xlfn.XLOOKUP($U234,GCA!$H$3:$H$593,GCA!E$3:E$593,"",0,1)="","",_xlfn.XLOOKUP($U234,GCA!$H$3:$H$593,GCA!E$3:E$593,"",0,1))</f>
        <v>10453.964</v>
      </c>
      <c r="W234" s="3">
        <f>IF(_xlfn.XLOOKUP($U234,GCA!$H$3:$H$593,GCA!F$3:F$593,"",0,1)="","",_xlfn.XLOOKUP($U234,GCA!$H$3:$H$593,GCA!F$3:F$593,"",0,1))</f>
        <v>10944.727000000001</v>
      </c>
      <c r="X234" s="3">
        <f>IF(_xlfn.XLOOKUP($U234,GCA!$H$3:$H$593,GCA!G$3:G$593,"",0,1)="","",_xlfn.XLOOKUP($U234,GCA!$H$3:$H$593,GCA!G$3:G$593,"",0,1))</f>
        <v>11010.536</v>
      </c>
    </row>
    <row r="235" spans="1:24" ht="13.2">
      <c r="A235" s="49"/>
      <c r="B235" s="49"/>
      <c r="C235" s="48"/>
      <c r="D235" s="49"/>
      <c r="E235" s="50"/>
      <c r="F235" s="26" t="s">
        <v>745</v>
      </c>
      <c r="G235" s="26" t="s">
        <v>745</v>
      </c>
      <c r="H235" s="27">
        <f t="shared" si="322"/>
        <v>3437.279</v>
      </c>
      <c r="I235" s="27">
        <f t="shared" si="323"/>
        <v>3295.2339999999999</v>
      </c>
      <c r="J235" s="27">
        <f t="shared" si="324"/>
        <v>3148.9749999999999</v>
      </c>
      <c r="K235" s="27">
        <f t="shared" si="325"/>
        <v>3293.8293333333331</v>
      </c>
      <c r="L235" s="65"/>
      <c r="M235" s="67">
        <f t="shared" si="326"/>
        <v>0</v>
      </c>
      <c r="N235" s="66" t="str">
        <f t="shared" si="328"/>
        <v/>
      </c>
      <c r="O235" s="65" t="str">
        <f t="shared" ref="O235:P235" si="331">N235</f>
        <v/>
      </c>
      <c r="P235" s="65" t="str">
        <f t="shared" si="331"/>
        <v/>
      </c>
      <c r="Q235" s="38"/>
      <c r="R235" s="3" t="str">
        <f t="shared" si="330"/>
        <v>Kancheepuram</v>
      </c>
      <c r="S235" s="3" t="str">
        <f t="shared" si="290"/>
        <v>Kundrathur</v>
      </c>
      <c r="T235" s="3" t="str">
        <f t="shared" si="291"/>
        <v>Kundrathur</v>
      </c>
      <c r="U235" s="3" t="str">
        <f t="shared" si="292"/>
        <v>Kancheepuram_Kundrathur_Kundrathur</v>
      </c>
      <c r="V235" s="3">
        <f>IF(_xlfn.XLOOKUP($U235,GCA!$H$3:$H$593,GCA!E$3:E$593,"",0,1)="","",_xlfn.XLOOKUP($U235,GCA!$H$3:$H$593,GCA!E$3:E$593,"",0,1))</f>
        <v>3437.279</v>
      </c>
      <c r="W235" s="3">
        <f>IF(_xlfn.XLOOKUP($U235,GCA!$H$3:$H$593,GCA!F$3:F$593,"",0,1)="","",_xlfn.XLOOKUP($U235,GCA!$H$3:$H$593,GCA!F$3:F$593,"",0,1))</f>
        <v>3295.2339999999999</v>
      </c>
      <c r="X235" s="3">
        <f>IF(_xlfn.XLOOKUP($U235,GCA!$H$3:$H$593,GCA!G$3:G$593,"",0,1)="","",_xlfn.XLOOKUP($U235,GCA!$H$3:$H$593,GCA!G$3:G$593,"",0,1))</f>
        <v>3148.9749999999999</v>
      </c>
    </row>
    <row r="236" spans="1:24" ht="13.2">
      <c r="A236" s="49"/>
      <c r="B236" s="49"/>
      <c r="C236" s="48"/>
      <c r="D236" s="49"/>
      <c r="E236" s="50"/>
      <c r="F236" s="26" t="s">
        <v>746</v>
      </c>
      <c r="G236" s="26" t="s">
        <v>746</v>
      </c>
      <c r="H236" s="27">
        <f t="shared" si="322"/>
        <v>9001.2080000000005</v>
      </c>
      <c r="I236" s="27">
        <f t="shared" si="323"/>
        <v>8996.1959999999999</v>
      </c>
      <c r="J236" s="27">
        <f t="shared" si="324"/>
        <v>9588.7450000000008</v>
      </c>
      <c r="K236" s="27">
        <f t="shared" si="325"/>
        <v>9195.3830000000016</v>
      </c>
      <c r="L236" s="65"/>
      <c r="M236" s="67">
        <f t="shared" si="326"/>
        <v>0</v>
      </c>
      <c r="N236" s="66" t="str">
        <f t="shared" si="328"/>
        <v/>
      </c>
      <c r="O236" s="65" t="str">
        <f t="shared" ref="O236:P236" si="332">N236</f>
        <v/>
      </c>
      <c r="P236" s="65" t="str">
        <f t="shared" si="332"/>
        <v/>
      </c>
      <c r="Q236" s="38"/>
      <c r="R236" s="3" t="str">
        <f t="shared" si="330"/>
        <v>Kancheepuram</v>
      </c>
      <c r="S236" s="3" t="str">
        <f t="shared" si="290"/>
        <v>Sriperumpudur</v>
      </c>
      <c r="T236" s="3" t="str">
        <f t="shared" si="291"/>
        <v>Sriperumpudur</v>
      </c>
      <c r="U236" s="3" t="str">
        <f t="shared" si="292"/>
        <v>Kancheepuram_Sriperumpudur_Sriperumpudur</v>
      </c>
      <c r="V236" s="3">
        <f>IF(_xlfn.XLOOKUP($U236,GCA!$H$3:$H$593,GCA!E$3:E$593,"",0,1)="","",_xlfn.XLOOKUP($U236,GCA!$H$3:$H$593,GCA!E$3:E$593,"",0,1))</f>
        <v>9001.2080000000005</v>
      </c>
      <c r="W236" s="3">
        <f>IF(_xlfn.XLOOKUP($U236,GCA!$H$3:$H$593,GCA!F$3:F$593,"",0,1)="","",_xlfn.XLOOKUP($U236,GCA!$H$3:$H$593,GCA!F$3:F$593,"",0,1))</f>
        <v>8996.1959999999999</v>
      </c>
      <c r="X236" s="3">
        <f>IF(_xlfn.XLOOKUP($U236,GCA!$H$3:$H$593,GCA!G$3:G$593,"",0,1)="","",_xlfn.XLOOKUP($U236,GCA!$H$3:$H$593,GCA!G$3:G$593,"",0,1))</f>
        <v>9588.7450000000008</v>
      </c>
    </row>
    <row r="237" spans="1:24" ht="13.2">
      <c r="A237" s="49"/>
      <c r="B237" s="49"/>
      <c r="C237" s="48"/>
      <c r="D237" s="49"/>
      <c r="E237" s="50"/>
      <c r="F237" s="26" t="s">
        <v>747</v>
      </c>
      <c r="G237" s="26" t="s">
        <v>747</v>
      </c>
      <c r="H237" s="27">
        <f t="shared" si="322"/>
        <v>18947.91</v>
      </c>
      <c r="I237" s="27">
        <f t="shared" si="323"/>
        <v>18242.976999999999</v>
      </c>
      <c r="J237" s="27">
        <f t="shared" si="324"/>
        <v>17500.435000000001</v>
      </c>
      <c r="K237" s="27">
        <f t="shared" si="325"/>
        <v>18230.440666666665</v>
      </c>
      <c r="L237" s="65"/>
      <c r="M237" s="67">
        <f t="shared" si="326"/>
        <v>0</v>
      </c>
      <c r="N237" s="66" t="str">
        <f t="shared" si="328"/>
        <v/>
      </c>
      <c r="O237" s="65" t="str">
        <f t="shared" ref="O237:P237" si="333">N237</f>
        <v/>
      </c>
      <c r="P237" s="65" t="str">
        <f t="shared" si="333"/>
        <v/>
      </c>
      <c r="Q237" s="38"/>
      <c r="R237" s="3" t="str">
        <f t="shared" si="330"/>
        <v>Kancheepuram</v>
      </c>
      <c r="S237" s="3" t="str">
        <f t="shared" si="290"/>
        <v>Uthiramerur</v>
      </c>
      <c r="T237" s="3" t="str">
        <f t="shared" si="291"/>
        <v>Uthiramerur</v>
      </c>
      <c r="U237" s="3" t="str">
        <f t="shared" si="292"/>
        <v>Kancheepuram_Uthiramerur_Uthiramerur</v>
      </c>
      <c r="V237" s="3">
        <f>IF(_xlfn.XLOOKUP($U237,GCA!$H$3:$H$593,GCA!E$3:E$593,"",0,1)="","",_xlfn.XLOOKUP($U237,GCA!$H$3:$H$593,GCA!E$3:E$593,"",0,1))</f>
        <v>18947.91</v>
      </c>
      <c r="W237" s="3">
        <f>IF(_xlfn.XLOOKUP($U237,GCA!$H$3:$H$593,GCA!F$3:F$593,"",0,1)="","",_xlfn.XLOOKUP($U237,GCA!$H$3:$H$593,GCA!F$3:F$593,"",0,1))</f>
        <v>18242.976999999999</v>
      </c>
      <c r="X237" s="3">
        <f>IF(_xlfn.XLOOKUP($U237,GCA!$H$3:$H$593,GCA!G$3:G$593,"",0,1)="","",_xlfn.XLOOKUP($U237,GCA!$H$3:$H$593,GCA!G$3:G$593,"",0,1))</f>
        <v>17500.435000000001</v>
      </c>
    </row>
    <row r="238" spans="1:24" ht="13.2">
      <c r="A238" s="49"/>
      <c r="B238" s="49"/>
      <c r="C238" s="48"/>
      <c r="D238" s="49"/>
      <c r="E238" s="50"/>
      <c r="F238" s="26" t="s">
        <v>744</v>
      </c>
      <c r="G238" s="26" t="s">
        <v>224</v>
      </c>
      <c r="H238" s="27">
        <f t="shared" si="322"/>
        <v>4239.4290000000001</v>
      </c>
      <c r="I238" s="27">
        <f t="shared" si="323"/>
        <v>4272.6750000000002</v>
      </c>
      <c r="J238" s="27">
        <f t="shared" si="324"/>
        <v>3536.25</v>
      </c>
      <c r="K238" s="27">
        <f t="shared" si="325"/>
        <v>4016.1179999999999</v>
      </c>
      <c r="L238" s="65"/>
      <c r="M238" s="67">
        <f t="shared" si="326"/>
        <v>0</v>
      </c>
      <c r="N238" s="66" t="str">
        <f t="shared" si="328"/>
        <v/>
      </c>
      <c r="O238" s="65" t="str">
        <f t="shared" ref="O238:P238" si="334">N238</f>
        <v/>
      </c>
      <c r="P238" s="65" t="str">
        <f t="shared" si="334"/>
        <v/>
      </c>
      <c r="Q238" s="38"/>
      <c r="R238" s="3" t="str">
        <f t="shared" si="330"/>
        <v>Kancheepuram</v>
      </c>
      <c r="S238" s="3" t="str">
        <f t="shared" si="290"/>
        <v>Walajabad</v>
      </c>
      <c r="T238" s="3" t="str">
        <f t="shared" si="291"/>
        <v>Kancheepuram</v>
      </c>
      <c r="U238" s="3" t="str">
        <f t="shared" si="292"/>
        <v>Kancheepuram_Walajabad_Kancheepuram</v>
      </c>
      <c r="V238" s="3">
        <f>IF(_xlfn.XLOOKUP($U238,GCA!$H$3:$H$593,GCA!E$3:E$593,"",0,1)="","",_xlfn.XLOOKUP($U238,GCA!$H$3:$H$593,GCA!E$3:E$593,"",0,1))</f>
        <v>4239.4290000000001</v>
      </c>
      <c r="W238" s="3">
        <f>IF(_xlfn.XLOOKUP($U238,GCA!$H$3:$H$593,GCA!F$3:F$593,"",0,1)="","",_xlfn.XLOOKUP($U238,GCA!$H$3:$H$593,GCA!F$3:F$593,"",0,1))</f>
        <v>4272.6750000000002</v>
      </c>
      <c r="X238" s="3">
        <f>IF(_xlfn.XLOOKUP($U238,GCA!$H$3:$H$593,GCA!G$3:G$593,"",0,1)="","",_xlfn.XLOOKUP($U238,GCA!$H$3:$H$593,GCA!G$3:G$593,"",0,1))</f>
        <v>3536.25</v>
      </c>
    </row>
    <row r="239" spans="1:24" ht="13.2">
      <c r="A239" s="49"/>
      <c r="B239" s="49"/>
      <c r="C239" s="48"/>
      <c r="D239" s="49"/>
      <c r="E239" s="50"/>
      <c r="F239" s="26" t="s">
        <v>744</v>
      </c>
      <c r="G239" s="26" t="s">
        <v>744</v>
      </c>
      <c r="H239" s="27">
        <f t="shared" si="322"/>
        <v>5865.8360000000002</v>
      </c>
      <c r="I239" s="27">
        <f t="shared" si="323"/>
        <v>5744.7269999999999</v>
      </c>
      <c r="J239" s="27">
        <f t="shared" si="324"/>
        <v>6176.7610000000004</v>
      </c>
      <c r="K239" s="27">
        <f t="shared" si="325"/>
        <v>5929.1080000000002</v>
      </c>
      <c r="L239" s="65"/>
      <c r="M239" s="67">
        <f t="shared" si="326"/>
        <v>0</v>
      </c>
      <c r="N239" s="66" t="str">
        <f t="shared" si="328"/>
        <v/>
      </c>
      <c r="O239" s="65" t="str">
        <f t="shared" ref="O239:P239" si="335">N239</f>
        <v/>
      </c>
      <c r="P239" s="65" t="str">
        <f t="shared" si="335"/>
        <v/>
      </c>
      <c r="Q239" s="38"/>
      <c r="R239" s="3" t="str">
        <f t="shared" si="330"/>
        <v>Kancheepuram</v>
      </c>
      <c r="S239" s="3" t="str">
        <f t="shared" si="290"/>
        <v>Walajabad</v>
      </c>
      <c r="T239" s="3" t="str">
        <f t="shared" si="291"/>
        <v>Walajabad</v>
      </c>
      <c r="U239" s="3" t="str">
        <f t="shared" si="292"/>
        <v>Kancheepuram_Walajabad_Walajabad</v>
      </c>
      <c r="V239" s="3">
        <f>IF(_xlfn.XLOOKUP($U239,GCA!$H$3:$H$593,GCA!E$3:E$593,"",0,1)="","",_xlfn.XLOOKUP($U239,GCA!$H$3:$H$593,GCA!E$3:E$593,"",0,1))</f>
        <v>5865.8360000000002</v>
      </c>
      <c r="W239" s="3">
        <f>IF(_xlfn.XLOOKUP($U239,GCA!$H$3:$H$593,GCA!F$3:F$593,"",0,1)="","",_xlfn.XLOOKUP($U239,GCA!$H$3:$H$593,GCA!F$3:F$593,"",0,1))</f>
        <v>5744.7269999999999</v>
      </c>
      <c r="X239" s="3">
        <f>IF(_xlfn.XLOOKUP($U239,GCA!$H$3:$H$593,GCA!G$3:G$593,"",0,1)="","",_xlfn.XLOOKUP($U239,GCA!$H$3:$H$593,GCA!G$3:G$593,"",0,1))</f>
        <v>6176.7610000000004</v>
      </c>
    </row>
    <row r="240" spans="1:24" ht="13.2">
      <c r="A240" s="49"/>
      <c r="B240" s="49"/>
      <c r="C240" s="48"/>
      <c r="D240" s="49"/>
      <c r="E240" s="47" t="s">
        <v>564</v>
      </c>
      <c r="F240" s="47"/>
      <c r="G240" s="47"/>
      <c r="H240" s="29">
        <f t="shared" ref="H240:P240" si="336">SUM(H233:H239)</f>
        <v>61095.685000000005</v>
      </c>
      <c r="I240" s="29">
        <f t="shared" si="336"/>
        <v>60604.716</v>
      </c>
      <c r="J240" s="29">
        <f t="shared" si="336"/>
        <v>59244.039999999994</v>
      </c>
      <c r="K240" s="29">
        <f t="shared" si="336"/>
        <v>60314.813666666676</v>
      </c>
      <c r="L240" s="29">
        <f t="shared" si="336"/>
        <v>60314.813666666676</v>
      </c>
      <c r="M240" s="30">
        <f t="shared" si="336"/>
        <v>2.5316561301159295</v>
      </c>
      <c r="N240" s="31">
        <f t="shared" si="336"/>
        <v>2</v>
      </c>
      <c r="O240" s="31">
        <f t="shared" si="336"/>
        <v>2</v>
      </c>
      <c r="P240" s="31">
        <f t="shared" si="336"/>
        <v>2</v>
      </c>
      <c r="Q240" s="38"/>
      <c r="R240" s="3" t="str">
        <f t="shared" si="330"/>
        <v>Kancheepuram</v>
      </c>
      <c r="S240" s="3">
        <f t="shared" si="290"/>
        <v>0</v>
      </c>
      <c r="T240" s="3">
        <f t="shared" si="291"/>
        <v>0</v>
      </c>
      <c r="U240" s="3" t="str">
        <f t="shared" si="292"/>
        <v>Kancheepuram_0_0</v>
      </c>
      <c r="V240" s="3" t="str">
        <f>IF(_xlfn.XLOOKUP($U240,GCA!$H$3:$H$593,GCA!E$3:E$593,"",0,1)="","",_xlfn.XLOOKUP($U240,GCA!$H$3:$H$593,GCA!E$3:E$593,"",0,1))</f>
        <v/>
      </c>
      <c r="W240" s="3" t="str">
        <f>IF(_xlfn.XLOOKUP($U240,GCA!$H$3:$H$593,GCA!F$3:F$593,"",0,1)="","",_xlfn.XLOOKUP($U240,GCA!$H$3:$H$593,GCA!F$3:F$593,"",0,1))</f>
        <v/>
      </c>
      <c r="X240" s="3" t="str">
        <f>IF(_xlfn.XLOOKUP($U240,GCA!$H$3:$H$593,GCA!G$3:G$593,"",0,1)="","",_xlfn.XLOOKUP($U240,GCA!$H$3:$H$593,GCA!G$3:G$593,"",0,1))</f>
        <v/>
      </c>
    </row>
    <row r="241" spans="1:24" ht="13.2">
      <c r="A241" s="49"/>
      <c r="B241" s="49"/>
      <c r="C241" s="48" t="s">
        <v>225</v>
      </c>
      <c r="D241" s="49" t="s">
        <v>543</v>
      </c>
      <c r="E241" s="56">
        <v>1</v>
      </c>
      <c r="F241" s="26" t="s">
        <v>225</v>
      </c>
      <c r="G241" s="26" t="s">
        <v>748</v>
      </c>
      <c r="H241" s="27">
        <f t="shared" ref="H241:H251" si="337">V241</f>
        <v>2424.7469999999998</v>
      </c>
      <c r="I241" s="27">
        <f t="shared" ref="I241:I251" si="338">W241</f>
        <v>2232.1709999999998</v>
      </c>
      <c r="J241" s="27">
        <f t="shared" ref="J241:J251" si="339">X241</f>
        <v>2506.056</v>
      </c>
      <c r="K241" s="27">
        <f t="shared" ref="K241:K251" si="340">IFERROR(AVERAGE(H241:J241),"")</f>
        <v>2387.6579999999999</v>
      </c>
      <c r="L241" s="62">
        <f>SUM(K241:K243)</f>
        <v>30636.542666666664</v>
      </c>
      <c r="M241" s="69">
        <f>L241*$L$643/$L$642</f>
        <v>1.2859393295363775</v>
      </c>
      <c r="N241" s="62">
        <f t="shared" si="287"/>
        <v>2</v>
      </c>
      <c r="O241" s="62">
        <f t="shared" ref="O241:P241" si="341">N241</f>
        <v>2</v>
      </c>
      <c r="P241" s="62">
        <f t="shared" si="341"/>
        <v>2</v>
      </c>
      <c r="Q241" s="38"/>
      <c r="R241" s="3" t="str">
        <f t="shared" si="295"/>
        <v>Chengalpattu</v>
      </c>
      <c r="S241" s="3" t="str">
        <f t="shared" si="290"/>
        <v>Chengalpattu</v>
      </c>
      <c r="T241" s="3" t="str">
        <f t="shared" si="291"/>
        <v>Kattankulathur</v>
      </c>
      <c r="U241" s="3" t="str">
        <f t="shared" si="292"/>
        <v>Chengalpattu_Chengalpattu_Kattankulathur</v>
      </c>
      <c r="V241" s="3">
        <f>IF(_xlfn.XLOOKUP($U241,GCA!$H$3:$H$593,GCA!E$3:E$593,"",0,1)="","",_xlfn.XLOOKUP($U241,GCA!$H$3:$H$593,GCA!E$3:E$593,"",0,1))</f>
        <v>2424.7469999999998</v>
      </c>
      <c r="W241" s="3">
        <f>IF(_xlfn.XLOOKUP($U241,GCA!$H$3:$H$593,GCA!F$3:F$593,"",0,1)="","",_xlfn.XLOOKUP($U241,GCA!$H$3:$H$593,GCA!F$3:F$593,"",0,1))</f>
        <v>2232.1709999999998</v>
      </c>
      <c r="X241" s="3">
        <f>IF(_xlfn.XLOOKUP($U241,GCA!$H$3:$H$593,GCA!G$3:G$593,"",0,1)="","",_xlfn.XLOOKUP($U241,GCA!$H$3:$H$593,GCA!G$3:G$593,"",0,1))</f>
        <v>2506.056</v>
      </c>
    </row>
    <row r="242" spans="1:24" ht="13.2">
      <c r="A242" s="49"/>
      <c r="B242" s="49"/>
      <c r="C242" s="48"/>
      <c r="D242" s="49"/>
      <c r="E242" s="57"/>
      <c r="F242" s="26" t="s">
        <v>749</v>
      </c>
      <c r="G242" s="26" t="s">
        <v>750</v>
      </c>
      <c r="H242" s="27">
        <f t="shared" si="337"/>
        <v>15569.97</v>
      </c>
      <c r="I242" s="27">
        <f t="shared" si="338"/>
        <v>15283.593000000001</v>
      </c>
      <c r="J242" s="27">
        <f t="shared" si="339"/>
        <v>15515.933000000001</v>
      </c>
      <c r="K242" s="27">
        <f t="shared" si="340"/>
        <v>15456.498666666666</v>
      </c>
      <c r="L242" s="63"/>
      <c r="M242" s="70"/>
      <c r="N242" s="63"/>
      <c r="O242" s="63"/>
      <c r="P242" s="63"/>
      <c r="Q242" s="38"/>
      <c r="R242" s="3" t="str">
        <f t="shared" ref="R242:R252" si="342">R241</f>
        <v>Chengalpattu</v>
      </c>
      <c r="S242" s="3" t="str">
        <f t="shared" si="290"/>
        <v>Cheyyur</v>
      </c>
      <c r="T242" s="3" t="str">
        <f t="shared" si="291"/>
        <v>Chithamur</v>
      </c>
      <c r="U242" s="3" t="str">
        <f t="shared" si="292"/>
        <v>Chengalpattu_Cheyyur_Chithamur</v>
      </c>
      <c r="V242" s="3">
        <f>IF(_xlfn.XLOOKUP($U242,GCA!$H$3:$H$593,GCA!E$3:E$593,"",0,1)="","",_xlfn.XLOOKUP($U242,GCA!$H$3:$H$593,GCA!E$3:E$593,"",0,1))</f>
        <v>15569.97</v>
      </c>
      <c r="W242" s="3">
        <f>IF(_xlfn.XLOOKUP($U242,GCA!$H$3:$H$593,GCA!F$3:F$593,"",0,1)="","",_xlfn.XLOOKUP($U242,GCA!$H$3:$H$593,GCA!F$3:F$593,"",0,1))</f>
        <v>15283.593000000001</v>
      </c>
      <c r="X242" s="3">
        <f>IF(_xlfn.XLOOKUP($U242,GCA!$H$3:$H$593,GCA!G$3:G$593,"",0,1)="","",_xlfn.XLOOKUP($U242,GCA!$H$3:$H$593,GCA!G$3:G$593,"",0,1))</f>
        <v>15515.933000000001</v>
      </c>
    </row>
    <row r="243" spans="1:24" ht="13.2">
      <c r="A243" s="49"/>
      <c r="B243" s="49"/>
      <c r="C243" s="48"/>
      <c r="D243" s="49"/>
      <c r="E243" s="58"/>
      <c r="F243" s="26" t="s">
        <v>749</v>
      </c>
      <c r="G243" s="26" t="s">
        <v>751</v>
      </c>
      <c r="H243" s="27">
        <f t="shared" si="337"/>
        <v>12361.23</v>
      </c>
      <c r="I243" s="27">
        <f t="shared" si="338"/>
        <v>13243.663</v>
      </c>
      <c r="J243" s="27">
        <f t="shared" si="339"/>
        <v>12772.264999999999</v>
      </c>
      <c r="K243" s="27">
        <f t="shared" si="340"/>
        <v>12792.385999999999</v>
      </c>
      <c r="L243" s="64"/>
      <c r="M243" s="71"/>
      <c r="N243" s="64"/>
      <c r="O243" s="64"/>
      <c r="P243" s="64"/>
      <c r="Q243" s="38"/>
      <c r="R243" s="3" t="str">
        <f t="shared" si="342"/>
        <v>Chengalpattu</v>
      </c>
      <c r="S243" s="3" t="str">
        <f t="shared" si="290"/>
        <v>Cheyyur</v>
      </c>
      <c r="T243" s="3" t="str">
        <f t="shared" si="291"/>
        <v>Lathur</v>
      </c>
      <c r="U243" s="3" t="str">
        <f t="shared" si="292"/>
        <v>Chengalpattu_Cheyyur_Lathur</v>
      </c>
      <c r="V243" s="3">
        <f>IF(_xlfn.XLOOKUP($U243,GCA!$H$3:$H$593,GCA!E$3:E$593,"",0,1)="","",_xlfn.XLOOKUP($U243,GCA!$H$3:$H$593,GCA!E$3:E$593,"",0,1))</f>
        <v>12361.23</v>
      </c>
      <c r="W243" s="3">
        <f>IF(_xlfn.XLOOKUP($U243,GCA!$H$3:$H$593,GCA!F$3:F$593,"",0,1)="","",_xlfn.XLOOKUP($U243,GCA!$H$3:$H$593,GCA!F$3:F$593,"",0,1))</f>
        <v>13243.663</v>
      </c>
      <c r="X243" s="3">
        <f>IF(_xlfn.XLOOKUP($U243,GCA!$H$3:$H$593,GCA!G$3:G$593,"",0,1)="","",_xlfn.XLOOKUP($U243,GCA!$H$3:$H$593,GCA!G$3:G$593,"",0,1))</f>
        <v>12772.264999999999</v>
      </c>
    </row>
    <row r="244" spans="1:24" ht="13.2">
      <c r="A244" s="49"/>
      <c r="B244" s="49"/>
      <c r="C244" s="48"/>
      <c r="D244" s="49"/>
      <c r="E244" s="56">
        <v>2</v>
      </c>
      <c r="F244" s="26" t="s">
        <v>752</v>
      </c>
      <c r="G244" s="26" t="s">
        <v>753</v>
      </c>
      <c r="H244" s="27">
        <f t="shared" si="337"/>
        <v>13125.365</v>
      </c>
      <c r="I244" s="27">
        <f t="shared" si="338"/>
        <v>12665.805</v>
      </c>
      <c r="J244" s="27">
        <f t="shared" si="339"/>
        <v>12694.155000000001</v>
      </c>
      <c r="K244" s="27">
        <f t="shared" si="340"/>
        <v>12828.441666666666</v>
      </c>
      <c r="L244" s="62">
        <f>SUM(K244:K251)</f>
        <v>53581.656999999999</v>
      </c>
      <c r="M244" s="69">
        <f>L244*$L$643/$L$642</f>
        <v>2.2490383731515533</v>
      </c>
      <c r="N244" s="62">
        <f t="shared" si="287"/>
        <v>2</v>
      </c>
      <c r="O244" s="62">
        <f t="shared" ref="O244:P244" si="343">N244</f>
        <v>2</v>
      </c>
      <c r="P244" s="62">
        <f t="shared" si="343"/>
        <v>2</v>
      </c>
      <c r="Q244" s="38"/>
      <c r="R244" s="3" t="str">
        <f t="shared" si="342"/>
        <v>Chengalpattu</v>
      </c>
      <c r="S244" s="3" t="str">
        <f t="shared" si="290"/>
        <v>Madhuranthakam</v>
      </c>
      <c r="T244" s="3" t="str">
        <f t="shared" si="291"/>
        <v>Acharappakkam</v>
      </c>
      <c r="U244" s="3" t="str">
        <f t="shared" si="292"/>
        <v>Chengalpattu_Madhuranthakam_Acharappakkam</v>
      </c>
      <c r="V244" s="3">
        <f>IF(_xlfn.XLOOKUP($U244,GCA!$H$3:$H$593,GCA!E$3:E$593,"",0,1)="","",_xlfn.XLOOKUP($U244,GCA!$H$3:$H$593,GCA!E$3:E$593,"",0,1))</f>
        <v>13125.365</v>
      </c>
      <c r="W244" s="3">
        <f>IF(_xlfn.XLOOKUP($U244,GCA!$H$3:$H$593,GCA!F$3:F$593,"",0,1)="","",_xlfn.XLOOKUP($U244,GCA!$H$3:$H$593,GCA!F$3:F$593,"",0,1))</f>
        <v>12665.805</v>
      </c>
      <c r="X244" s="3">
        <f>IF(_xlfn.XLOOKUP($U244,GCA!$H$3:$H$593,GCA!G$3:G$593,"",0,1)="","",_xlfn.XLOOKUP($U244,GCA!$H$3:$H$593,GCA!G$3:G$593,"",0,1))</f>
        <v>12694.155000000001</v>
      </c>
    </row>
    <row r="245" spans="1:24" ht="13.2">
      <c r="A245" s="49"/>
      <c r="B245" s="49"/>
      <c r="C245" s="48"/>
      <c r="D245" s="49"/>
      <c r="E245" s="57"/>
      <c r="F245" s="26" t="s">
        <v>752</v>
      </c>
      <c r="G245" s="26" t="s">
        <v>752</v>
      </c>
      <c r="H245" s="27">
        <f t="shared" si="337"/>
        <v>17723.02</v>
      </c>
      <c r="I245" s="27">
        <f t="shared" si="338"/>
        <v>17836.939999999999</v>
      </c>
      <c r="J245" s="27">
        <f t="shared" si="339"/>
        <v>16344.87</v>
      </c>
      <c r="K245" s="27">
        <f t="shared" si="340"/>
        <v>17301.61</v>
      </c>
      <c r="L245" s="63"/>
      <c r="M245" s="70"/>
      <c r="N245" s="63"/>
      <c r="O245" s="63"/>
      <c r="P245" s="63"/>
      <c r="Q245" s="38"/>
      <c r="R245" s="3" t="str">
        <f t="shared" si="342"/>
        <v>Chengalpattu</v>
      </c>
      <c r="S245" s="3" t="str">
        <f t="shared" si="290"/>
        <v>Madhuranthakam</v>
      </c>
      <c r="T245" s="3" t="str">
        <f t="shared" si="291"/>
        <v>Madhuranthakam</v>
      </c>
      <c r="U245" s="3" t="str">
        <f t="shared" si="292"/>
        <v>Chengalpattu_Madhuranthakam_Madhuranthakam</v>
      </c>
      <c r="V245" s="3">
        <f>IF(_xlfn.XLOOKUP($U245,GCA!$H$3:$H$593,GCA!E$3:E$593,"",0,1)="","",_xlfn.XLOOKUP($U245,GCA!$H$3:$H$593,GCA!E$3:E$593,"",0,1))</f>
        <v>17723.02</v>
      </c>
      <c r="W245" s="3">
        <f>IF(_xlfn.XLOOKUP($U245,GCA!$H$3:$H$593,GCA!F$3:F$593,"",0,1)="","",_xlfn.XLOOKUP($U245,GCA!$H$3:$H$593,GCA!F$3:F$593,"",0,1))</f>
        <v>17836.939999999999</v>
      </c>
      <c r="X245" s="3">
        <f>IF(_xlfn.XLOOKUP($U245,GCA!$H$3:$H$593,GCA!G$3:G$593,"",0,1)="","",_xlfn.XLOOKUP($U245,GCA!$H$3:$H$593,GCA!G$3:G$593,"",0,1))</f>
        <v>16344.87</v>
      </c>
    </row>
    <row r="246" spans="1:24" ht="13.2">
      <c r="A246" s="49"/>
      <c r="B246" s="49"/>
      <c r="C246" s="48"/>
      <c r="D246" s="49"/>
      <c r="E246" s="57"/>
      <c r="F246" s="26" t="s">
        <v>754</v>
      </c>
      <c r="G246" s="26" t="s">
        <v>755</v>
      </c>
      <c r="H246" s="27">
        <f t="shared" si="337"/>
        <v>40.697000000000003</v>
      </c>
      <c r="I246" s="27">
        <f t="shared" si="338"/>
        <v>65.903000000000006</v>
      </c>
      <c r="J246" s="27">
        <f t="shared" si="339"/>
        <v>54.177999999999997</v>
      </c>
      <c r="K246" s="27">
        <f t="shared" si="340"/>
        <v>53.592666666666673</v>
      </c>
      <c r="L246" s="63"/>
      <c r="M246" s="70"/>
      <c r="N246" s="63"/>
      <c r="O246" s="63"/>
      <c r="P246" s="63"/>
      <c r="Q246" s="38"/>
      <c r="R246" s="3" t="str">
        <f t="shared" si="342"/>
        <v>Chengalpattu</v>
      </c>
      <c r="S246" s="3" t="str">
        <f t="shared" si="290"/>
        <v>Pallavaram</v>
      </c>
      <c r="T246" s="3" t="str">
        <f t="shared" si="291"/>
        <v>Chitlapakkam</v>
      </c>
      <c r="U246" s="3" t="str">
        <f t="shared" si="292"/>
        <v>Chengalpattu_Pallavaram_Chitlapakkam</v>
      </c>
      <c r="V246" s="3">
        <f>IF(_xlfn.XLOOKUP($U246,GCA!$H$3:$H$593,GCA!E$3:E$593,"",0,1)="","",_xlfn.XLOOKUP($U246,GCA!$H$3:$H$593,GCA!E$3:E$593,"",0,1))</f>
        <v>40.697000000000003</v>
      </c>
      <c r="W246" s="3">
        <f>IF(_xlfn.XLOOKUP($U246,GCA!$H$3:$H$593,GCA!F$3:F$593,"",0,1)="","",_xlfn.XLOOKUP($U246,GCA!$H$3:$H$593,GCA!F$3:F$593,"",0,1))</f>
        <v>65.903000000000006</v>
      </c>
      <c r="X246" s="3">
        <f>IF(_xlfn.XLOOKUP($U246,GCA!$H$3:$H$593,GCA!G$3:G$593,"",0,1)="","",_xlfn.XLOOKUP($U246,GCA!$H$3:$H$593,GCA!G$3:G$593,"",0,1))</f>
        <v>54.177999999999997</v>
      </c>
    </row>
    <row r="247" spans="1:24" ht="13.2">
      <c r="A247" s="49"/>
      <c r="B247" s="49"/>
      <c r="C247" s="48"/>
      <c r="D247" s="49"/>
      <c r="E247" s="57"/>
      <c r="F247" s="26" t="s">
        <v>756</v>
      </c>
      <c r="G247" s="26" t="s">
        <v>755</v>
      </c>
      <c r="H247" s="27">
        <f t="shared" si="337"/>
        <v>587.149</v>
      </c>
      <c r="I247" s="27">
        <f t="shared" si="338"/>
        <v>551.98400000000004</v>
      </c>
      <c r="J247" s="27">
        <f t="shared" si="339"/>
        <v>573.42600000000004</v>
      </c>
      <c r="K247" s="27">
        <f t="shared" si="340"/>
        <v>570.85300000000007</v>
      </c>
      <c r="L247" s="63"/>
      <c r="M247" s="70"/>
      <c r="N247" s="63"/>
      <c r="O247" s="63"/>
      <c r="P247" s="63"/>
      <c r="Q247" s="38"/>
      <c r="R247" s="3" t="str">
        <f t="shared" si="342"/>
        <v>Chengalpattu</v>
      </c>
      <c r="S247" s="3" t="str">
        <f t="shared" si="290"/>
        <v>Tambaram</v>
      </c>
      <c r="T247" s="3" t="str">
        <f t="shared" si="291"/>
        <v>Chitlapakkam</v>
      </c>
      <c r="U247" s="3" t="str">
        <f t="shared" si="292"/>
        <v>Chengalpattu_Tambaram_Chitlapakkam</v>
      </c>
      <c r="V247" s="3">
        <f>IF(_xlfn.XLOOKUP($U247,GCA!$H$3:$H$593,GCA!E$3:E$593,"",0,1)="","",_xlfn.XLOOKUP($U247,GCA!$H$3:$H$593,GCA!E$3:E$593,"",0,1))</f>
        <v>587.149</v>
      </c>
      <c r="W247" s="3">
        <f>IF(_xlfn.XLOOKUP($U247,GCA!$H$3:$H$593,GCA!F$3:F$593,"",0,1)="","",_xlfn.XLOOKUP($U247,GCA!$H$3:$H$593,GCA!F$3:F$593,"",0,1))</f>
        <v>551.98400000000004</v>
      </c>
      <c r="X247" s="3">
        <f>IF(_xlfn.XLOOKUP($U247,GCA!$H$3:$H$593,GCA!G$3:G$593,"",0,1)="","",_xlfn.XLOOKUP($U247,GCA!$H$3:$H$593,GCA!G$3:G$593,"",0,1))</f>
        <v>573.42600000000004</v>
      </c>
    </row>
    <row r="248" spans="1:24" ht="13.2">
      <c r="A248" s="49"/>
      <c r="B248" s="49"/>
      <c r="C248" s="48"/>
      <c r="D248" s="49"/>
      <c r="E248" s="57"/>
      <c r="F248" s="26" t="s">
        <v>757</v>
      </c>
      <c r="G248" s="26" t="s">
        <v>757</v>
      </c>
      <c r="H248" s="27">
        <f t="shared" si="337"/>
        <v>15191.763999999999</v>
      </c>
      <c r="I248" s="27">
        <f t="shared" si="338"/>
        <v>14829.684999999999</v>
      </c>
      <c r="J248" s="27">
        <f t="shared" si="339"/>
        <v>14940.046</v>
      </c>
      <c r="K248" s="27">
        <f t="shared" si="340"/>
        <v>14987.165000000001</v>
      </c>
      <c r="L248" s="63"/>
      <c r="M248" s="70"/>
      <c r="N248" s="63"/>
      <c r="O248" s="63"/>
      <c r="P248" s="63"/>
      <c r="Q248" s="38"/>
      <c r="R248" s="3" t="str">
        <f t="shared" si="342"/>
        <v>Chengalpattu</v>
      </c>
      <c r="S248" s="3" t="str">
        <f t="shared" si="290"/>
        <v>Thirukazhukundram</v>
      </c>
      <c r="T248" s="3" t="str">
        <f t="shared" si="291"/>
        <v>Thirukazhukundram</v>
      </c>
      <c r="U248" s="3" t="str">
        <f t="shared" si="292"/>
        <v>Chengalpattu_Thirukazhukundram_Thirukazhukundram</v>
      </c>
      <c r="V248" s="3">
        <f>IF(_xlfn.XLOOKUP($U248,GCA!$H$3:$H$593,GCA!E$3:E$593,"",0,1)="","",_xlfn.XLOOKUP($U248,GCA!$H$3:$H$593,GCA!E$3:E$593,"",0,1))</f>
        <v>15191.763999999999</v>
      </c>
      <c r="W248" s="3">
        <f>IF(_xlfn.XLOOKUP($U248,GCA!$H$3:$H$593,GCA!F$3:F$593,"",0,1)="","",_xlfn.XLOOKUP($U248,GCA!$H$3:$H$593,GCA!F$3:F$593,"",0,1))</f>
        <v>14829.684999999999</v>
      </c>
      <c r="X248" s="3">
        <f>IF(_xlfn.XLOOKUP($U248,GCA!$H$3:$H$593,GCA!G$3:G$593,"",0,1)="","",_xlfn.XLOOKUP($U248,GCA!$H$3:$H$593,GCA!G$3:G$593,"",0,1))</f>
        <v>14940.046</v>
      </c>
    </row>
    <row r="249" spans="1:24" ht="13.2">
      <c r="A249" s="49"/>
      <c r="B249" s="49"/>
      <c r="C249" s="48"/>
      <c r="D249" s="49"/>
      <c r="E249" s="57"/>
      <c r="F249" s="26" t="s">
        <v>758</v>
      </c>
      <c r="G249" s="26" t="s">
        <v>758</v>
      </c>
      <c r="H249" s="27">
        <f t="shared" si="337"/>
        <v>6474.1949999999997</v>
      </c>
      <c r="I249" s="27">
        <f t="shared" si="338"/>
        <v>6552.0950000000003</v>
      </c>
      <c r="J249" s="27">
        <f t="shared" si="339"/>
        <v>7095.48</v>
      </c>
      <c r="K249" s="27">
        <f t="shared" si="340"/>
        <v>6707.2566666666671</v>
      </c>
      <c r="L249" s="63"/>
      <c r="M249" s="70"/>
      <c r="N249" s="63"/>
      <c r="O249" s="63"/>
      <c r="P249" s="63"/>
      <c r="Q249" s="38"/>
      <c r="R249" s="3" t="str">
        <f t="shared" si="342"/>
        <v>Chengalpattu</v>
      </c>
      <c r="S249" s="3" t="str">
        <f t="shared" si="290"/>
        <v>Thiruporur</v>
      </c>
      <c r="T249" s="3" t="str">
        <f t="shared" si="291"/>
        <v>Thiruporur</v>
      </c>
      <c r="U249" s="3" t="str">
        <f t="shared" si="292"/>
        <v>Chengalpattu_Thiruporur_Thiruporur</v>
      </c>
      <c r="V249" s="3">
        <f>IF(_xlfn.XLOOKUP($U249,GCA!$H$3:$H$593,GCA!E$3:E$593,"",0,1)="","",_xlfn.XLOOKUP($U249,GCA!$H$3:$H$593,GCA!E$3:E$593,"",0,1))</f>
        <v>6474.1949999999997</v>
      </c>
      <c r="W249" s="3">
        <f>IF(_xlfn.XLOOKUP($U249,GCA!$H$3:$H$593,GCA!F$3:F$593,"",0,1)="","",_xlfn.XLOOKUP($U249,GCA!$H$3:$H$593,GCA!F$3:F$593,"",0,1))</f>
        <v>6552.0950000000003</v>
      </c>
      <c r="X249" s="3">
        <f>IF(_xlfn.XLOOKUP($U249,GCA!$H$3:$H$593,GCA!G$3:G$593,"",0,1)="","",_xlfn.XLOOKUP($U249,GCA!$H$3:$H$593,GCA!G$3:G$593,"",0,1))</f>
        <v>7095.48</v>
      </c>
    </row>
    <row r="250" spans="1:24" ht="13.2">
      <c r="A250" s="49"/>
      <c r="B250" s="49"/>
      <c r="C250" s="48"/>
      <c r="D250" s="49"/>
      <c r="E250" s="57"/>
      <c r="F250" s="26" t="s">
        <v>759</v>
      </c>
      <c r="G250" s="26" t="s">
        <v>748</v>
      </c>
      <c r="H250" s="27">
        <f t="shared" si="337"/>
        <v>773.68100000000004</v>
      </c>
      <c r="I250" s="27">
        <f t="shared" si="338"/>
        <v>688.26199999999994</v>
      </c>
      <c r="J250" s="27">
        <f t="shared" si="339"/>
        <v>728.22500000000002</v>
      </c>
      <c r="K250" s="27">
        <f t="shared" si="340"/>
        <v>730.05600000000004</v>
      </c>
      <c r="L250" s="63"/>
      <c r="M250" s="70"/>
      <c r="N250" s="63"/>
      <c r="O250" s="63"/>
      <c r="P250" s="63"/>
      <c r="Q250" s="38"/>
      <c r="R250" s="3" t="str">
        <f t="shared" si="342"/>
        <v>Chengalpattu</v>
      </c>
      <c r="S250" s="3" t="str">
        <f t="shared" si="290"/>
        <v>Vandalur</v>
      </c>
      <c r="T250" s="3" t="str">
        <f t="shared" si="291"/>
        <v>Kattankulathur</v>
      </c>
      <c r="U250" s="3" t="str">
        <f t="shared" si="292"/>
        <v>Chengalpattu_Vandalur_Kattankulathur</v>
      </c>
      <c r="V250" s="3">
        <f>IF(_xlfn.XLOOKUP($U250,GCA!$H$3:$H$593,GCA!E$3:E$593,"",0,1)="","",_xlfn.XLOOKUP($U250,GCA!$H$3:$H$593,GCA!E$3:E$593,"",0,1))</f>
        <v>773.68100000000004</v>
      </c>
      <c r="W250" s="3">
        <f>IF(_xlfn.XLOOKUP($U250,GCA!$H$3:$H$593,GCA!F$3:F$593,"",0,1)="","",_xlfn.XLOOKUP($U250,GCA!$H$3:$H$593,GCA!F$3:F$593,"",0,1))</f>
        <v>688.26199999999994</v>
      </c>
      <c r="X250" s="3">
        <f>IF(_xlfn.XLOOKUP($U250,GCA!$H$3:$H$593,GCA!G$3:G$593,"",0,1)="","",_xlfn.XLOOKUP($U250,GCA!$H$3:$H$593,GCA!G$3:G$593,"",0,1))</f>
        <v>728.22500000000002</v>
      </c>
    </row>
    <row r="251" spans="1:24" ht="13.2">
      <c r="A251" s="49"/>
      <c r="B251" s="49"/>
      <c r="C251" s="48"/>
      <c r="D251" s="49"/>
      <c r="E251" s="58"/>
      <c r="F251" s="26" t="s">
        <v>759</v>
      </c>
      <c r="G251" s="26" t="s">
        <v>758</v>
      </c>
      <c r="H251" s="27">
        <f t="shared" si="337"/>
        <v>287.375</v>
      </c>
      <c r="I251" s="27">
        <f t="shared" si="338"/>
        <v>430.35199999999998</v>
      </c>
      <c r="J251" s="27">
        <f t="shared" si="339"/>
        <v>490.31900000000002</v>
      </c>
      <c r="K251" s="27">
        <f t="shared" si="340"/>
        <v>402.68200000000002</v>
      </c>
      <c r="L251" s="64"/>
      <c r="M251" s="71"/>
      <c r="N251" s="64"/>
      <c r="O251" s="64"/>
      <c r="P251" s="64"/>
      <c r="Q251" s="38"/>
      <c r="R251" s="3" t="str">
        <f t="shared" si="342"/>
        <v>Chengalpattu</v>
      </c>
      <c r="S251" s="3" t="str">
        <f t="shared" si="290"/>
        <v>Vandalur</v>
      </c>
      <c r="T251" s="3" t="str">
        <f t="shared" si="291"/>
        <v>Thiruporur</v>
      </c>
      <c r="U251" s="3" t="str">
        <f t="shared" si="292"/>
        <v>Chengalpattu_Vandalur_Thiruporur</v>
      </c>
      <c r="V251" s="3">
        <f>IF(_xlfn.XLOOKUP($U251,GCA!$H$3:$H$593,GCA!E$3:E$593,"",0,1)="","",_xlfn.XLOOKUP($U251,GCA!$H$3:$H$593,GCA!E$3:E$593,"",0,1))</f>
        <v>287.375</v>
      </c>
      <c r="W251" s="3">
        <f>IF(_xlfn.XLOOKUP($U251,GCA!$H$3:$H$593,GCA!F$3:F$593,"",0,1)="","",_xlfn.XLOOKUP($U251,GCA!$H$3:$H$593,GCA!F$3:F$593,"",0,1))</f>
        <v>430.35199999999998</v>
      </c>
      <c r="X251" s="3">
        <f>IF(_xlfn.XLOOKUP($U251,GCA!$H$3:$H$593,GCA!G$3:G$593,"",0,1)="","",_xlfn.XLOOKUP($U251,GCA!$H$3:$H$593,GCA!G$3:G$593,"",0,1))</f>
        <v>490.31900000000002</v>
      </c>
    </row>
    <row r="252" spans="1:24" ht="13.2">
      <c r="A252" s="49"/>
      <c r="B252" s="49"/>
      <c r="C252" s="48"/>
      <c r="D252" s="49"/>
      <c r="E252" s="47" t="s">
        <v>564</v>
      </c>
      <c r="F252" s="47"/>
      <c r="G252" s="47"/>
      <c r="H252" s="29">
        <f t="shared" ref="H252" si="344">SUM(H241:H251)</f>
        <v>84559.192999999985</v>
      </c>
      <c r="I252" s="29">
        <f t="shared" ref="I252:P252" si="345">SUM(I241:I251)</f>
        <v>84380.453000000009</v>
      </c>
      <c r="J252" s="29">
        <f t="shared" si="345"/>
        <v>83714.953000000009</v>
      </c>
      <c r="K252" s="29">
        <f t="shared" si="345"/>
        <v>84218.199666666653</v>
      </c>
      <c r="L252" s="29">
        <f t="shared" si="345"/>
        <v>84218.199666666667</v>
      </c>
      <c r="M252" s="30">
        <f t="shared" si="345"/>
        <v>3.5349777026879305</v>
      </c>
      <c r="N252" s="31">
        <f t="shared" si="345"/>
        <v>4</v>
      </c>
      <c r="O252" s="31">
        <f t="shared" si="345"/>
        <v>4</v>
      </c>
      <c r="P252" s="31">
        <f t="shared" si="345"/>
        <v>4</v>
      </c>
      <c r="Q252" s="38"/>
      <c r="R252" s="3" t="str">
        <f t="shared" si="342"/>
        <v>Chengalpattu</v>
      </c>
      <c r="S252" s="3">
        <f t="shared" ref="S252:S323" si="346">F252</f>
        <v>0</v>
      </c>
      <c r="T252" s="3">
        <f t="shared" ref="T252:T323" si="347">G252</f>
        <v>0</v>
      </c>
      <c r="U252" s="3" t="str">
        <f t="shared" ref="U252:U323" si="348">CONCATENATE(R252,"_",S252,"_",T252)</f>
        <v>Chengalpattu_0_0</v>
      </c>
      <c r="V252" s="3" t="str">
        <f>IF(_xlfn.XLOOKUP($U252,GCA!$H$3:$H$593,GCA!E$3:E$593,"",0,1)="","",_xlfn.XLOOKUP($U252,GCA!$H$3:$H$593,GCA!E$3:E$593,"",0,1))</f>
        <v/>
      </c>
      <c r="W252" s="3" t="str">
        <f>IF(_xlfn.XLOOKUP($U252,GCA!$H$3:$H$593,GCA!F$3:F$593,"",0,1)="","",_xlfn.XLOOKUP($U252,GCA!$H$3:$H$593,GCA!F$3:F$593,"",0,1))</f>
        <v/>
      </c>
      <c r="X252" s="3" t="str">
        <f>IF(_xlfn.XLOOKUP($U252,GCA!$H$3:$H$593,GCA!G$3:G$593,"",0,1)="","",_xlfn.XLOOKUP($U252,GCA!$H$3:$H$593,GCA!G$3:G$593,"",0,1))</f>
        <v/>
      </c>
    </row>
    <row r="253" spans="1:24" ht="13.2">
      <c r="A253" s="49"/>
      <c r="B253" s="49"/>
      <c r="C253" s="54" t="s">
        <v>521</v>
      </c>
      <c r="D253" s="54"/>
      <c r="E253" s="54"/>
      <c r="F253" s="54"/>
      <c r="G253" s="54"/>
      <c r="H253" s="32">
        <f t="shared" ref="H253" si="349">SUM(H252,H240,H232)</f>
        <v>297214.88800000004</v>
      </c>
      <c r="I253" s="32">
        <f t="shared" ref="I253:P253" si="350">SUM(I252,I240,I232)</f>
        <v>293275.41899999999</v>
      </c>
      <c r="J253" s="32">
        <f t="shared" si="350"/>
        <v>292848.48800000001</v>
      </c>
      <c r="K253" s="32">
        <f t="shared" si="350"/>
        <v>294446.26500000001</v>
      </c>
      <c r="L253" s="32">
        <f t="shared" si="350"/>
        <v>294446.26500000001</v>
      </c>
      <c r="M253" s="33">
        <f t="shared" si="350"/>
        <v>12.359097980418021</v>
      </c>
      <c r="N253" s="34">
        <f t="shared" si="350"/>
        <v>12</v>
      </c>
      <c r="O253" s="34">
        <f t="shared" si="350"/>
        <v>12</v>
      </c>
      <c r="P253" s="34">
        <f t="shared" si="350"/>
        <v>12</v>
      </c>
      <c r="Q253" s="38"/>
      <c r="R253" s="3" t="str">
        <f t="shared" ref="R253:R323" si="351">C253</f>
        <v>SRO TOTAL</v>
      </c>
      <c r="S253" s="3">
        <f t="shared" si="346"/>
        <v>0</v>
      </c>
      <c r="T253" s="3">
        <f t="shared" si="347"/>
        <v>0</v>
      </c>
      <c r="U253" s="3" t="str">
        <f t="shared" si="348"/>
        <v>SRO TOTAL_0_0</v>
      </c>
      <c r="V253" s="3" t="str">
        <f>IF(_xlfn.XLOOKUP($U253,GCA!$H$3:$H$593,GCA!E$3:E$593,"",0,1)="","",_xlfn.XLOOKUP($U253,GCA!$H$3:$H$593,GCA!E$3:E$593,"",0,1))</f>
        <v/>
      </c>
      <c r="W253" s="3" t="str">
        <f>IF(_xlfn.XLOOKUP($U253,GCA!$H$3:$H$593,GCA!F$3:F$593,"",0,1)="","",_xlfn.XLOOKUP($U253,GCA!$H$3:$H$593,GCA!F$3:F$593,"",0,1))</f>
        <v/>
      </c>
      <c r="X253" s="3" t="str">
        <f>IF(_xlfn.XLOOKUP($U253,GCA!$H$3:$H$593,GCA!G$3:G$593,"",0,1)="","",_xlfn.XLOOKUP($U253,GCA!$H$3:$H$593,GCA!G$3:G$593,"",0,1))</f>
        <v/>
      </c>
    </row>
    <row r="254" spans="1:24" ht="13.2">
      <c r="A254" s="49"/>
      <c r="B254" s="49" t="s">
        <v>227</v>
      </c>
      <c r="C254" s="48" t="s">
        <v>229</v>
      </c>
      <c r="D254" s="49" t="s">
        <v>541</v>
      </c>
      <c r="E254" s="50">
        <v>1</v>
      </c>
      <c r="F254" s="26" t="s">
        <v>760</v>
      </c>
      <c r="G254" s="26" t="s">
        <v>760</v>
      </c>
      <c r="H254" s="27">
        <f t="shared" ref="H254:H271" si="352">V254</f>
        <v>17302.615000000002</v>
      </c>
      <c r="I254" s="27">
        <f t="shared" ref="I254:I271" si="353">W254</f>
        <v>16142.885</v>
      </c>
      <c r="J254" s="27">
        <f t="shared" ref="J254:J271" si="354">X254</f>
        <v>17318.634999999998</v>
      </c>
      <c r="K254" s="27">
        <f t="shared" ref="K254:K271" si="355">IFERROR(AVERAGE(H254:J254),"")</f>
        <v>16921.37833333333</v>
      </c>
      <c r="L254" s="65">
        <f>SUM(K254:K257)</f>
        <v>69327.154999999999</v>
      </c>
      <c r="M254" s="67">
        <f t="shared" ref="M254:M271" si="356">L254*$L$643/$L$642</f>
        <v>2.9099404651936314</v>
      </c>
      <c r="N254" s="65">
        <f t="shared" ref="N254:N312" si="357">IF(M254&gt;=2, ROUND(M254,0), IF(M254&gt;1.1,2,""))</f>
        <v>3</v>
      </c>
      <c r="O254" s="65">
        <f t="shared" ref="O254:P254" si="358">N254</f>
        <v>3</v>
      </c>
      <c r="P254" s="65">
        <f t="shared" si="358"/>
        <v>3</v>
      </c>
      <c r="Q254" s="38"/>
      <c r="R254" s="3" t="str">
        <f t="shared" si="351"/>
        <v>Villupuram</v>
      </c>
      <c r="S254" s="3" t="str">
        <f t="shared" si="346"/>
        <v>Gingee</v>
      </c>
      <c r="T254" s="3" t="str">
        <f t="shared" si="347"/>
        <v>Gingee</v>
      </c>
      <c r="U254" s="3" t="str">
        <f t="shared" si="348"/>
        <v>Villupuram_Gingee_Gingee</v>
      </c>
      <c r="V254" s="3">
        <f>IF(_xlfn.XLOOKUP($U254,GCA!$H$3:$H$593,GCA!E$3:E$593,"",0,1)="","",_xlfn.XLOOKUP($U254,GCA!$H$3:$H$593,GCA!E$3:E$593,"",0,1))</f>
        <v>17302.615000000002</v>
      </c>
      <c r="W254" s="3">
        <f>IF(_xlfn.XLOOKUP($U254,GCA!$H$3:$H$593,GCA!F$3:F$593,"",0,1)="","",_xlfn.XLOOKUP($U254,GCA!$H$3:$H$593,GCA!F$3:F$593,"",0,1))</f>
        <v>16142.885</v>
      </c>
      <c r="X254" s="3">
        <f>IF(_xlfn.XLOOKUP($U254,GCA!$H$3:$H$593,GCA!G$3:G$593,"",0,1)="","",_xlfn.XLOOKUP($U254,GCA!$H$3:$H$593,GCA!G$3:G$593,"",0,1))</f>
        <v>17318.634999999998</v>
      </c>
    </row>
    <row r="255" spans="1:24" ht="13.2">
      <c r="A255" s="49"/>
      <c r="B255" s="49"/>
      <c r="C255" s="48"/>
      <c r="D255" s="49"/>
      <c r="E255" s="50"/>
      <c r="F255" s="26" t="s">
        <v>760</v>
      </c>
      <c r="G255" s="26" t="s">
        <v>761</v>
      </c>
      <c r="H255" s="27">
        <f t="shared" si="352"/>
        <v>21806.845000000001</v>
      </c>
      <c r="I255" s="27">
        <f t="shared" si="353"/>
        <v>20768.68</v>
      </c>
      <c r="J255" s="27">
        <f t="shared" si="354"/>
        <v>19042.41</v>
      </c>
      <c r="K255" s="27">
        <f t="shared" si="355"/>
        <v>20539.311666666665</v>
      </c>
      <c r="L255" s="65"/>
      <c r="M255" s="67">
        <f t="shared" si="356"/>
        <v>0</v>
      </c>
      <c r="N255" s="65" t="str">
        <f t="shared" si="357"/>
        <v/>
      </c>
      <c r="O255" s="65" t="str">
        <f t="shared" ref="O255:P255" si="359">N255</f>
        <v/>
      </c>
      <c r="P255" s="65" t="str">
        <f t="shared" si="359"/>
        <v/>
      </c>
      <c r="Q255" s="38"/>
      <c r="R255" s="3" t="str">
        <f t="shared" ref="R255:R272" si="360">R254</f>
        <v>Villupuram</v>
      </c>
      <c r="S255" s="3" t="str">
        <f t="shared" si="346"/>
        <v>Gingee</v>
      </c>
      <c r="T255" s="3" t="str">
        <f t="shared" si="347"/>
        <v>Vallam</v>
      </c>
      <c r="U255" s="3" t="str">
        <f t="shared" si="348"/>
        <v>Villupuram_Gingee_Vallam</v>
      </c>
      <c r="V255" s="3">
        <f>IF(_xlfn.XLOOKUP($U255,GCA!$H$3:$H$593,GCA!E$3:E$593,"",0,1)="","",_xlfn.XLOOKUP($U255,GCA!$H$3:$H$593,GCA!E$3:E$593,"",0,1))</f>
        <v>21806.845000000001</v>
      </c>
      <c r="W255" s="3">
        <f>IF(_xlfn.XLOOKUP($U255,GCA!$H$3:$H$593,GCA!F$3:F$593,"",0,1)="","",_xlfn.XLOOKUP($U255,GCA!$H$3:$H$593,GCA!F$3:F$593,"",0,1))</f>
        <v>20768.68</v>
      </c>
      <c r="X255" s="3">
        <f>IF(_xlfn.XLOOKUP($U255,GCA!$H$3:$H$593,GCA!G$3:G$593,"",0,1)="","",_xlfn.XLOOKUP($U255,GCA!$H$3:$H$593,GCA!G$3:G$593,"",0,1))</f>
        <v>19042.41</v>
      </c>
    </row>
    <row r="256" spans="1:24" ht="13.2">
      <c r="A256" s="49"/>
      <c r="B256" s="49"/>
      <c r="C256" s="48"/>
      <c r="D256" s="49"/>
      <c r="E256" s="50"/>
      <c r="F256" s="26" t="s">
        <v>762</v>
      </c>
      <c r="G256" s="26" t="s">
        <v>763</v>
      </c>
      <c r="H256" s="27">
        <f t="shared" si="352"/>
        <v>21127.474999999999</v>
      </c>
      <c r="I256" s="27">
        <f t="shared" si="353"/>
        <v>19490.61</v>
      </c>
      <c r="J256" s="27">
        <f t="shared" si="354"/>
        <v>21304.18</v>
      </c>
      <c r="K256" s="27">
        <f t="shared" si="355"/>
        <v>20640.755000000001</v>
      </c>
      <c r="L256" s="65"/>
      <c r="M256" s="67">
        <f t="shared" si="356"/>
        <v>0</v>
      </c>
      <c r="N256" s="65" t="str">
        <f t="shared" si="357"/>
        <v/>
      </c>
      <c r="O256" s="65" t="str">
        <f t="shared" ref="O256:P256" si="361">N256</f>
        <v/>
      </c>
      <c r="P256" s="65" t="str">
        <f t="shared" si="361"/>
        <v/>
      </c>
      <c r="Q256" s="38"/>
      <c r="R256" s="3" t="str">
        <f t="shared" si="360"/>
        <v>Villupuram</v>
      </c>
      <c r="S256" s="3" t="str">
        <f t="shared" si="346"/>
        <v>Kandachipuram</v>
      </c>
      <c r="T256" s="3" t="str">
        <f t="shared" si="347"/>
        <v>Mugaiyur</v>
      </c>
      <c r="U256" s="3" t="str">
        <f t="shared" si="348"/>
        <v>Villupuram_Kandachipuram_Mugaiyur</v>
      </c>
      <c r="V256" s="3">
        <f>IF(_xlfn.XLOOKUP($U256,GCA!$H$3:$H$593,GCA!E$3:E$593,"",0,1)="","",_xlfn.XLOOKUP($U256,GCA!$H$3:$H$593,GCA!E$3:E$593,"",0,1))</f>
        <v>21127.474999999999</v>
      </c>
      <c r="W256" s="3">
        <f>IF(_xlfn.XLOOKUP($U256,GCA!$H$3:$H$593,GCA!F$3:F$593,"",0,1)="","",_xlfn.XLOOKUP($U256,GCA!$H$3:$H$593,GCA!F$3:F$593,"",0,1))</f>
        <v>19490.61</v>
      </c>
      <c r="X256" s="3">
        <f>IF(_xlfn.XLOOKUP($U256,GCA!$H$3:$H$593,GCA!G$3:G$593,"",0,1)="","",_xlfn.XLOOKUP($U256,GCA!$H$3:$H$593,GCA!G$3:G$593,"",0,1))</f>
        <v>21304.18</v>
      </c>
    </row>
    <row r="257" spans="1:24" ht="13.2">
      <c r="A257" s="49"/>
      <c r="B257" s="49"/>
      <c r="C257" s="48"/>
      <c r="D257" s="49"/>
      <c r="E257" s="50"/>
      <c r="F257" s="26" t="s">
        <v>764</v>
      </c>
      <c r="G257" s="26" t="s">
        <v>764</v>
      </c>
      <c r="H257" s="27">
        <f t="shared" si="352"/>
        <v>11462.205</v>
      </c>
      <c r="I257" s="27">
        <f t="shared" si="353"/>
        <v>11138.965</v>
      </c>
      <c r="J257" s="27">
        <f t="shared" si="354"/>
        <v>11075.96</v>
      </c>
      <c r="K257" s="27">
        <f t="shared" si="355"/>
        <v>11225.71</v>
      </c>
      <c r="L257" s="65"/>
      <c r="M257" s="67">
        <f t="shared" si="356"/>
        <v>0</v>
      </c>
      <c r="N257" s="65" t="str">
        <f t="shared" si="357"/>
        <v/>
      </c>
      <c r="O257" s="65" t="str">
        <f t="shared" ref="O257:P257" si="362">N257</f>
        <v/>
      </c>
      <c r="P257" s="65" t="str">
        <f t="shared" si="362"/>
        <v/>
      </c>
      <c r="Q257" s="38"/>
      <c r="R257" s="3" t="str">
        <f t="shared" si="360"/>
        <v>Villupuram</v>
      </c>
      <c r="S257" s="3" t="str">
        <f t="shared" si="346"/>
        <v>Marakanam</v>
      </c>
      <c r="T257" s="3" t="str">
        <f t="shared" si="347"/>
        <v>Marakanam</v>
      </c>
      <c r="U257" s="3" t="str">
        <f t="shared" si="348"/>
        <v>Villupuram_Marakanam_Marakanam</v>
      </c>
      <c r="V257" s="3">
        <f>IF(_xlfn.XLOOKUP($U257,GCA!$H$3:$H$593,GCA!E$3:E$593,"",0,1)="","",_xlfn.XLOOKUP($U257,GCA!$H$3:$H$593,GCA!E$3:E$593,"",0,1))</f>
        <v>11462.205</v>
      </c>
      <c r="W257" s="3">
        <f>IF(_xlfn.XLOOKUP($U257,GCA!$H$3:$H$593,GCA!F$3:F$593,"",0,1)="","",_xlfn.XLOOKUP($U257,GCA!$H$3:$H$593,GCA!F$3:F$593,"",0,1))</f>
        <v>11138.965</v>
      </c>
      <c r="X257" s="3">
        <f>IF(_xlfn.XLOOKUP($U257,GCA!$H$3:$H$593,GCA!G$3:G$593,"",0,1)="","",_xlfn.XLOOKUP($U257,GCA!$H$3:$H$593,GCA!G$3:G$593,"",0,1))</f>
        <v>11075.96</v>
      </c>
    </row>
    <row r="258" spans="1:24" ht="13.2">
      <c r="A258" s="49"/>
      <c r="B258" s="49"/>
      <c r="C258" s="48"/>
      <c r="D258" s="49"/>
      <c r="E258" s="50">
        <v>2</v>
      </c>
      <c r="F258" s="26" t="s">
        <v>765</v>
      </c>
      <c r="G258" s="26" t="s">
        <v>765</v>
      </c>
      <c r="H258" s="27">
        <f t="shared" si="352"/>
        <v>23690.375</v>
      </c>
      <c r="I258" s="27">
        <f t="shared" si="353"/>
        <v>21748.06</v>
      </c>
      <c r="J258" s="27">
        <f t="shared" si="354"/>
        <v>23137.215</v>
      </c>
      <c r="K258" s="27">
        <f t="shared" si="355"/>
        <v>22858.55</v>
      </c>
      <c r="L258" s="65">
        <f>SUM(K258:K260)</f>
        <v>41211.566666666666</v>
      </c>
      <c r="M258" s="67">
        <f t="shared" si="356"/>
        <v>1.7298157623424522</v>
      </c>
      <c r="N258" s="65">
        <f t="shared" si="357"/>
        <v>2</v>
      </c>
      <c r="O258" s="65">
        <f t="shared" ref="O258:P258" si="363">N258</f>
        <v>2</v>
      </c>
      <c r="P258" s="65">
        <f t="shared" si="363"/>
        <v>2</v>
      </c>
      <c r="Q258" s="38"/>
      <c r="R258" s="3" t="str">
        <f t="shared" si="360"/>
        <v>Villupuram</v>
      </c>
      <c r="S258" s="3" t="str">
        <f t="shared" si="346"/>
        <v>Melmalayanur</v>
      </c>
      <c r="T258" s="3" t="str">
        <f t="shared" si="347"/>
        <v>Melmalayanur</v>
      </c>
      <c r="U258" s="3" t="str">
        <f t="shared" si="348"/>
        <v>Villupuram_Melmalayanur_Melmalayanur</v>
      </c>
      <c r="V258" s="3">
        <f>IF(_xlfn.XLOOKUP($U258,GCA!$H$3:$H$593,GCA!E$3:E$593,"",0,1)="","",_xlfn.XLOOKUP($U258,GCA!$H$3:$H$593,GCA!E$3:E$593,"",0,1))</f>
        <v>23690.375</v>
      </c>
      <c r="W258" s="3">
        <f>IF(_xlfn.XLOOKUP($U258,GCA!$H$3:$H$593,GCA!F$3:F$593,"",0,1)="","",_xlfn.XLOOKUP($U258,GCA!$H$3:$H$593,GCA!F$3:F$593,"",0,1))</f>
        <v>21748.06</v>
      </c>
      <c r="X258" s="3">
        <f>IF(_xlfn.XLOOKUP($U258,GCA!$H$3:$H$593,GCA!G$3:G$593,"",0,1)="","",_xlfn.XLOOKUP($U258,GCA!$H$3:$H$593,GCA!G$3:G$593,"",0,1))</f>
        <v>23137.215</v>
      </c>
    </row>
    <row r="259" spans="1:24" ht="13.2">
      <c r="A259" s="49"/>
      <c r="B259" s="49"/>
      <c r="C259" s="48"/>
      <c r="D259" s="49"/>
      <c r="E259" s="50"/>
      <c r="F259" s="26" t="s">
        <v>766</v>
      </c>
      <c r="G259" s="26" t="s">
        <v>763</v>
      </c>
      <c r="H259" s="27">
        <f t="shared" si="352"/>
        <v>272.38499999999999</v>
      </c>
      <c r="I259" s="27">
        <f t="shared" si="353"/>
        <v>220</v>
      </c>
      <c r="J259" s="27">
        <f t="shared" si="354"/>
        <v>941.85</v>
      </c>
      <c r="K259" s="27">
        <f t="shared" si="355"/>
        <v>478.07833333333338</v>
      </c>
      <c r="L259" s="65"/>
      <c r="M259" s="67">
        <f t="shared" si="356"/>
        <v>0</v>
      </c>
      <c r="N259" s="65" t="str">
        <f t="shared" si="357"/>
        <v/>
      </c>
      <c r="O259" s="65" t="str">
        <f t="shared" ref="O259:P259" si="364">N259</f>
        <v/>
      </c>
      <c r="P259" s="65" t="str">
        <f t="shared" si="364"/>
        <v/>
      </c>
      <c r="Q259" s="38"/>
      <c r="R259" s="3" t="str">
        <f t="shared" si="360"/>
        <v>Villupuram</v>
      </c>
      <c r="S259" s="3" t="str">
        <f t="shared" si="346"/>
        <v>T.V.Nallur</v>
      </c>
      <c r="T259" s="3" t="str">
        <f t="shared" si="347"/>
        <v>Mugaiyur</v>
      </c>
      <c r="U259" s="3" t="str">
        <f t="shared" si="348"/>
        <v>Villupuram_T.V.Nallur_Mugaiyur</v>
      </c>
      <c r="V259" s="3">
        <f>IF(_xlfn.XLOOKUP($U259,GCA!$H$3:$H$593,GCA!E$3:E$593,"",0,1)="","",_xlfn.XLOOKUP($U259,GCA!$H$3:$H$593,GCA!E$3:E$593,"",0,1))</f>
        <v>272.38499999999999</v>
      </c>
      <c r="W259" s="3">
        <f>IF(_xlfn.XLOOKUP($U259,GCA!$H$3:$H$593,GCA!F$3:F$593,"",0,1)="","",_xlfn.XLOOKUP($U259,GCA!$H$3:$H$593,GCA!F$3:F$593,"",0,1))</f>
        <v>220</v>
      </c>
      <c r="X259" s="3">
        <f>IF(_xlfn.XLOOKUP($U259,GCA!$H$3:$H$593,GCA!G$3:G$593,"",0,1)="","",_xlfn.XLOOKUP($U259,GCA!$H$3:$H$593,GCA!G$3:G$593,"",0,1))</f>
        <v>941.85</v>
      </c>
    </row>
    <row r="260" spans="1:24" ht="13.2">
      <c r="A260" s="49"/>
      <c r="B260" s="49"/>
      <c r="C260" s="48"/>
      <c r="D260" s="49"/>
      <c r="E260" s="50"/>
      <c r="F260" s="26" t="s">
        <v>766</v>
      </c>
      <c r="G260" s="26" t="s">
        <v>766</v>
      </c>
      <c r="H260" s="27">
        <f t="shared" si="352"/>
        <v>17259.955000000002</v>
      </c>
      <c r="I260" s="27">
        <f t="shared" si="353"/>
        <v>16700.654999999999</v>
      </c>
      <c r="J260" s="27">
        <f t="shared" si="354"/>
        <v>19664.205000000002</v>
      </c>
      <c r="K260" s="27">
        <f t="shared" si="355"/>
        <v>17874.938333333335</v>
      </c>
      <c r="L260" s="65"/>
      <c r="M260" s="67">
        <f t="shared" si="356"/>
        <v>0</v>
      </c>
      <c r="N260" s="65" t="str">
        <f t="shared" si="357"/>
        <v/>
      </c>
      <c r="O260" s="65" t="str">
        <f t="shared" ref="O260:P260" si="365">N260</f>
        <v/>
      </c>
      <c r="P260" s="65" t="str">
        <f t="shared" si="365"/>
        <v/>
      </c>
      <c r="Q260" s="38"/>
      <c r="R260" s="3" t="str">
        <f t="shared" si="360"/>
        <v>Villupuram</v>
      </c>
      <c r="S260" s="3" t="str">
        <f t="shared" si="346"/>
        <v>T.V.Nallur</v>
      </c>
      <c r="T260" s="3" t="str">
        <f t="shared" si="347"/>
        <v>T.V.Nallur</v>
      </c>
      <c r="U260" s="3" t="str">
        <f t="shared" si="348"/>
        <v>Villupuram_T.V.Nallur_T.V.Nallur</v>
      </c>
      <c r="V260" s="3">
        <f>IF(_xlfn.XLOOKUP($U260,GCA!$H$3:$H$593,GCA!E$3:E$593,"",0,1)="","",_xlfn.XLOOKUP($U260,GCA!$H$3:$H$593,GCA!E$3:E$593,"",0,1))</f>
        <v>17259.955000000002</v>
      </c>
      <c r="W260" s="3">
        <f>IF(_xlfn.XLOOKUP($U260,GCA!$H$3:$H$593,GCA!F$3:F$593,"",0,1)="","",_xlfn.XLOOKUP($U260,GCA!$H$3:$H$593,GCA!F$3:F$593,"",0,1))</f>
        <v>16700.654999999999</v>
      </c>
      <c r="X260" s="3">
        <f>IF(_xlfn.XLOOKUP($U260,GCA!$H$3:$H$593,GCA!G$3:G$593,"",0,1)="","",_xlfn.XLOOKUP($U260,GCA!$H$3:$H$593,GCA!G$3:G$593,"",0,1))</f>
        <v>19664.205000000002</v>
      </c>
    </row>
    <row r="261" spans="1:24" ht="13.2">
      <c r="A261" s="49"/>
      <c r="B261" s="49"/>
      <c r="C261" s="48"/>
      <c r="D261" s="49"/>
      <c r="E261" s="50">
        <v>3</v>
      </c>
      <c r="F261" s="26" t="s">
        <v>767</v>
      </c>
      <c r="G261" s="26" t="s">
        <v>768</v>
      </c>
      <c r="H261" s="27">
        <f t="shared" si="352"/>
        <v>16259.86</v>
      </c>
      <c r="I261" s="27">
        <f t="shared" si="353"/>
        <v>13708.07</v>
      </c>
      <c r="J261" s="27">
        <f t="shared" si="354"/>
        <v>15337.25</v>
      </c>
      <c r="K261" s="27">
        <f t="shared" si="355"/>
        <v>15101.726666666667</v>
      </c>
      <c r="L261" s="65">
        <f>SUM(K261:K264)</f>
        <v>58130.786666666667</v>
      </c>
      <c r="M261" s="67">
        <f t="shared" si="356"/>
        <v>2.4399837032815168</v>
      </c>
      <c r="N261" s="65">
        <f t="shared" si="357"/>
        <v>2</v>
      </c>
      <c r="O261" s="65">
        <f t="shared" ref="O261:P261" si="366">N261</f>
        <v>2</v>
      </c>
      <c r="P261" s="65">
        <f t="shared" si="366"/>
        <v>2</v>
      </c>
      <c r="Q261" s="38"/>
      <c r="R261" s="3" t="str">
        <f t="shared" si="360"/>
        <v>Villupuram</v>
      </c>
      <c r="S261" s="3" t="str">
        <f t="shared" si="346"/>
        <v>Tindivanam</v>
      </c>
      <c r="T261" s="3" t="str">
        <f t="shared" si="347"/>
        <v>Mailam</v>
      </c>
      <c r="U261" s="3" t="str">
        <f t="shared" si="348"/>
        <v>Villupuram_Tindivanam_Mailam</v>
      </c>
      <c r="V261" s="3">
        <f>IF(_xlfn.XLOOKUP($U261,GCA!$H$3:$H$593,GCA!E$3:E$593,"",0,1)="","",_xlfn.XLOOKUP($U261,GCA!$H$3:$H$593,GCA!E$3:E$593,"",0,1))</f>
        <v>16259.86</v>
      </c>
      <c r="W261" s="3">
        <f>IF(_xlfn.XLOOKUP($U261,GCA!$H$3:$H$593,GCA!F$3:F$593,"",0,1)="","",_xlfn.XLOOKUP($U261,GCA!$H$3:$H$593,GCA!F$3:F$593,"",0,1))</f>
        <v>13708.07</v>
      </c>
      <c r="X261" s="3">
        <f>IF(_xlfn.XLOOKUP($U261,GCA!$H$3:$H$593,GCA!G$3:G$593,"",0,1)="","",_xlfn.XLOOKUP($U261,GCA!$H$3:$H$593,GCA!G$3:G$593,"",0,1))</f>
        <v>15337.25</v>
      </c>
    </row>
    <row r="262" spans="1:24" ht="13.2">
      <c r="A262" s="49"/>
      <c r="B262" s="49"/>
      <c r="C262" s="48"/>
      <c r="D262" s="49"/>
      <c r="E262" s="50"/>
      <c r="F262" s="26" t="s">
        <v>767</v>
      </c>
      <c r="G262" s="26" t="s">
        <v>764</v>
      </c>
      <c r="H262" s="27">
        <f t="shared" si="352"/>
        <v>5661.6149999999998</v>
      </c>
      <c r="I262" s="27">
        <f t="shared" si="353"/>
        <v>4987.4049999999997</v>
      </c>
      <c r="J262" s="27">
        <f t="shared" si="354"/>
        <v>5222.29</v>
      </c>
      <c r="K262" s="27">
        <f t="shared" si="355"/>
        <v>5290.4366666666674</v>
      </c>
      <c r="L262" s="65"/>
      <c r="M262" s="67">
        <f t="shared" si="356"/>
        <v>0</v>
      </c>
      <c r="N262" s="65" t="str">
        <f t="shared" si="357"/>
        <v/>
      </c>
      <c r="O262" s="65" t="str">
        <f t="shared" ref="O262:P262" si="367">N262</f>
        <v/>
      </c>
      <c r="P262" s="65" t="str">
        <f t="shared" si="367"/>
        <v/>
      </c>
      <c r="Q262" s="38"/>
      <c r="R262" s="3" t="str">
        <f t="shared" si="360"/>
        <v>Villupuram</v>
      </c>
      <c r="S262" s="3" t="str">
        <f t="shared" si="346"/>
        <v>Tindivanam</v>
      </c>
      <c r="T262" s="3" t="str">
        <f t="shared" si="347"/>
        <v>Marakanam</v>
      </c>
      <c r="U262" s="3" t="str">
        <f t="shared" si="348"/>
        <v>Villupuram_Tindivanam_Marakanam</v>
      </c>
      <c r="V262" s="3">
        <f>IF(_xlfn.XLOOKUP($U262,GCA!$H$3:$H$593,GCA!E$3:E$593,"",0,1)="","",_xlfn.XLOOKUP($U262,GCA!$H$3:$H$593,GCA!E$3:E$593,"",0,1))</f>
        <v>5661.6149999999998</v>
      </c>
      <c r="W262" s="3">
        <f>IF(_xlfn.XLOOKUP($U262,GCA!$H$3:$H$593,GCA!F$3:F$593,"",0,1)="","",_xlfn.XLOOKUP($U262,GCA!$H$3:$H$593,GCA!F$3:F$593,"",0,1))</f>
        <v>4987.4049999999997</v>
      </c>
      <c r="X262" s="3">
        <f>IF(_xlfn.XLOOKUP($U262,GCA!$H$3:$H$593,GCA!G$3:G$593,"",0,1)="","",_xlfn.XLOOKUP($U262,GCA!$H$3:$H$593,GCA!G$3:G$593,"",0,1))</f>
        <v>5222.29</v>
      </c>
    </row>
    <row r="263" spans="1:24" ht="13.2">
      <c r="A263" s="49"/>
      <c r="B263" s="49"/>
      <c r="C263" s="48"/>
      <c r="D263" s="49"/>
      <c r="E263" s="50"/>
      <c r="F263" s="26" t="s">
        <v>767</v>
      </c>
      <c r="G263" s="26" t="s">
        <v>769</v>
      </c>
      <c r="H263" s="27">
        <f t="shared" si="352"/>
        <v>11394.42</v>
      </c>
      <c r="I263" s="27">
        <f t="shared" si="353"/>
        <v>12253.905000000001</v>
      </c>
      <c r="J263" s="27">
        <f t="shared" si="354"/>
        <v>13395.165000000001</v>
      </c>
      <c r="K263" s="27">
        <f t="shared" si="355"/>
        <v>12347.830000000002</v>
      </c>
      <c r="L263" s="65"/>
      <c r="M263" s="67">
        <f t="shared" si="356"/>
        <v>0</v>
      </c>
      <c r="N263" s="65" t="str">
        <f t="shared" si="357"/>
        <v/>
      </c>
      <c r="O263" s="65" t="str">
        <f t="shared" ref="O263:P263" si="368">N263</f>
        <v/>
      </c>
      <c r="P263" s="65" t="str">
        <f t="shared" si="368"/>
        <v/>
      </c>
      <c r="Q263" s="38"/>
      <c r="R263" s="3" t="str">
        <f t="shared" si="360"/>
        <v>Villupuram</v>
      </c>
      <c r="S263" s="3" t="str">
        <f t="shared" si="346"/>
        <v>Tindivanam</v>
      </c>
      <c r="T263" s="3" t="str">
        <f t="shared" si="347"/>
        <v>Olakkur</v>
      </c>
      <c r="U263" s="3" t="str">
        <f t="shared" si="348"/>
        <v>Villupuram_Tindivanam_Olakkur</v>
      </c>
      <c r="V263" s="3">
        <f>IF(_xlfn.XLOOKUP($U263,GCA!$H$3:$H$593,GCA!E$3:E$593,"",0,1)="","",_xlfn.XLOOKUP($U263,GCA!$H$3:$H$593,GCA!E$3:E$593,"",0,1))</f>
        <v>11394.42</v>
      </c>
      <c r="W263" s="3">
        <f>IF(_xlfn.XLOOKUP($U263,GCA!$H$3:$H$593,GCA!F$3:F$593,"",0,1)="","",_xlfn.XLOOKUP($U263,GCA!$H$3:$H$593,GCA!F$3:F$593,"",0,1))</f>
        <v>12253.905000000001</v>
      </c>
      <c r="X263" s="3">
        <f>IF(_xlfn.XLOOKUP($U263,GCA!$H$3:$H$593,GCA!G$3:G$593,"",0,1)="","",_xlfn.XLOOKUP($U263,GCA!$H$3:$H$593,GCA!G$3:G$593,"",0,1))</f>
        <v>13395.165000000001</v>
      </c>
    </row>
    <row r="264" spans="1:24" ht="13.2">
      <c r="A264" s="49"/>
      <c r="B264" s="49"/>
      <c r="C264" s="48"/>
      <c r="D264" s="49"/>
      <c r="E264" s="50"/>
      <c r="F264" s="26" t="s">
        <v>770</v>
      </c>
      <c r="G264" s="26" t="s">
        <v>770</v>
      </c>
      <c r="H264" s="27">
        <f t="shared" si="352"/>
        <v>26642.01</v>
      </c>
      <c r="I264" s="27">
        <f t="shared" si="353"/>
        <v>24591.735000000001</v>
      </c>
      <c r="J264" s="27">
        <f t="shared" si="354"/>
        <v>24938.634999999998</v>
      </c>
      <c r="K264" s="27">
        <f t="shared" si="355"/>
        <v>25390.793333333331</v>
      </c>
      <c r="L264" s="65"/>
      <c r="M264" s="67">
        <f t="shared" si="356"/>
        <v>0</v>
      </c>
      <c r="N264" s="65" t="str">
        <f t="shared" si="357"/>
        <v/>
      </c>
      <c r="O264" s="65" t="str">
        <f t="shared" ref="O264:P264" si="369">N264</f>
        <v/>
      </c>
      <c r="P264" s="65" t="str">
        <f t="shared" si="369"/>
        <v/>
      </c>
      <c r="Q264" s="38"/>
      <c r="R264" s="3" t="str">
        <f t="shared" si="360"/>
        <v>Villupuram</v>
      </c>
      <c r="S264" s="3" t="str">
        <f t="shared" si="346"/>
        <v>Vanur</v>
      </c>
      <c r="T264" s="3" t="str">
        <f t="shared" si="347"/>
        <v>Vanur</v>
      </c>
      <c r="U264" s="3" t="str">
        <f t="shared" si="348"/>
        <v>Villupuram_Vanur_Vanur</v>
      </c>
      <c r="V264" s="3">
        <f>IF(_xlfn.XLOOKUP($U264,GCA!$H$3:$H$593,GCA!E$3:E$593,"",0,1)="","",_xlfn.XLOOKUP($U264,GCA!$H$3:$H$593,GCA!E$3:E$593,"",0,1))</f>
        <v>26642.01</v>
      </c>
      <c r="W264" s="3">
        <f>IF(_xlfn.XLOOKUP($U264,GCA!$H$3:$H$593,GCA!F$3:F$593,"",0,1)="","",_xlfn.XLOOKUP($U264,GCA!$H$3:$H$593,GCA!F$3:F$593,"",0,1))</f>
        <v>24591.735000000001</v>
      </c>
      <c r="X264" s="3">
        <f>IF(_xlfn.XLOOKUP($U264,GCA!$H$3:$H$593,GCA!G$3:G$593,"",0,1)="","",_xlfn.XLOOKUP($U264,GCA!$H$3:$H$593,GCA!G$3:G$593,"",0,1))</f>
        <v>24938.634999999998</v>
      </c>
    </row>
    <row r="265" spans="1:24" ht="13.2">
      <c r="A265" s="49"/>
      <c r="B265" s="49"/>
      <c r="C265" s="48"/>
      <c r="D265" s="49"/>
      <c r="E265" s="50">
        <v>4</v>
      </c>
      <c r="F265" s="26" t="s">
        <v>771</v>
      </c>
      <c r="G265" s="26" t="s">
        <v>772</v>
      </c>
      <c r="H265" s="27">
        <f t="shared" si="352"/>
        <v>10554.91</v>
      </c>
      <c r="I265" s="27">
        <f t="shared" si="353"/>
        <v>9904.7099999999991</v>
      </c>
      <c r="J265" s="27">
        <f t="shared" si="354"/>
        <v>10707.51</v>
      </c>
      <c r="K265" s="27">
        <f t="shared" si="355"/>
        <v>10389.043333333333</v>
      </c>
      <c r="L265" s="65">
        <f>SUM(K265:K271)</f>
        <v>62516.989999999991</v>
      </c>
      <c r="M265" s="67">
        <f t="shared" si="356"/>
        <v>2.6240903577120043</v>
      </c>
      <c r="N265" s="65">
        <f t="shared" si="357"/>
        <v>3</v>
      </c>
      <c r="O265" s="65">
        <f t="shared" ref="O265:P265" si="370">N265</f>
        <v>3</v>
      </c>
      <c r="P265" s="65">
        <f t="shared" si="370"/>
        <v>3</v>
      </c>
      <c r="Q265" s="38"/>
      <c r="R265" s="3" t="str">
        <f t="shared" si="360"/>
        <v>Villupuram</v>
      </c>
      <c r="S265" s="3" t="str">
        <f t="shared" si="346"/>
        <v>Vikkaravandi</v>
      </c>
      <c r="T265" s="3" t="str">
        <f t="shared" si="347"/>
        <v>Kanai</v>
      </c>
      <c r="U265" s="3" t="str">
        <f t="shared" si="348"/>
        <v>Villupuram_Vikkaravandi_Kanai</v>
      </c>
      <c r="V265" s="3">
        <f>IF(_xlfn.XLOOKUP($U265,GCA!$H$3:$H$593,GCA!E$3:E$593,"",0,1)="","",_xlfn.XLOOKUP($U265,GCA!$H$3:$H$593,GCA!E$3:E$593,"",0,1))</f>
        <v>10554.91</v>
      </c>
      <c r="W265" s="3">
        <f>IF(_xlfn.XLOOKUP($U265,GCA!$H$3:$H$593,GCA!F$3:F$593,"",0,1)="","",_xlfn.XLOOKUP($U265,GCA!$H$3:$H$593,GCA!F$3:F$593,"",0,1))</f>
        <v>9904.7099999999991</v>
      </c>
      <c r="X265" s="3">
        <f>IF(_xlfn.XLOOKUP($U265,GCA!$H$3:$H$593,GCA!G$3:G$593,"",0,1)="","",_xlfn.XLOOKUP($U265,GCA!$H$3:$H$593,GCA!G$3:G$593,"",0,1))</f>
        <v>10707.51</v>
      </c>
    </row>
    <row r="266" spans="1:24" ht="13.2">
      <c r="A266" s="49"/>
      <c r="B266" s="49"/>
      <c r="C266" s="48"/>
      <c r="D266" s="49"/>
      <c r="E266" s="50"/>
      <c r="F266" s="26" t="s">
        <v>771</v>
      </c>
      <c r="G266" s="26" t="s">
        <v>773</v>
      </c>
      <c r="H266" s="27">
        <f t="shared" si="352"/>
        <v>3872.855</v>
      </c>
      <c r="I266" s="27">
        <f t="shared" si="353"/>
        <v>4424.04</v>
      </c>
      <c r="J266" s="27">
        <f t="shared" si="354"/>
        <v>4836.835</v>
      </c>
      <c r="K266" s="27">
        <f t="shared" si="355"/>
        <v>4377.91</v>
      </c>
      <c r="L266" s="65"/>
      <c r="M266" s="67">
        <f t="shared" si="356"/>
        <v>0</v>
      </c>
      <c r="N266" s="65" t="str">
        <f t="shared" si="357"/>
        <v/>
      </c>
      <c r="O266" s="65" t="str">
        <f t="shared" ref="O266:P266" si="371">N266</f>
        <v/>
      </c>
      <c r="P266" s="65" t="str">
        <f t="shared" si="371"/>
        <v/>
      </c>
      <c r="Q266" s="38"/>
      <c r="R266" s="3" t="str">
        <f t="shared" si="360"/>
        <v>Villupuram</v>
      </c>
      <c r="S266" s="3" t="str">
        <f t="shared" si="346"/>
        <v>Vikkaravandi</v>
      </c>
      <c r="T266" s="3" t="str">
        <f t="shared" si="347"/>
        <v>Kandamangalam</v>
      </c>
      <c r="U266" s="3" t="str">
        <f t="shared" si="348"/>
        <v>Villupuram_Vikkaravandi_Kandamangalam</v>
      </c>
      <c r="V266" s="3">
        <f>IF(_xlfn.XLOOKUP($U266,GCA!$H$3:$H$593,GCA!E$3:E$593,"",0,1)="","",_xlfn.XLOOKUP($U266,GCA!$H$3:$H$593,GCA!E$3:E$593,"",0,1))</f>
        <v>3872.855</v>
      </c>
      <c r="W266" s="3">
        <f>IF(_xlfn.XLOOKUP($U266,GCA!$H$3:$H$593,GCA!F$3:F$593,"",0,1)="","",_xlfn.XLOOKUP($U266,GCA!$H$3:$H$593,GCA!F$3:F$593,"",0,1))</f>
        <v>4424.04</v>
      </c>
      <c r="X266" s="3">
        <f>IF(_xlfn.XLOOKUP($U266,GCA!$H$3:$H$593,GCA!G$3:G$593,"",0,1)="","",_xlfn.XLOOKUP($U266,GCA!$H$3:$H$593,GCA!G$3:G$593,"",0,1))</f>
        <v>4836.835</v>
      </c>
    </row>
    <row r="267" spans="1:24" ht="13.2">
      <c r="A267" s="49"/>
      <c r="B267" s="49"/>
      <c r="C267" s="48"/>
      <c r="D267" s="49"/>
      <c r="E267" s="50"/>
      <c r="F267" s="26" t="s">
        <v>771</v>
      </c>
      <c r="G267" s="26" t="s">
        <v>774</v>
      </c>
      <c r="H267" s="27">
        <f t="shared" si="352"/>
        <v>894.27</v>
      </c>
      <c r="I267" s="27">
        <f t="shared" si="353"/>
        <v>950.82</v>
      </c>
      <c r="J267" s="27">
        <f t="shared" si="354"/>
        <v>858.66</v>
      </c>
      <c r="K267" s="27">
        <f t="shared" si="355"/>
        <v>901.25</v>
      </c>
      <c r="L267" s="65"/>
      <c r="M267" s="67">
        <f t="shared" si="356"/>
        <v>0</v>
      </c>
      <c r="N267" s="65" t="str">
        <f t="shared" si="357"/>
        <v/>
      </c>
      <c r="O267" s="65" t="str">
        <f t="shared" ref="O267:P267" si="372">N267</f>
        <v/>
      </c>
      <c r="P267" s="65" t="str">
        <f t="shared" si="372"/>
        <v/>
      </c>
      <c r="Q267" s="38"/>
      <c r="R267" s="3" t="str">
        <f t="shared" si="360"/>
        <v>Villupuram</v>
      </c>
      <c r="S267" s="3" t="str">
        <f t="shared" si="346"/>
        <v>Vikkaravandi</v>
      </c>
      <c r="T267" s="3" t="str">
        <f t="shared" si="347"/>
        <v>Koliyanur</v>
      </c>
      <c r="U267" s="3" t="str">
        <f t="shared" si="348"/>
        <v>Villupuram_Vikkaravandi_Koliyanur</v>
      </c>
      <c r="V267" s="3">
        <f>IF(_xlfn.XLOOKUP($U267,GCA!$H$3:$H$593,GCA!E$3:E$593,"",0,1)="","",_xlfn.XLOOKUP($U267,GCA!$H$3:$H$593,GCA!E$3:E$593,"",0,1))</f>
        <v>894.27</v>
      </c>
      <c r="W267" s="3">
        <f>IF(_xlfn.XLOOKUP($U267,GCA!$H$3:$H$593,GCA!F$3:F$593,"",0,1)="","",_xlfn.XLOOKUP($U267,GCA!$H$3:$H$593,GCA!F$3:F$593,"",0,1))</f>
        <v>950.82</v>
      </c>
      <c r="X267" s="3">
        <f>IF(_xlfn.XLOOKUP($U267,GCA!$H$3:$H$593,GCA!G$3:G$593,"",0,1)="","",_xlfn.XLOOKUP($U267,GCA!$H$3:$H$593,GCA!G$3:G$593,"",0,1))</f>
        <v>858.66</v>
      </c>
    </row>
    <row r="268" spans="1:24" ht="13.2">
      <c r="A268" s="49"/>
      <c r="B268" s="49"/>
      <c r="C268" s="48"/>
      <c r="D268" s="49"/>
      <c r="E268" s="50"/>
      <c r="F268" s="26" t="s">
        <v>771</v>
      </c>
      <c r="G268" s="26" t="s">
        <v>771</v>
      </c>
      <c r="H268" s="27">
        <f t="shared" si="352"/>
        <v>13528.22</v>
      </c>
      <c r="I268" s="27">
        <f t="shared" si="353"/>
        <v>12734.674999999999</v>
      </c>
      <c r="J268" s="27">
        <f t="shared" si="354"/>
        <v>12392.135</v>
      </c>
      <c r="K268" s="27">
        <f t="shared" si="355"/>
        <v>12885.01</v>
      </c>
      <c r="L268" s="65"/>
      <c r="M268" s="67">
        <f t="shared" si="356"/>
        <v>0</v>
      </c>
      <c r="N268" s="65" t="str">
        <f t="shared" si="357"/>
        <v/>
      </c>
      <c r="O268" s="65" t="str">
        <f t="shared" ref="O268:P268" si="373">N268</f>
        <v/>
      </c>
      <c r="P268" s="65" t="str">
        <f t="shared" si="373"/>
        <v/>
      </c>
      <c r="Q268" s="38"/>
      <c r="R268" s="3" t="str">
        <f t="shared" si="360"/>
        <v>Villupuram</v>
      </c>
      <c r="S268" s="3" t="str">
        <f t="shared" si="346"/>
        <v>Vikkaravandi</v>
      </c>
      <c r="T268" s="3" t="str">
        <f t="shared" si="347"/>
        <v>Vikkaravandi</v>
      </c>
      <c r="U268" s="3" t="str">
        <f t="shared" si="348"/>
        <v>Villupuram_Vikkaravandi_Vikkaravandi</v>
      </c>
      <c r="V268" s="3">
        <f>IF(_xlfn.XLOOKUP($U268,GCA!$H$3:$H$593,GCA!E$3:E$593,"",0,1)="","",_xlfn.XLOOKUP($U268,GCA!$H$3:$H$593,GCA!E$3:E$593,"",0,1))</f>
        <v>13528.22</v>
      </c>
      <c r="W268" s="3">
        <f>IF(_xlfn.XLOOKUP($U268,GCA!$H$3:$H$593,GCA!F$3:F$593,"",0,1)="","",_xlfn.XLOOKUP($U268,GCA!$H$3:$H$593,GCA!F$3:F$593,"",0,1))</f>
        <v>12734.674999999999</v>
      </c>
      <c r="X268" s="3">
        <f>IF(_xlfn.XLOOKUP($U268,GCA!$H$3:$H$593,GCA!G$3:G$593,"",0,1)="","",_xlfn.XLOOKUP($U268,GCA!$H$3:$H$593,GCA!G$3:G$593,"",0,1))</f>
        <v>12392.135</v>
      </c>
    </row>
    <row r="269" spans="1:24" ht="13.2">
      <c r="A269" s="49"/>
      <c r="B269" s="49"/>
      <c r="C269" s="48"/>
      <c r="D269" s="49"/>
      <c r="E269" s="50"/>
      <c r="F269" s="26" t="s">
        <v>229</v>
      </c>
      <c r="G269" s="26" t="s">
        <v>772</v>
      </c>
      <c r="H269" s="27">
        <f t="shared" si="352"/>
        <v>10027.35</v>
      </c>
      <c r="I269" s="27">
        <f t="shared" si="353"/>
        <v>9300.2649999999994</v>
      </c>
      <c r="J269" s="27">
        <f t="shared" si="354"/>
        <v>8540.3799999999992</v>
      </c>
      <c r="K269" s="27">
        <f t="shared" si="355"/>
        <v>9289.3316666666651</v>
      </c>
      <c r="L269" s="65"/>
      <c r="M269" s="67">
        <f t="shared" si="356"/>
        <v>0</v>
      </c>
      <c r="N269" s="65" t="str">
        <f t="shared" si="357"/>
        <v/>
      </c>
      <c r="O269" s="65" t="str">
        <f t="shared" ref="O269:P269" si="374">N269</f>
        <v/>
      </c>
      <c r="P269" s="65" t="str">
        <f t="shared" si="374"/>
        <v/>
      </c>
      <c r="Q269" s="38"/>
      <c r="R269" s="3" t="str">
        <f t="shared" si="360"/>
        <v>Villupuram</v>
      </c>
      <c r="S269" s="3" t="str">
        <f t="shared" si="346"/>
        <v>Villupuram</v>
      </c>
      <c r="T269" s="3" t="str">
        <f t="shared" si="347"/>
        <v>Kanai</v>
      </c>
      <c r="U269" s="3" t="str">
        <f t="shared" si="348"/>
        <v>Villupuram_Villupuram_Kanai</v>
      </c>
      <c r="V269" s="3">
        <f>IF(_xlfn.XLOOKUP($U269,GCA!$H$3:$H$593,GCA!E$3:E$593,"",0,1)="","",_xlfn.XLOOKUP($U269,GCA!$H$3:$H$593,GCA!E$3:E$593,"",0,1))</f>
        <v>10027.35</v>
      </c>
      <c r="W269" s="3">
        <f>IF(_xlfn.XLOOKUP($U269,GCA!$H$3:$H$593,GCA!F$3:F$593,"",0,1)="","",_xlfn.XLOOKUP($U269,GCA!$H$3:$H$593,GCA!F$3:F$593,"",0,1))</f>
        <v>9300.2649999999994</v>
      </c>
      <c r="X269" s="3">
        <f>IF(_xlfn.XLOOKUP($U269,GCA!$H$3:$H$593,GCA!G$3:G$593,"",0,1)="","",_xlfn.XLOOKUP($U269,GCA!$H$3:$H$593,GCA!G$3:G$593,"",0,1))</f>
        <v>8540.3799999999992</v>
      </c>
    </row>
    <row r="270" spans="1:24" ht="13.2">
      <c r="A270" s="49"/>
      <c r="B270" s="49"/>
      <c r="C270" s="48"/>
      <c r="D270" s="49"/>
      <c r="E270" s="50"/>
      <c r="F270" s="26" t="s">
        <v>229</v>
      </c>
      <c r="G270" s="26" t="s">
        <v>773</v>
      </c>
      <c r="H270" s="27">
        <f t="shared" si="352"/>
        <v>12775.875</v>
      </c>
      <c r="I270" s="27">
        <f t="shared" si="353"/>
        <v>12993.584999999999</v>
      </c>
      <c r="J270" s="27">
        <f t="shared" si="354"/>
        <v>13093.395</v>
      </c>
      <c r="K270" s="27">
        <f t="shared" si="355"/>
        <v>12954.284999999998</v>
      </c>
      <c r="L270" s="65"/>
      <c r="M270" s="67">
        <f t="shared" si="356"/>
        <v>0</v>
      </c>
      <c r="N270" s="65" t="str">
        <f t="shared" si="357"/>
        <v/>
      </c>
      <c r="O270" s="65" t="str">
        <f t="shared" ref="O270:P270" si="375">N270</f>
        <v/>
      </c>
      <c r="P270" s="65" t="str">
        <f t="shared" si="375"/>
        <v/>
      </c>
      <c r="Q270" s="38"/>
      <c r="R270" s="3" t="str">
        <f t="shared" si="360"/>
        <v>Villupuram</v>
      </c>
      <c r="S270" s="3" t="str">
        <f t="shared" si="346"/>
        <v>Villupuram</v>
      </c>
      <c r="T270" s="3" t="str">
        <f t="shared" si="347"/>
        <v>Kandamangalam</v>
      </c>
      <c r="U270" s="3" t="str">
        <f t="shared" si="348"/>
        <v>Villupuram_Villupuram_Kandamangalam</v>
      </c>
      <c r="V270" s="3">
        <f>IF(_xlfn.XLOOKUP($U270,GCA!$H$3:$H$593,GCA!E$3:E$593,"",0,1)="","",_xlfn.XLOOKUP($U270,GCA!$H$3:$H$593,GCA!E$3:E$593,"",0,1))</f>
        <v>12775.875</v>
      </c>
      <c r="W270" s="3">
        <f>IF(_xlfn.XLOOKUP($U270,GCA!$H$3:$H$593,GCA!F$3:F$593,"",0,1)="","",_xlfn.XLOOKUP($U270,GCA!$H$3:$H$593,GCA!F$3:F$593,"",0,1))</f>
        <v>12993.584999999999</v>
      </c>
      <c r="X270" s="3">
        <f>IF(_xlfn.XLOOKUP($U270,GCA!$H$3:$H$593,GCA!G$3:G$593,"",0,1)="","",_xlfn.XLOOKUP($U270,GCA!$H$3:$H$593,GCA!G$3:G$593,"",0,1))</f>
        <v>13093.395</v>
      </c>
    </row>
    <row r="271" spans="1:24" ht="13.2">
      <c r="A271" s="49"/>
      <c r="B271" s="49"/>
      <c r="C271" s="48"/>
      <c r="D271" s="49"/>
      <c r="E271" s="50"/>
      <c r="F271" s="26" t="s">
        <v>229</v>
      </c>
      <c r="G271" s="26" t="s">
        <v>774</v>
      </c>
      <c r="H271" s="27">
        <f t="shared" si="352"/>
        <v>13190.695</v>
      </c>
      <c r="I271" s="27">
        <f t="shared" si="353"/>
        <v>10713.375</v>
      </c>
      <c r="J271" s="27">
        <f t="shared" si="354"/>
        <v>11256.41</v>
      </c>
      <c r="K271" s="27">
        <f t="shared" si="355"/>
        <v>11720.159999999998</v>
      </c>
      <c r="L271" s="65"/>
      <c r="M271" s="67">
        <f t="shared" si="356"/>
        <v>0</v>
      </c>
      <c r="N271" s="65" t="str">
        <f t="shared" si="357"/>
        <v/>
      </c>
      <c r="O271" s="65" t="str">
        <f t="shared" ref="O271:P271" si="376">N271</f>
        <v/>
      </c>
      <c r="P271" s="65" t="str">
        <f t="shared" si="376"/>
        <v/>
      </c>
      <c r="Q271" s="38"/>
      <c r="R271" s="3" t="str">
        <f t="shared" si="360"/>
        <v>Villupuram</v>
      </c>
      <c r="S271" s="3" t="str">
        <f t="shared" si="346"/>
        <v>Villupuram</v>
      </c>
      <c r="T271" s="3" t="str">
        <f t="shared" si="347"/>
        <v>Koliyanur</v>
      </c>
      <c r="U271" s="3" t="str">
        <f t="shared" si="348"/>
        <v>Villupuram_Villupuram_Koliyanur</v>
      </c>
      <c r="V271" s="3">
        <f>IF(_xlfn.XLOOKUP($U271,GCA!$H$3:$H$593,GCA!E$3:E$593,"",0,1)="","",_xlfn.XLOOKUP($U271,GCA!$H$3:$H$593,GCA!E$3:E$593,"",0,1))</f>
        <v>13190.695</v>
      </c>
      <c r="W271" s="3">
        <f>IF(_xlfn.XLOOKUP($U271,GCA!$H$3:$H$593,GCA!F$3:F$593,"",0,1)="","",_xlfn.XLOOKUP($U271,GCA!$H$3:$H$593,GCA!F$3:F$593,"",0,1))</f>
        <v>10713.375</v>
      </c>
      <c r="X271" s="3">
        <f>IF(_xlfn.XLOOKUP($U271,GCA!$H$3:$H$593,GCA!G$3:G$593,"",0,1)="","",_xlfn.XLOOKUP($U271,GCA!$H$3:$H$593,GCA!G$3:G$593,"",0,1))</f>
        <v>11256.41</v>
      </c>
    </row>
    <row r="272" spans="1:24" ht="13.2">
      <c r="A272" s="49"/>
      <c r="B272" s="49"/>
      <c r="C272" s="48"/>
      <c r="D272" s="49"/>
      <c r="E272" s="47" t="s">
        <v>564</v>
      </c>
      <c r="F272" s="47"/>
      <c r="G272" s="47"/>
      <c r="H272" s="29">
        <f t="shared" ref="H272:P272" si="377">SUM(H254:H271)</f>
        <v>237723.93500000003</v>
      </c>
      <c r="I272" s="29">
        <f t="shared" si="377"/>
        <v>222772.43999999997</v>
      </c>
      <c r="J272" s="29">
        <f t="shared" si="377"/>
        <v>233063.12000000002</v>
      </c>
      <c r="K272" s="29">
        <f t="shared" si="377"/>
        <v>231186.49833333338</v>
      </c>
      <c r="L272" s="29">
        <f t="shared" si="377"/>
        <v>231186.49833333332</v>
      </c>
      <c r="M272" s="30">
        <f t="shared" si="377"/>
        <v>9.7038302885296055</v>
      </c>
      <c r="N272" s="31">
        <f t="shared" si="377"/>
        <v>10</v>
      </c>
      <c r="O272" s="31">
        <f t="shared" si="377"/>
        <v>10</v>
      </c>
      <c r="P272" s="31">
        <f t="shared" si="377"/>
        <v>10</v>
      </c>
      <c r="Q272" s="38"/>
      <c r="R272" s="3" t="str">
        <f t="shared" si="360"/>
        <v>Villupuram</v>
      </c>
      <c r="S272" s="3">
        <f t="shared" si="346"/>
        <v>0</v>
      </c>
      <c r="T272" s="3">
        <f t="shared" si="347"/>
        <v>0</v>
      </c>
      <c r="U272" s="3" t="str">
        <f t="shared" si="348"/>
        <v>Villupuram_0_0</v>
      </c>
      <c r="V272" s="3" t="str">
        <f>IF(_xlfn.XLOOKUP($U272,GCA!$H$3:$H$593,GCA!E$3:E$593,"",0,1)="","",_xlfn.XLOOKUP($U272,GCA!$H$3:$H$593,GCA!E$3:E$593,"",0,1))</f>
        <v/>
      </c>
      <c r="W272" s="3" t="str">
        <f>IF(_xlfn.XLOOKUP($U272,GCA!$H$3:$H$593,GCA!F$3:F$593,"",0,1)="","",_xlfn.XLOOKUP($U272,GCA!$H$3:$H$593,GCA!F$3:F$593,"",0,1))</f>
        <v/>
      </c>
      <c r="X272" s="3" t="str">
        <f>IF(_xlfn.XLOOKUP($U272,GCA!$H$3:$H$593,GCA!G$3:G$593,"",0,1)="","",_xlfn.XLOOKUP($U272,GCA!$H$3:$H$593,GCA!G$3:G$593,"",0,1))</f>
        <v/>
      </c>
    </row>
    <row r="273" spans="1:24" ht="13.2">
      <c r="A273" s="49"/>
      <c r="B273" s="49"/>
      <c r="C273" s="48" t="s">
        <v>227</v>
      </c>
      <c r="D273" s="49" t="s">
        <v>542</v>
      </c>
      <c r="E273" s="50">
        <v>1</v>
      </c>
      <c r="F273" s="26" t="s">
        <v>775</v>
      </c>
      <c r="G273" s="26" t="s">
        <v>776</v>
      </c>
      <c r="H273" s="27">
        <f t="shared" ref="H273:H293" si="378">V273</f>
        <v>20532.575000000001</v>
      </c>
      <c r="I273" s="27">
        <f t="shared" ref="I273:I293" si="379">W273</f>
        <v>20950.23</v>
      </c>
      <c r="J273" s="27">
        <f t="shared" ref="J273:J293" si="380">X273</f>
        <v>20596.945</v>
      </c>
      <c r="K273" s="27">
        <f t="shared" ref="K273:K293" si="381">IFERROR(AVERAGE(H273:J273),"")</f>
        <v>20693.25</v>
      </c>
      <c r="L273" s="65">
        <f>SUM(K273:K278)</f>
        <v>64343.233333333344</v>
      </c>
      <c r="M273" s="67">
        <f t="shared" ref="M273:M293" si="382">L273*$L$643/$L$642</f>
        <v>2.7007451602198644</v>
      </c>
      <c r="N273" s="65">
        <f t="shared" si="357"/>
        <v>3</v>
      </c>
      <c r="O273" s="65">
        <f t="shared" ref="O273:P273" si="383">N273</f>
        <v>3</v>
      </c>
      <c r="P273" s="65">
        <f t="shared" si="383"/>
        <v>3</v>
      </c>
      <c r="Q273" s="38"/>
      <c r="R273" s="3" t="str">
        <f t="shared" si="351"/>
        <v>Cuddalore</v>
      </c>
      <c r="S273" s="3" t="str">
        <f t="shared" si="346"/>
        <v>Bhuvanagiri</v>
      </c>
      <c r="T273" s="3" t="str">
        <f t="shared" si="347"/>
        <v>Melbhuvanagiri</v>
      </c>
      <c r="U273" s="3" t="str">
        <f t="shared" si="348"/>
        <v>Cuddalore_Bhuvanagiri_Melbhuvanagiri</v>
      </c>
      <c r="V273" s="3">
        <f>IF(_xlfn.XLOOKUP($U273,GCA!$H$3:$H$593,GCA!E$3:E$593,"",0,1)="","",_xlfn.XLOOKUP($U273,GCA!$H$3:$H$593,GCA!E$3:E$593,"",0,1))</f>
        <v>20532.575000000001</v>
      </c>
      <c r="W273" s="3">
        <f>IF(_xlfn.XLOOKUP($U273,GCA!$H$3:$H$593,GCA!F$3:F$593,"",0,1)="","",_xlfn.XLOOKUP($U273,GCA!$H$3:$H$593,GCA!F$3:F$593,"",0,1))</f>
        <v>20950.23</v>
      </c>
      <c r="X273" s="3">
        <f>IF(_xlfn.XLOOKUP($U273,GCA!$H$3:$H$593,GCA!G$3:G$593,"",0,1)="","",_xlfn.XLOOKUP($U273,GCA!$H$3:$H$593,GCA!G$3:G$593,"",0,1))</f>
        <v>20596.945</v>
      </c>
    </row>
    <row r="274" spans="1:24" ht="13.2">
      <c r="A274" s="49"/>
      <c r="B274" s="49"/>
      <c r="C274" s="48"/>
      <c r="D274" s="49"/>
      <c r="E274" s="50"/>
      <c r="F274" s="26" t="s">
        <v>775</v>
      </c>
      <c r="G274" s="26" t="s">
        <v>777</v>
      </c>
      <c r="H274" s="27">
        <f t="shared" si="378"/>
        <v>9469.76</v>
      </c>
      <c r="I274" s="27">
        <f t="shared" si="379"/>
        <v>9414.41</v>
      </c>
      <c r="J274" s="27">
        <f t="shared" si="380"/>
        <v>9330.85</v>
      </c>
      <c r="K274" s="27">
        <f t="shared" si="381"/>
        <v>9405.0066666666662</v>
      </c>
      <c r="L274" s="65"/>
      <c r="M274" s="67">
        <f t="shared" si="382"/>
        <v>0</v>
      </c>
      <c r="N274" s="65" t="str">
        <f t="shared" si="357"/>
        <v/>
      </c>
      <c r="O274" s="65" t="str">
        <f t="shared" ref="O274:P274" si="384">N274</f>
        <v/>
      </c>
      <c r="P274" s="65" t="str">
        <f t="shared" si="384"/>
        <v/>
      </c>
      <c r="Q274" s="38"/>
      <c r="R274" s="3" t="str">
        <f t="shared" ref="R274:R294" si="385">R273</f>
        <v>Cuddalore</v>
      </c>
      <c r="S274" s="3" t="str">
        <f t="shared" si="346"/>
        <v>Bhuvanagiri</v>
      </c>
      <c r="T274" s="3" t="str">
        <f t="shared" si="347"/>
        <v>Paragipettai</v>
      </c>
      <c r="U274" s="3" t="str">
        <f t="shared" si="348"/>
        <v>Cuddalore_Bhuvanagiri_Paragipettai</v>
      </c>
      <c r="V274" s="3">
        <f>IF(_xlfn.XLOOKUP($U274,GCA!$H$3:$H$593,GCA!E$3:E$593,"",0,1)="","",_xlfn.XLOOKUP($U274,GCA!$H$3:$H$593,GCA!E$3:E$593,"",0,1))</f>
        <v>9469.76</v>
      </c>
      <c r="W274" s="3">
        <f>IF(_xlfn.XLOOKUP($U274,GCA!$H$3:$H$593,GCA!F$3:F$593,"",0,1)="","",_xlfn.XLOOKUP($U274,GCA!$H$3:$H$593,GCA!F$3:F$593,"",0,1))</f>
        <v>9414.41</v>
      </c>
      <c r="X274" s="3">
        <f>IF(_xlfn.XLOOKUP($U274,GCA!$H$3:$H$593,GCA!G$3:G$593,"",0,1)="","",_xlfn.XLOOKUP($U274,GCA!$H$3:$H$593,GCA!G$3:G$593,"",0,1))</f>
        <v>9330.85</v>
      </c>
    </row>
    <row r="275" spans="1:24" ht="13.2">
      <c r="A275" s="49"/>
      <c r="B275" s="49"/>
      <c r="C275" s="48"/>
      <c r="D275" s="49"/>
      <c r="E275" s="50"/>
      <c r="F275" s="26" t="s">
        <v>778</v>
      </c>
      <c r="G275" s="26" t="s">
        <v>779</v>
      </c>
      <c r="H275" s="27">
        <f t="shared" si="378"/>
        <v>20873.654999999999</v>
      </c>
      <c r="I275" s="27">
        <f t="shared" si="379"/>
        <v>20394.724999999999</v>
      </c>
      <c r="J275" s="27">
        <f t="shared" si="380"/>
        <v>19998.560000000001</v>
      </c>
      <c r="K275" s="27">
        <f t="shared" si="381"/>
        <v>20422.313333333335</v>
      </c>
      <c r="L275" s="65"/>
      <c r="M275" s="67">
        <f t="shared" si="382"/>
        <v>0</v>
      </c>
      <c r="N275" s="65" t="str">
        <f t="shared" si="357"/>
        <v/>
      </c>
      <c r="O275" s="65" t="str">
        <f t="shared" ref="O275:P275" si="386">N275</f>
        <v/>
      </c>
      <c r="P275" s="65" t="str">
        <f t="shared" si="386"/>
        <v/>
      </c>
      <c r="Q275" s="38"/>
      <c r="R275" s="3" t="str">
        <f t="shared" si="385"/>
        <v>Cuddalore</v>
      </c>
      <c r="S275" s="3" t="str">
        <f t="shared" si="346"/>
        <v>Chidambaram</v>
      </c>
      <c r="T275" s="3" t="str">
        <f t="shared" si="347"/>
        <v>Keerapalayam</v>
      </c>
      <c r="U275" s="3" t="str">
        <f t="shared" si="348"/>
        <v>Cuddalore_Chidambaram_Keerapalayam</v>
      </c>
      <c r="V275" s="3">
        <f>IF(_xlfn.XLOOKUP($U275,GCA!$H$3:$H$593,GCA!E$3:E$593,"",0,1)="","",_xlfn.XLOOKUP($U275,GCA!$H$3:$H$593,GCA!E$3:E$593,"",0,1))</f>
        <v>20873.654999999999</v>
      </c>
      <c r="W275" s="3">
        <f>IF(_xlfn.XLOOKUP($U275,GCA!$H$3:$H$593,GCA!F$3:F$593,"",0,1)="","",_xlfn.XLOOKUP($U275,GCA!$H$3:$H$593,GCA!F$3:F$593,"",0,1))</f>
        <v>20394.724999999999</v>
      </c>
      <c r="X275" s="3">
        <f>IF(_xlfn.XLOOKUP($U275,GCA!$H$3:$H$593,GCA!G$3:G$593,"",0,1)="","",_xlfn.XLOOKUP($U275,GCA!$H$3:$H$593,GCA!G$3:G$593,"",0,1))</f>
        <v>19998.560000000001</v>
      </c>
    </row>
    <row r="276" spans="1:24" ht="13.2">
      <c r="A276" s="49"/>
      <c r="B276" s="49"/>
      <c r="C276" s="48"/>
      <c r="D276" s="49"/>
      <c r="E276" s="50"/>
      <c r="F276" s="26" t="s">
        <v>778</v>
      </c>
      <c r="G276" s="26" t="s">
        <v>780</v>
      </c>
      <c r="H276" s="27">
        <f t="shared" si="378"/>
        <v>6708.1350000000002</v>
      </c>
      <c r="I276" s="27">
        <f t="shared" si="379"/>
        <v>6525.9650000000001</v>
      </c>
      <c r="J276" s="27">
        <f t="shared" si="380"/>
        <v>6483.3649999999998</v>
      </c>
      <c r="K276" s="27">
        <f t="shared" si="381"/>
        <v>6572.4883333333337</v>
      </c>
      <c r="L276" s="65"/>
      <c r="M276" s="67">
        <f t="shared" si="382"/>
        <v>0</v>
      </c>
      <c r="N276" s="65" t="str">
        <f t="shared" si="357"/>
        <v/>
      </c>
      <c r="O276" s="65" t="str">
        <f t="shared" ref="O276:P276" si="387">N276</f>
        <v/>
      </c>
      <c r="P276" s="65" t="str">
        <f t="shared" si="387"/>
        <v/>
      </c>
      <c r="Q276" s="38"/>
      <c r="R276" s="3" t="str">
        <f t="shared" si="385"/>
        <v>Cuddalore</v>
      </c>
      <c r="S276" s="3" t="str">
        <f t="shared" si="346"/>
        <v>Chidambaram</v>
      </c>
      <c r="T276" s="3" t="str">
        <f t="shared" si="347"/>
        <v>Kumarachi</v>
      </c>
      <c r="U276" s="3" t="str">
        <f t="shared" si="348"/>
        <v>Cuddalore_Chidambaram_Kumarachi</v>
      </c>
      <c r="V276" s="3">
        <f>IF(_xlfn.XLOOKUP($U276,GCA!$H$3:$H$593,GCA!E$3:E$593,"",0,1)="","",_xlfn.XLOOKUP($U276,GCA!$H$3:$H$593,GCA!E$3:E$593,"",0,1))</f>
        <v>6708.1350000000002</v>
      </c>
      <c r="W276" s="3">
        <f>IF(_xlfn.XLOOKUP($U276,GCA!$H$3:$H$593,GCA!F$3:F$593,"",0,1)="","",_xlfn.XLOOKUP($U276,GCA!$H$3:$H$593,GCA!F$3:F$593,"",0,1))</f>
        <v>6525.9650000000001</v>
      </c>
      <c r="X276" s="3">
        <f>IF(_xlfn.XLOOKUP($U276,GCA!$H$3:$H$593,GCA!G$3:G$593,"",0,1)="","",_xlfn.XLOOKUP($U276,GCA!$H$3:$H$593,GCA!G$3:G$593,"",0,1))</f>
        <v>6483.3649999999998</v>
      </c>
    </row>
    <row r="277" spans="1:24" ht="13.2">
      <c r="A277" s="49"/>
      <c r="B277" s="49"/>
      <c r="C277" s="48"/>
      <c r="D277" s="49"/>
      <c r="E277" s="50"/>
      <c r="F277" s="26" t="s">
        <v>778</v>
      </c>
      <c r="G277" s="26" t="s">
        <v>776</v>
      </c>
      <c r="H277" s="27">
        <f t="shared" si="378"/>
        <v>1292.7149999999999</v>
      </c>
      <c r="I277" s="27">
        <f t="shared" si="379"/>
        <v>1257.9349999999999</v>
      </c>
      <c r="J277" s="27">
        <f t="shared" si="380"/>
        <v>1284.0650000000001</v>
      </c>
      <c r="K277" s="27">
        <f t="shared" si="381"/>
        <v>1278.2383333333332</v>
      </c>
      <c r="L277" s="65"/>
      <c r="M277" s="67">
        <f t="shared" si="382"/>
        <v>0</v>
      </c>
      <c r="N277" s="65" t="str">
        <f t="shared" si="357"/>
        <v/>
      </c>
      <c r="O277" s="65" t="str">
        <f t="shared" ref="O277:P277" si="388">N277</f>
        <v/>
      </c>
      <c r="P277" s="65" t="str">
        <f t="shared" si="388"/>
        <v/>
      </c>
      <c r="Q277" s="38"/>
      <c r="R277" s="3" t="str">
        <f t="shared" si="385"/>
        <v>Cuddalore</v>
      </c>
      <c r="S277" s="3" t="str">
        <f t="shared" si="346"/>
        <v>Chidambaram</v>
      </c>
      <c r="T277" s="3" t="str">
        <f t="shared" si="347"/>
        <v>Melbhuvanagiri</v>
      </c>
      <c r="U277" s="3" t="str">
        <f t="shared" si="348"/>
        <v>Cuddalore_Chidambaram_Melbhuvanagiri</v>
      </c>
      <c r="V277" s="3">
        <f>IF(_xlfn.XLOOKUP($U277,GCA!$H$3:$H$593,GCA!E$3:E$593,"",0,1)="","",_xlfn.XLOOKUP($U277,GCA!$H$3:$H$593,GCA!E$3:E$593,"",0,1))</f>
        <v>1292.7149999999999</v>
      </c>
      <c r="W277" s="3">
        <f>IF(_xlfn.XLOOKUP($U277,GCA!$H$3:$H$593,GCA!F$3:F$593,"",0,1)="","",_xlfn.XLOOKUP($U277,GCA!$H$3:$H$593,GCA!F$3:F$593,"",0,1))</f>
        <v>1257.9349999999999</v>
      </c>
      <c r="X277" s="3">
        <f>IF(_xlfn.XLOOKUP($U277,GCA!$H$3:$H$593,GCA!G$3:G$593,"",0,1)="","",_xlfn.XLOOKUP($U277,GCA!$H$3:$H$593,GCA!G$3:G$593,"",0,1))</f>
        <v>1284.0650000000001</v>
      </c>
    </row>
    <row r="278" spans="1:24" ht="13.2">
      <c r="A278" s="49"/>
      <c r="B278" s="49"/>
      <c r="C278" s="48"/>
      <c r="D278" s="49"/>
      <c r="E278" s="50"/>
      <c r="F278" s="26" t="s">
        <v>778</v>
      </c>
      <c r="G278" s="26" t="s">
        <v>777</v>
      </c>
      <c r="H278" s="27">
        <f t="shared" si="378"/>
        <v>5715.2349999999997</v>
      </c>
      <c r="I278" s="27">
        <f t="shared" si="379"/>
        <v>5784.72</v>
      </c>
      <c r="J278" s="27">
        <f t="shared" si="380"/>
        <v>6415.8549999999996</v>
      </c>
      <c r="K278" s="27">
        <f t="shared" si="381"/>
        <v>5971.9366666666656</v>
      </c>
      <c r="L278" s="65"/>
      <c r="M278" s="67">
        <f t="shared" si="382"/>
        <v>0</v>
      </c>
      <c r="N278" s="65" t="str">
        <f t="shared" si="357"/>
        <v/>
      </c>
      <c r="O278" s="65" t="str">
        <f t="shared" ref="O278:P278" si="389">N278</f>
        <v/>
      </c>
      <c r="P278" s="65" t="str">
        <f t="shared" si="389"/>
        <v/>
      </c>
      <c r="Q278" s="38"/>
      <c r="R278" s="3" t="str">
        <f t="shared" si="385"/>
        <v>Cuddalore</v>
      </c>
      <c r="S278" s="3" t="str">
        <f t="shared" si="346"/>
        <v>Chidambaram</v>
      </c>
      <c r="T278" s="3" t="str">
        <f t="shared" si="347"/>
        <v>Paragipettai</v>
      </c>
      <c r="U278" s="3" t="str">
        <f t="shared" si="348"/>
        <v>Cuddalore_Chidambaram_Paragipettai</v>
      </c>
      <c r="V278" s="3">
        <f>IF(_xlfn.XLOOKUP($U278,GCA!$H$3:$H$593,GCA!E$3:E$593,"",0,1)="","",_xlfn.XLOOKUP($U278,GCA!$H$3:$H$593,GCA!E$3:E$593,"",0,1))</f>
        <v>5715.2349999999997</v>
      </c>
      <c r="W278" s="3">
        <f>IF(_xlfn.XLOOKUP($U278,GCA!$H$3:$H$593,GCA!F$3:F$593,"",0,1)="","",_xlfn.XLOOKUP($U278,GCA!$H$3:$H$593,GCA!F$3:F$593,"",0,1))</f>
        <v>5784.72</v>
      </c>
      <c r="X278" s="3">
        <f>IF(_xlfn.XLOOKUP($U278,GCA!$H$3:$H$593,GCA!G$3:G$593,"",0,1)="","",_xlfn.XLOOKUP($U278,GCA!$H$3:$H$593,GCA!G$3:G$593,"",0,1))</f>
        <v>6415.8549999999996</v>
      </c>
    </row>
    <row r="279" spans="1:24" ht="13.2">
      <c r="A279" s="49"/>
      <c r="B279" s="49"/>
      <c r="C279" s="48"/>
      <c r="D279" s="49"/>
      <c r="E279" s="50">
        <v>2</v>
      </c>
      <c r="F279" s="26" t="s">
        <v>227</v>
      </c>
      <c r="G279" s="26" t="s">
        <v>227</v>
      </c>
      <c r="H279" s="27">
        <f t="shared" si="378"/>
        <v>19660.215</v>
      </c>
      <c r="I279" s="27">
        <f t="shared" si="379"/>
        <v>18729.564999999999</v>
      </c>
      <c r="J279" s="27">
        <f t="shared" si="380"/>
        <v>18885.674999999999</v>
      </c>
      <c r="K279" s="27">
        <f t="shared" si="381"/>
        <v>19091.818333333333</v>
      </c>
      <c r="L279" s="65">
        <f>SUM(K279:K283)</f>
        <v>57888.67</v>
      </c>
      <c r="M279" s="67">
        <f t="shared" si="382"/>
        <v>2.4298210897193253</v>
      </c>
      <c r="N279" s="65">
        <f t="shared" si="357"/>
        <v>2</v>
      </c>
      <c r="O279" s="65">
        <f t="shared" ref="O279:P279" si="390">N279</f>
        <v>2</v>
      </c>
      <c r="P279" s="65">
        <f t="shared" si="390"/>
        <v>2</v>
      </c>
      <c r="Q279" s="38"/>
      <c r="R279" s="3" t="str">
        <f t="shared" si="385"/>
        <v>Cuddalore</v>
      </c>
      <c r="S279" s="3" t="str">
        <f t="shared" si="346"/>
        <v>Cuddalore</v>
      </c>
      <c r="T279" s="3" t="str">
        <f t="shared" si="347"/>
        <v>Cuddalore</v>
      </c>
      <c r="U279" s="3" t="str">
        <f t="shared" si="348"/>
        <v>Cuddalore_Cuddalore_Cuddalore</v>
      </c>
      <c r="V279" s="3">
        <f>IF(_xlfn.XLOOKUP($U279,GCA!$H$3:$H$593,GCA!E$3:E$593,"",0,1)="","",_xlfn.XLOOKUP($U279,GCA!$H$3:$H$593,GCA!E$3:E$593,"",0,1))</f>
        <v>19660.215</v>
      </c>
      <c r="W279" s="3">
        <f>IF(_xlfn.XLOOKUP($U279,GCA!$H$3:$H$593,GCA!F$3:F$593,"",0,1)="","",_xlfn.XLOOKUP($U279,GCA!$H$3:$H$593,GCA!F$3:F$593,"",0,1))</f>
        <v>18729.564999999999</v>
      </c>
      <c r="X279" s="3">
        <f>IF(_xlfn.XLOOKUP($U279,GCA!$H$3:$H$593,GCA!G$3:G$593,"",0,1)="","",_xlfn.XLOOKUP($U279,GCA!$H$3:$H$593,GCA!G$3:G$593,"",0,1))</f>
        <v>18885.674999999999</v>
      </c>
    </row>
    <row r="280" spans="1:24" ht="13.2">
      <c r="A280" s="49"/>
      <c r="B280" s="49"/>
      <c r="C280" s="48"/>
      <c r="D280" s="49"/>
      <c r="E280" s="50"/>
      <c r="F280" s="26" t="s">
        <v>227</v>
      </c>
      <c r="G280" s="26" t="s">
        <v>781</v>
      </c>
      <c r="H280" s="27">
        <f t="shared" si="378"/>
        <v>3492.895</v>
      </c>
      <c r="I280" s="27">
        <f t="shared" si="379"/>
        <v>3272.8</v>
      </c>
      <c r="J280" s="27">
        <f t="shared" si="380"/>
        <v>2854.7950000000001</v>
      </c>
      <c r="K280" s="27">
        <f t="shared" si="381"/>
        <v>3206.83</v>
      </c>
      <c r="L280" s="65"/>
      <c r="M280" s="67">
        <f t="shared" si="382"/>
        <v>0</v>
      </c>
      <c r="N280" s="65" t="str">
        <f t="shared" si="357"/>
        <v/>
      </c>
      <c r="O280" s="65" t="str">
        <f t="shared" ref="O280:P280" si="391">N280</f>
        <v/>
      </c>
      <c r="P280" s="65" t="str">
        <f t="shared" si="391"/>
        <v/>
      </c>
      <c r="Q280" s="38"/>
      <c r="R280" s="3" t="str">
        <f t="shared" si="385"/>
        <v>Cuddalore</v>
      </c>
      <c r="S280" s="3" t="str">
        <f t="shared" si="346"/>
        <v>Cuddalore</v>
      </c>
      <c r="T280" s="3" t="str">
        <f t="shared" si="347"/>
        <v>Kurinjipadi</v>
      </c>
      <c r="U280" s="3" t="str">
        <f t="shared" si="348"/>
        <v>Cuddalore_Cuddalore_Kurinjipadi</v>
      </c>
      <c r="V280" s="3">
        <f>IF(_xlfn.XLOOKUP($U280,GCA!$H$3:$H$593,GCA!E$3:E$593,"",0,1)="","",_xlfn.XLOOKUP($U280,GCA!$H$3:$H$593,GCA!E$3:E$593,"",0,1))</f>
        <v>3492.895</v>
      </c>
      <c r="W280" s="3">
        <f>IF(_xlfn.XLOOKUP($U280,GCA!$H$3:$H$593,GCA!F$3:F$593,"",0,1)="","",_xlfn.XLOOKUP($U280,GCA!$H$3:$H$593,GCA!F$3:F$593,"",0,1))</f>
        <v>3272.8</v>
      </c>
      <c r="X280" s="3">
        <f>IF(_xlfn.XLOOKUP($U280,GCA!$H$3:$H$593,GCA!G$3:G$593,"",0,1)="","",_xlfn.XLOOKUP($U280,GCA!$H$3:$H$593,GCA!G$3:G$593,"",0,1))</f>
        <v>2854.7950000000001</v>
      </c>
    </row>
    <row r="281" spans="1:24" ht="13.2">
      <c r="A281" s="49"/>
      <c r="B281" s="49"/>
      <c r="C281" s="48"/>
      <c r="D281" s="49"/>
      <c r="E281" s="50"/>
      <c r="F281" s="26" t="s">
        <v>782</v>
      </c>
      <c r="G281" s="26" t="s">
        <v>782</v>
      </c>
      <c r="H281" s="27">
        <f t="shared" si="378"/>
        <v>17644.965</v>
      </c>
      <c r="I281" s="27">
        <f t="shared" si="379"/>
        <v>17271.834999999999</v>
      </c>
      <c r="J281" s="27">
        <f t="shared" si="380"/>
        <v>16171.285</v>
      </c>
      <c r="K281" s="27">
        <f t="shared" si="381"/>
        <v>17029.361666666668</v>
      </c>
      <c r="L281" s="65"/>
      <c r="M281" s="67">
        <f t="shared" si="382"/>
        <v>0</v>
      </c>
      <c r="N281" s="65" t="str">
        <f t="shared" si="357"/>
        <v/>
      </c>
      <c r="O281" s="65" t="str">
        <f t="shared" ref="O281:P281" si="392">N281</f>
        <v/>
      </c>
      <c r="P281" s="65" t="str">
        <f t="shared" si="392"/>
        <v/>
      </c>
      <c r="Q281" s="38"/>
      <c r="R281" s="3" t="str">
        <f t="shared" si="385"/>
        <v>Cuddalore</v>
      </c>
      <c r="S281" s="3" t="str">
        <f t="shared" si="346"/>
        <v>Kattumannarkoil</v>
      </c>
      <c r="T281" s="3" t="str">
        <f t="shared" si="347"/>
        <v>Kattumannarkoil</v>
      </c>
      <c r="U281" s="3" t="str">
        <f t="shared" si="348"/>
        <v>Cuddalore_Kattumannarkoil_Kattumannarkoil</v>
      </c>
      <c r="V281" s="3">
        <f>IF(_xlfn.XLOOKUP($U281,GCA!$H$3:$H$593,GCA!E$3:E$593,"",0,1)="","",_xlfn.XLOOKUP($U281,GCA!$H$3:$H$593,GCA!E$3:E$593,"",0,1))</f>
        <v>17644.965</v>
      </c>
      <c r="W281" s="3">
        <f>IF(_xlfn.XLOOKUP($U281,GCA!$H$3:$H$593,GCA!F$3:F$593,"",0,1)="","",_xlfn.XLOOKUP($U281,GCA!$H$3:$H$593,GCA!F$3:F$593,"",0,1))</f>
        <v>17271.834999999999</v>
      </c>
      <c r="X281" s="3">
        <f>IF(_xlfn.XLOOKUP($U281,GCA!$H$3:$H$593,GCA!G$3:G$593,"",0,1)="","",_xlfn.XLOOKUP($U281,GCA!$H$3:$H$593,GCA!G$3:G$593,"",0,1))</f>
        <v>16171.285</v>
      </c>
    </row>
    <row r="282" spans="1:24" ht="13.2">
      <c r="A282" s="49"/>
      <c r="B282" s="49"/>
      <c r="C282" s="48"/>
      <c r="D282" s="49"/>
      <c r="E282" s="50"/>
      <c r="F282" s="26" t="s">
        <v>782</v>
      </c>
      <c r="G282" s="26" t="s">
        <v>779</v>
      </c>
      <c r="H282" s="27">
        <f t="shared" si="378"/>
        <v>752</v>
      </c>
      <c r="I282" s="27">
        <f t="shared" si="379"/>
        <v>745.82</v>
      </c>
      <c r="J282" s="27">
        <f t="shared" si="380"/>
        <v>648.22</v>
      </c>
      <c r="K282" s="27">
        <f t="shared" si="381"/>
        <v>715.34666666666669</v>
      </c>
      <c r="L282" s="65"/>
      <c r="M282" s="67">
        <f t="shared" si="382"/>
        <v>0</v>
      </c>
      <c r="N282" s="65" t="str">
        <f t="shared" si="357"/>
        <v/>
      </c>
      <c r="O282" s="65" t="str">
        <f t="shared" ref="O282:P282" si="393">N282</f>
        <v/>
      </c>
      <c r="P282" s="65" t="str">
        <f t="shared" si="393"/>
        <v/>
      </c>
      <c r="Q282" s="38"/>
      <c r="R282" s="3" t="str">
        <f t="shared" si="385"/>
        <v>Cuddalore</v>
      </c>
      <c r="S282" s="3" t="str">
        <f t="shared" si="346"/>
        <v>Kattumannarkoil</v>
      </c>
      <c r="T282" s="3" t="str">
        <f t="shared" si="347"/>
        <v>Keerapalayam</v>
      </c>
      <c r="U282" s="3" t="str">
        <f t="shared" si="348"/>
        <v>Cuddalore_Kattumannarkoil_Keerapalayam</v>
      </c>
      <c r="V282" s="3">
        <f>IF(_xlfn.XLOOKUP($U282,GCA!$H$3:$H$593,GCA!E$3:E$593,"",0,1)="","",_xlfn.XLOOKUP($U282,GCA!$H$3:$H$593,GCA!E$3:E$593,"",0,1))</f>
        <v>752</v>
      </c>
      <c r="W282" s="3">
        <f>IF(_xlfn.XLOOKUP($U282,GCA!$H$3:$H$593,GCA!F$3:F$593,"",0,1)="","",_xlfn.XLOOKUP($U282,GCA!$H$3:$H$593,GCA!F$3:F$593,"",0,1))</f>
        <v>745.82</v>
      </c>
      <c r="X282" s="3">
        <f>IF(_xlfn.XLOOKUP($U282,GCA!$H$3:$H$593,GCA!G$3:G$593,"",0,1)="","",_xlfn.XLOOKUP($U282,GCA!$H$3:$H$593,GCA!G$3:G$593,"",0,1))</f>
        <v>648.22</v>
      </c>
    </row>
    <row r="283" spans="1:24" ht="13.2">
      <c r="A283" s="49"/>
      <c r="B283" s="49"/>
      <c r="C283" s="48"/>
      <c r="D283" s="49"/>
      <c r="E283" s="50"/>
      <c r="F283" s="26" t="s">
        <v>782</v>
      </c>
      <c r="G283" s="26" t="s">
        <v>780</v>
      </c>
      <c r="H283" s="27">
        <f t="shared" si="378"/>
        <v>17885.89</v>
      </c>
      <c r="I283" s="27">
        <f t="shared" si="379"/>
        <v>17739.77</v>
      </c>
      <c r="J283" s="27">
        <f t="shared" si="380"/>
        <v>17910.28</v>
      </c>
      <c r="K283" s="27">
        <f t="shared" si="381"/>
        <v>17845.313333333335</v>
      </c>
      <c r="L283" s="65"/>
      <c r="M283" s="67">
        <f t="shared" si="382"/>
        <v>0</v>
      </c>
      <c r="N283" s="65" t="str">
        <f t="shared" si="357"/>
        <v/>
      </c>
      <c r="O283" s="65" t="str">
        <f t="shared" ref="O283:P283" si="394">N283</f>
        <v/>
      </c>
      <c r="P283" s="65" t="str">
        <f t="shared" si="394"/>
        <v/>
      </c>
      <c r="Q283" s="38"/>
      <c r="R283" s="3" t="str">
        <f t="shared" si="385"/>
        <v>Cuddalore</v>
      </c>
      <c r="S283" s="3" t="str">
        <f t="shared" si="346"/>
        <v>Kattumannarkoil</v>
      </c>
      <c r="T283" s="3" t="str">
        <f t="shared" si="347"/>
        <v>Kumarachi</v>
      </c>
      <c r="U283" s="3" t="str">
        <f t="shared" si="348"/>
        <v>Cuddalore_Kattumannarkoil_Kumarachi</v>
      </c>
      <c r="V283" s="3">
        <f>IF(_xlfn.XLOOKUP($U283,GCA!$H$3:$H$593,GCA!E$3:E$593,"",0,1)="","",_xlfn.XLOOKUP($U283,GCA!$H$3:$H$593,GCA!E$3:E$593,"",0,1))</f>
        <v>17885.89</v>
      </c>
      <c r="W283" s="3">
        <f>IF(_xlfn.XLOOKUP($U283,GCA!$H$3:$H$593,GCA!F$3:F$593,"",0,1)="","",_xlfn.XLOOKUP($U283,GCA!$H$3:$H$593,GCA!F$3:F$593,"",0,1))</f>
        <v>17739.77</v>
      </c>
      <c r="X283" s="3">
        <f>IF(_xlfn.XLOOKUP($U283,GCA!$H$3:$H$593,GCA!G$3:G$593,"",0,1)="","",_xlfn.XLOOKUP($U283,GCA!$H$3:$H$593,GCA!G$3:G$593,"",0,1))</f>
        <v>17910.28</v>
      </c>
    </row>
    <row r="284" spans="1:24" ht="13.2">
      <c r="A284" s="49"/>
      <c r="B284" s="49"/>
      <c r="C284" s="48"/>
      <c r="D284" s="49"/>
      <c r="E284" s="50">
        <v>3</v>
      </c>
      <c r="F284" s="26" t="s">
        <v>781</v>
      </c>
      <c r="G284" s="26" t="s">
        <v>781</v>
      </c>
      <c r="H284" s="27">
        <f t="shared" si="378"/>
        <v>27177.22</v>
      </c>
      <c r="I284" s="27">
        <f t="shared" si="379"/>
        <v>26647.875</v>
      </c>
      <c r="J284" s="27">
        <f t="shared" si="380"/>
        <v>25764.855</v>
      </c>
      <c r="K284" s="27">
        <f t="shared" si="381"/>
        <v>26529.983333333334</v>
      </c>
      <c r="L284" s="65">
        <f>SUM(K284:K286)</f>
        <v>66708.578333333338</v>
      </c>
      <c r="M284" s="67">
        <f t="shared" si="382"/>
        <v>2.8000282352233521</v>
      </c>
      <c r="N284" s="65">
        <f t="shared" si="357"/>
        <v>3</v>
      </c>
      <c r="O284" s="65">
        <f t="shared" ref="O284:P284" si="395">N284</f>
        <v>3</v>
      </c>
      <c r="P284" s="65">
        <f t="shared" si="395"/>
        <v>3</v>
      </c>
      <c r="Q284" s="38"/>
      <c r="R284" s="3" t="str">
        <f t="shared" si="385"/>
        <v>Cuddalore</v>
      </c>
      <c r="S284" s="3" t="str">
        <f t="shared" si="346"/>
        <v>Kurinjipadi</v>
      </c>
      <c r="T284" s="3" t="str">
        <f t="shared" si="347"/>
        <v>Kurinjipadi</v>
      </c>
      <c r="U284" s="3" t="str">
        <f t="shared" si="348"/>
        <v>Cuddalore_Kurinjipadi_Kurinjipadi</v>
      </c>
      <c r="V284" s="3">
        <f>IF(_xlfn.XLOOKUP($U284,GCA!$H$3:$H$593,GCA!E$3:E$593,"",0,1)="","",_xlfn.XLOOKUP($U284,GCA!$H$3:$H$593,GCA!E$3:E$593,"",0,1))</f>
        <v>27177.22</v>
      </c>
      <c r="W284" s="3">
        <f>IF(_xlfn.XLOOKUP($U284,GCA!$H$3:$H$593,GCA!F$3:F$593,"",0,1)="","",_xlfn.XLOOKUP($U284,GCA!$H$3:$H$593,GCA!F$3:F$593,"",0,1))</f>
        <v>26647.875</v>
      </c>
      <c r="X284" s="3">
        <f>IF(_xlfn.XLOOKUP($U284,GCA!$H$3:$H$593,GCA!G$3:G$593,"",0,1)="","",_xlfn.XLOOKUP($U284,GCA!$H$3:$H$593,GCA!G$3:G$593,"",0,1))</f>
        <v>25764.855</v>
      </c>
    </row>
    <row r="285" spans="1:24" ht="13.2">
      <c r="A285" s="49"/>
      <c r="B285" s="49"/>
      <c r="C285" s="48"/>
      <c r="D285" s="49"/>
      <c r="E285" s="50"/>
      <c r="F285" s="26" t="s">
        <v>783</v>
      </c>
      <c r="G285" s="26" t="s">
        <v>784</v>
      </c>
      <c r="H285" s="27">
        <f t="shared" si="378"/>
        <v>14764.9</v>
      </c>
      <c r="I285" s="27">
        <f t="shared" si="379"/>
        <v>13770.88</v>
      </c>
      <c r="J285" s="27">
        <f t="shared" si="380"/>
        <v>13760.575000000001</v>
      </c>
      <c r="K285" s="27">
        <f t="shared" si="381"/>
        <v>14098.784999999998</v>
      </c>
      <c r="L285" s="65"/>
      <c r="M285" s="67">
        <f t="shared" si="382"/>
        <v>0</v>
      </c>
      <c r="N285" s="65" t="str">
        <f t="shared" si="357"/>
        <v/>
      </c>
      <c r="O285" s="65" t="str">
        <f t="shared" ref="O285:P285" si="396">N285</f>
        <v/>
      </c>
      <c r="P285" s="65" t="str">
        <f t="shared" si="396"/>
        <v/>
      </c>
      <c r="Q285" s="38"/>
      <c r="R285" s="3" t="str">
        <f t="shared" si="385"/>
        <v>Cuddalore</v>
      </c>
      <c r="S285" s="3" t="str">
        <f t="shared" si="346"/>
        <v>Panruti</v>
      </c>
      <c r="T285" s="3" t="str">
        <f t="shared" si="347"/>
        <v>Annagramam</v>
      </c>
      <c r="U285" s="3" t="str">
        <f t="shared" si="348"/>
        <v>Cuddalore_Panruti_Annagramam</v>
      </c>
      <c r="V285" s="3">
        <f>IF(_xlfn.XLOOKUP($U285,GCA!$H$3:$H$593,GCA!E$3:E$593,"",0,1)="","",_xlfn.XLOOKUP($U285,GCA!$H$3:$H$593,GCA!E$3:E$593,"",0,1))</f>
        <v>14764.9</v>
      </c>
      <c r="W285" s="3">
        <f>IF(_xlfn.XLOOKUP($U285,GCA!$H$3:$H$593,GCA!F$3:F$593,"",0,1)="","",_xlfn.XLOOKUP($U285,GCA!$H$3:$H$593,GCA!F$3:F$593,"",0,1))</f>
        <v>13770.88</v>
      </c>
      <c r="X285" s="3">
        <f>IF(_xlfn.XLOOKUP($U285,GCA!$H$3:$H$593,GCA!G$3:G$593,"",0,1)="","",_xlfn.XLOOKUP($U285,GCA!$H$3:$H$593,GCA!G$3:G$593,"",0,1))</f>
        <v>13760.575000000001</v>
      </c>
    </row>
    <row r="286" spans="1:24" ht="13.2">
      <c r="A286" s="49"/>
      <c r="B286" s="49"/>
      <c r="C286" s="48"/>
      <c r="D286" s="49"/>
      <c r="E286" s="50"/>
      <c r="F286" s="26" t="s">
        <v>783</v>
      </c>
      <c r="G286" s="26" t="s">
        <v>783</v>
      </c>
      <c r="H286" s="27">
        <f t="shared" si="378"/>
        <v>25450.560000000001</v>
      </c>
      <c r="I286" s="27">
        <f t="shared" si="379"/>
        <v>25555.355</v>
      </c>
      <c r="J286" s="27">
        <f t="shared" si="380"/>
        <v>27233.514999999999</v>
      </c>
      <c r="K286" s="27">
        <f t="shared" si="381"/>
        <v>26079.809999999998</v>
      </c>
      <c r="L286" s="65"/>
      <c r="M286" s="67">
        <f t="shared" si="382"/>
        <v>0</v>
      </c>
      <c r="N286" s="65" t="str">
        <f t="shared" si="357"/>
        <v/>
      </c>
      <c r="O286" s="65" t="str">
        <f t="shared" ref="O286:P286" si="397">N286</f>
        <v/>
      </c>
      <c r="P286" s="65" t="str">
        <f t="shared" si="397"/>
        <v/>
      </c>
      <c r="Q286" s="38"/>
      <c r="R286" s="3" t="str">
        <f t="shared" si="385"/>
        <v>Cuddalore</v>
      </c>
      <c r="S286" s="3" t="str">
        <f t="shared" si="346"/>
        <v>Panruti</v>
      </c>
      <c r="T286" s="3" t="str">
        <f t="shared" si="347"/>
        <v>Panruti</v>
      </c>
      <c r="U286" s="3" t="str">
        <f t="shared" si="348"/>
        <v>Cuddalore_Panruti_Panruti</v>
      </c>
      <c r="V286" s="3">
        <f>IF(_xlfn.XLOOKUP($U286,GCA!$H$3:$H$593,GCA!E$3:E$593,"",0,1)="","",_xlfn.XLOOKUP($U286,GCA!$H$3:$H$593,GCA!E$3:E$593,"",0,1))</f>
        <v>25450.560000000001</v>
      </c>
      <c r="W286" s="3">
        <f>IF(_xlfn.XLOOKUP($U286,GCA!$H$3:$H$593,GCA!F$3:F$593,"",0,1)="","",_xlfn.XLOOKUP($U286,GCA!$H$3:$H$593,GCA!F$3:F$593,"",0,1))</f>
        <v>25555.355</v>
      </c>
      <c r="X286" s="3">
        <f>IF(_xlfn.XLOOKUP($U286,GCA!$H$3:$H$593,GCA!G$3:G$593,"",0,1)="","",_xlfn.XLOOKUP($U286,GCA!$H$3:$H$593,GCA!G$3:G$593,"",0,1))</f>
        <v>27233.514999999999</v>
      </c>
    </row>
    <row r="287" spans="1:24" ht="13.2">
      <c r="A287" s="49"/>
      <c r="B287" s="49"/>
      <c r="C287" s="48"/>
      <c r="D287" s="49"/>
      <c r="E287" s="50">
        <v>4</v>
      </c>
      <c r="F287" s="26" t="s">
        <v>785</v>
      </c>
      <c r="G287" s="26" t="s">
        <v>785</v>
      </c>
      <c r="H287" s="27">
        <f t="shared" si="378"/>
        <v>29171.200000000001</v>
      </c>
      <c r="I287" s="27">
        <f t="shared" si="379"/>
        <v>27654.48</v>
      </c>
      <c r="J287" s="27">
        <f t="shared" si="380"/>
        <v>27391.724999999999</v>
      </c>
      <c r="K287" s="27">
        <f t="shared" si="381"/>
        <v>28072.468333333334</v>
      </c>
      <c r="L287" s="65">
        <f>SUM(K287:K289)</f>
        <v>59048.755000000005</v>
      </c>
      <c r="M287" s="67">
        <f t="shared" si="382"/>
        <v>2.4785145386941778</v>
      </c>
      <c r="N287" s="65">
        <f t="shared" si="357"/>
        <v>2</v>
      </c>
      <c r="O287" s="65">
        <f t="shared" ref="O287:P287" si="398">N287</f>
        <v>2</v>
      </c>
      <c r="P287" s="65">
        <f t="shared" si="398"/>
        <v>2</v>
      </c>
      <c r="Q287" s="38"/>
      <c r="R287" s="3" t="str">
        <f t="shared" si="385"/>
        <v>Cuddalore</v>
      </c>
      <c r="S287" s="3" t="str">
        <f t="shared" si="346"/>
        <v>Srimushnum</v>
      </c>
      <c r="T287" s="3" t="str">
        <f t="shared" si="347"/>
        <v>Srimushnum</v>
      </c>
      <c r="U287" s="3" t="str">
        <f t="shared" si="348"/>
        <v>Cuddalore_Srimushnum_Srimushnum</v>
      </c>
      <c r="V287" s="3">
        <f>IF(_xlfn.XLOOKUP($U287,GCA!$H$3:$H$593,GCA!E$3:E$593,"",0,1)="","",_xlfn.XLOOKUP($U287,GCA!$H$3:$H$593,GCA!E$3:E$593,"",0,1))</f>
        <v>29171.200000000001</v>
      </c>
      <c r="W287" s="3">
        <f>IF(_xlfn.XLOOKUP($U287,GCA!$H$3:$H$593,GCA!F$3:F$593,"",0,1)="","",_xlfn.XLOOKUP($U287,GCA!$H$3:$H$593,GCA!F$3:F$593,"",0,1))</f>
        <v>27654.48</v>
      </c>
      <c r="X287" s="3">
        <f>IF(_xlfn.XLOOKUP($U287,GCA!$H$3:$H$593,GCA!G$3:G$593,"",0,1)="","",_xlfn.XLOOKUP($U287,GCA!$H$3:$H$593,GCA!G$3:G$593,"",0,1))</f>
        <v>27391.724999999999</v>
      </c>
    </row>
    <row r="288" spans="1:24" ht="13.2">
      <c r="A288" s="49"/>
      <c r="B288" s="49"/>
      <c r="C288" s="48"/>
      <c r="D288" s="49"/>
      <c r="E288" s="50"/>
      <c r="F288" s="26" t="s">
        <v>786</v>
      </c>
      <c r="G288" s="26" t="s">
        <v>787</v>
      </c>
      <c r="H288" s="27">
        <f t="shared" si="378"/>
        <v>19336.79</v>
      </c>
      <c r="I288" s="27">
        <f t="shared" si="379"/>
        <v>20312.3</v>
      </c>
      <c r="J288" s="27">
        <f t="shared" si="380"/>
        <v>20513.035</v>
      </c>
      <c r="K288" s="27">
        <f t="shared" si="381"/>
        <v>20054.041666666668</v>
      </c>
      <c r="L288" s="65"/>
      <c r="M288" s="67">
        <f t="shared" si="382"/>
        <v>0</v>
      </c>
      <c r="N288" s="65" t="str">
        <f t="shared" si="357"/>
        <v/>
      </c>
      <c r="O288" s="65" t="str">
        <f t="shared" ref="O288:P288" si="399">N288</f>
        <v/>
      </c>
      <c r="P288" s="65" t="str">
        <f t="shared" si="399"/>
        <v/>
      </c>
      <c r="Q288" s="38"/>
      <c r="R288" s="3" t="str">
        <f t="shared" si="385"/>
        <v>Cuddalore</v>
      </c>
      <c r="S288" s="3" t="str">
        <f t="shared" si="346"/>
        <v>Titagudi</v>
      </c>
      <c r="T288" s="3" t="str">
        <f t="shared" si="347"/>
        <v>Mangalore</v>
      </c>
      <c r="U288" s="3" t="str">
        <f t="shared" si="348"/>
        <v>Cuddalore_Titagudi_Mangalore</v>
      </c>
      <c r="V288" s="3">
        <f>IF(_xlfn.XLOOKUP($U288,GCA!$H$3:$H$593,GCA!E$3:E$593,"",0,1)="","",_xlfn.XLOOKUP($U288,GCA!$H$3:$H$593,GCA!E$3:E$593,"",0,1))</f>
        <v>19336.79</v>
      </c>
      <c r="W288" s="3">
        <f>IF(_xlfn.XLOOKUP($U288,GCA!$H$3:$H$593,GCA!F$3:F$593,"",0,1)="","",_xlfn.XLOOKUP($U288,GCA!$H$3:$H$593,GCA!F$3:F$593,"",0,1))</f>
        <v>20312.3</v>
      </c>
      <c r="X288" s="3">
        <f>IF(_xlfn.XLOOKUP($U288,GCA!$H$3:$H$593,GCA!G$3:G$593,"",0,1)="","",_xlfn.XLOOKUP($U288,GCA!$H$3:$H$593,GCA!G$3:G$593,"",0,1))</f>
        <v>20513.035</v>
      </c>
    </row>
    <row r="289" spans="1:24" ht="13.2">
      <c r="A289" s="49"/>
      <c r="B289" s="49"/>
      <c r="C289" s="48"/>
      <c r="D289" s="49"/>
      <c r="E289" s="50"/>
      <c r="F289" s="26" t="s">
        <v>786</v>
      </c>
      <c r="G289" s="26" t="s">
        <v>788</v>
      </c>
      <c r="H289" s="27">
        <f t="shared" si="378"/>
        <v>10625.125</v>
      </c>
      <c r="I289" s="27">
        <f t="shared" si="379"/>
        <v>10905.34</v>
      </c>
      <c r="J289" s="27">
        <f t="shared" si="380"/>
        <v>11236.27</v>
      </c>
      <c r="K289" s="27">
        <f t="shared" si="381"/>
        <v>10922.245000000001</v>
      </c>
      <c r="L289" s="65"/>
      <c r="M289" s="67">
        <f t="shared" si="382"/>
        <v>0</v>
      </c>
      <c r="N289" s="65" t="str">
        <f t="shared" si="357"/>
        <v/>
      </c>
      <c r="O289" s="65" t="str">
        <f t="shared" ref="O289:P289" si="400">N289</f>
        <v/>
      </c>
      <c r="P289" s="65" t="str">
        <f t="shared" si="400"/>
        <v/>
      </c>
      <c r="Q289" s="38"/>
      <c r="R289" s="3" t="str">
        <f t="shared" si="385"/>
        <v>Cuddalore</v>
      </c>
      <c r="S289" s="3" t="str">
        <f t="shared" si="346"/>
        <v>Titagudi</v>
      </c>
      <c r="T289" s="3" t="str">
        <f t="shared" si="347"/>
        <v>Nallur</v>
      </c>
      <c r="U289" s="3" t="str">
        <f t="shared" si="348"/>
        <v>Cuddalore_Titagudi_Nallur</v>
      </c>
      <c r="V289" s="3">
        <f>IF(_xlfn.XLOOKUP($U289,GCA!$H$3:$H$593,GCA!E$3:E$593,"",0,1)="","",_xlfn.XLOOKUP($U289,GCA!$H$3:$H$593,GCA!E$3:E$593,"",0,1))</f>
        <v>10625.125</v>
      </c>
      <c r="W289" s="3">
        <f>IF(_xlfn.XLOOKUP($U289,GCA!$H$3:$H$593,GCA!F$3:F$593,"",0,1)="","",_xlfn.XLOOKUP($U289,GCA!$H$3:$H$593,GCA!F$3:F$593,"",0,1))</f>
        <v>10905.34</v>
      </c>
      <c r="X289" s="3">
        <f>IF(_xlfn.XLOOKUP($U289,GCA!$H$3:$H$593,GCA!G$3:G$593,"",0,1)="","",_xlfn.XLOOKUP($U289,GCA!$H$3:$H$593,GCA!G$3:G$593,"",0,1))</f>
        <v>11236.27</v>
      </c>
    </row>
    <row r="290" spans="1:24" ht="13.2">
      <c r="A290" s="49"/>
      <c r="B290" s="49"/>
      <c r="C290" s="48"/>
      <c r="D290" s="49"/>
      <c r="E290" s="50">
        <v>5</v>
      </c>
      <c r="F290" s="26" t="s">
        <v>704</v>
      </c>
      <c r="G290" s="26" t="s">
        <v>787</v>
      </c>
      <c r="H290" s="27">
        <f t="shared" si="378"/>
        <v>9152.7849999999999</v>
      </c>
      <c r="I290" s="27">
        <f t="shared" si="379"/>
        <v>9620.17</v>
      </c>
      <c r="J290" s="27">
        <f t="shared" si="380"/>
        <v>9387.2549999999992</v>
      </c>
      <c r="K290" s="27">
        <f t="shared" si="381"/>
        <v>9386.7366666666658</v>
      </c>
      <c r="L290" s="65">
        <f>SUM(K290:K293)</f>
        <v>66699.406666666648</v>
      </c>
      <c r="M290" s="67">
        <f t="shared" si="382"/>
        <v>2.7996432633610757</v>
      </c>
      <c r="N290" s="65">
        <f t="shared" si="357"/>
        <v>3</v>
      </c>
      <c r="O290" s="65">
        <f t="shared" ref="O290:P290" si="401">N290</f>
        <v>3</v>
      </c>
      <c r="P290" s="65">
        <f t="shared" si="401"/>
        <v>3</v>
      </c>
      <c r="Q290" s="38"/>
      <c r="R290" s="3" t="str">
        <f t="shared" si="385"/>
        <v>Cuddalore</v>
      </c>
      <c r="S290" s="3" t="str">
        <f t="shared" si="346"/>
        <v>Veppur</v>
      </c>
      <c r="T290" s="3" t="str">
        <f t="shared" si="347"/>
        <v>Mangalore</v>
      </c>
      <c r="U290" s="3" t="str">
        <f t="shared" si="348"/>
        <v>Cuddalore_Veppur_Mangalore</v>
      </c>
      <c r="V290" s="3">
        <f>IF(_xlfn.XLOOKUP($U290,GCA!$H$3:$H$593,GCA!E$3:E$593,"",0,1)="","",_xlfn.XLOOKUP($U290,GCA!$H$3:$H$593,GCA!E$3:E$593,"",0,1))</f>
        <v>9152.7849999999999</v>
      </c>
      <c r="W290" s="3">
        <f>IF(_xlfn.XLOOKUP($U290,GCA!$H$3:$H$593,GCA!F$3:F$593,"",0,1)="","",_xlfn.XLOOKUP($U290,GCA!$H$3:$H$593,GCA!F$3:F$593,"",0,1))</f>
        <v>9620.17</v>
      </c>
      <c r="X290" s="3">
        <f>IF(_xlfn.XLOOKUP($U290,GCA!$H$3:$H$593,GCA!G$3:G$593,"",0,1)="","",_xlfn.XLOOKUP($U290,GCA!$H$3:$H$593,GCA!G$3:G$593,"",0,1))</f>
        <v>9387.2549999999992</v>
      </c>
    </row>
    <row r="291" spans="1:24" ht="13.2">
      <c r="A291" s="49"/>
      <c r="B291" s="49"/>
      <c r="C291" s="48"/>
      <c r="D291" s="49"/>
      <c r="E291" s="50"/>
      <c r="F291" s="26" t="s">
        <v>704</v>
      </c>
      <c r="G291" s="26" t="s">
        <v>788</v>
      </c>
      <c r="H291" s="27">
        <f t="shared" si="378"/>
        <v>13521.14</v>
      </c>
      <c r="I291" s="27">
        <f t="shared" si="379"/>
        <v>13514.674999999999</v>
      </c>
      <c r="J291" s="27">
        <f t="shared" si="380"/>
        <v>13849.84</v>
      </c>
      <c r="K291" s="27">
        <f t="shared" si="381"/>
        <v>13628.551666666666</v>
      </c>
      <c r="L291" s="65"/>
      <c r="M291" s="67">
        <f t="shared" si="382"/>
        <v>0</v>
      </c>
      <c r="N291" s="65" t="str">
        <f t="shared" si="357"/>
        <v/>
      </c>
      <c r="O291" s="65" t="str">
        <f t="shared" ref="O291:P291" si="402">N291</f>
        <v/>
      </c>
      <c r="P291" s="65" t="str">
        <f t="shared" si="402"/>
        <v/>
      </c>
      <c r="Q291" s="38"/>
      <c r="R291" s="3" t="str">
        <f t="shared" si="385"/>
        <v>Cuddalore</v>
      </c>
      <c r="S291" s="3" t="str">
        <f t="shared" si="346"/>
        <v>Veppur</v>
      </c>
      <c r="T291" s="3" t="str">
        <f t="shared" si="347"/>
        <v>Nallur</v>
      </c>
      <c r="U291" s="3" t="str">
        <f t="shared" si="348"/>
        <v>Cuddalore_Veppur_Nallur</v>
      </c>
      <c r="V291" s="3">
        <f>IF(_xlfn.XLOOKUP($U291,GCA!$H$3:$H$593,GCA!E$3:E$593,"",0,1)="","",_xlfn.XLOOKUP($U291,GCA!$H$3:$H$593,GCA!E$3:E$593,"",0,1))</f>
        <v>13521.14</v>
      </c>
      <c r="W291" s="3">
        <f>IF(_xlfn.XLOOKUP($U291,GCA!$H$3:$H$593,GCA!F$3:F$593,"",0,1)="","",_xlfn.XLOOKUP($U291,GCA!$H$3:$H$593,GCA!F$3:F$593,"",0,1))</f>
        <v>13514.674999999999</v>
      </c>
      <c r="X291" s="3">
        <f>IF(_xlfn.XLOOKUP($U291,GCA!$H$3:$H$593,GCA!G$3:G$593,"",0,1)="","",_xlfn.XLOOKUP($U291,GCA!$H$3:$H$593,GCA!G$3:G$593,"",0,1))</f>
        <v>13849.84</v>
      </c>
    </row>
    <row r="292" spans="1:24" ht="13.2">
      <c r="A292" s="49"/>
      <c r="B292" s="49"/>
      <c r="C292" s="48"/>
      <c r="D292" s="49"/>
      <c r="E292" s="50"/>
      <c r="F292" s="26" t="s">
        <v>789</v>
      </c>
      <c r="G292" s="26" t="s">
        <v>790</v>
      </c>
      <c r="H292" s="27">
        <f t="shared" si="378"/>
        <v>20870.445</v>
      </c>
      <c r="I292" s="27">
        <f t="shared" si="379"/>
        <v>19749.564999999999</v>
      </c>
      <c r="J292" s="27">
        <f t="shared" si="380"/>
        <v>20873.715</v>
      </c>
      <c r="K292" s="27">
        <f t="shared" si="381"/>
        <v>20497.908333333329</v>
      </c>
      <c r="L292" s="65"/>
      <c r="M292" s="67">
        <f t="shared" si="382"/>
        <v>0</v>
      </c>
      <c r="N292" s="65" t="str">
        <f t="shared" si="357"/>
        <v/>
      </c>
      <c r="O292" s="65" t="str">
        <f t="shared" ref="O292:P292" si="403">N292</f>
        <v/>
      </c>
      <c r="P292" s="65" t="str">
        <f t="shared" si="403"/>
        <v/>
      </c>
      <c r="Q292" s="38"/>
      <c r="R292" s="3" t="str">
        <f t="shared" si="385"/>
        <v>Cuddalore</v>
      </c>
      <c r="S292" s="3" t="str">
        <f t="shared" si="346"/>
        <v>Virudhachalam</v>
      </c>
      <c r="T292" s="3" t="str">
        <f t="shared" si="347"/>
        <v>Kammapuram</v>
      </c>
      <c r="U292" s="3" t="str">
        <f t="shared" si="348"/>
        <v>Cuddalore_Virudhachalam_Kammapuram</v>
      </c>
      <c r="V292" s="3">
        <f>IF(_xlfn.XLOOKUP($U292,GCA!$H$3:$H$593,GCA!E$3:E$593,"",0,1)="","",_xlfn.XLOOKUP($U292,GCA!$H$3:$H$593,GCA!E$3:E$593,"",0,1))</f>
        <v>20870.445</v>
      </c>
      <c r="W292" s="3">
        <f>IF(_xlfn.XLOOKUP($U292,GCA!$H$3:$H$593,GCA!F$3:F$593,"",0,1)="","",_xlfn.XLOOKUP($U292,GCA!$H$3:$H$593,GCA!F$3:F$593,"",0,1))</f>
        <v>19749.564999999999</v>
      </c>
      <c r="X292" s="3">
        <f>IF(_xlfn.XLOOKUP($U292,GCA!$H$3:$H$593,GCA!G$3:G$593,"",0,1)="","",_xlfn.XLOOKUP($U292,GCA!$H$3:$H$593,GCA!G$3:G$593,"",0,1))</f>
        <v>20873.715</v>
      </c>
    </row>
    <row r="293" spans="1:24" ht="13.2">
      <c r="A293" s="49"/>
      <c r="B293" s="49"/>
      <c r="C293" s="48"/>
      <c r="D293" s="49"/>
      <c r="E293" s="50"/>
      <c r="F293" s="26" t="s">
        <v>789</v>
      </c>
      <c r="G293" s="26" t="s">
        <v>789</v>
      </c>
      <c r="H293" s="27">
        <f t="shared" si="378"/>
        <v>22793.93</v>
      </c>
      <c r="I293" s="27">
        <f t="shared" si="379"/>
        <v>23803.314999999999</v>
      </c>
      <c r="J293" s="27">
        <f t="shared" si="380"/>
        <v>22961.384999999998</v>
      </c>
      <c r="K293" s="27">
        <f t="shared" si="381"/>
        <v>23186.209999999995</v>
      </c>
      <c r="L293" s="65"/>
      <c r="M293" s="67">
        <f t="shared" si="382"/>
        <v>0</v>
      </c>
      <c r="N293" s="65" t="str">
        <f t="shared" si="357"/>
        <v/>
      </c>
      <c r="O293" s="65" t="str">
        <f t="shared" ref="O293:P293" si="404">N293</f>
        <v/>
      </c>
      <c r="P293" s="65" t="str">
        <f t="shared" si="404"/>
        <v/>
      </c>
      <c r="Q293" s="38"/>
      <c r="R293" s="3" t="str">
        <f t="shared" si="385"/>
        <v>Cuddalore</v>
      </c>
      <c r="S293" s="3" t="str">
        <f t="shared" si="346"/>
        <v>Virudhachalam</v>
      </c>
      <c r="T293" s="3" t="str">
        <f t="shared" si="347"/>
        <v>Virudhachalam</v>
      </c>
      <c r="U293" s="3" t="str">
        <f t="shared" si="348"/>
        <v>Cuddalore_Virudhachalam_Virudhachalam</v>
      </c>
      <c r="V293" s="3">
        <f>IF(_xlfn.XLOOKUP($U293,GCA!$H$3:$H$593,GCA!E$3:E$593,"",0,1)="","",_xlfn.XLOOKUP($U293,GCA!$H$3:$H$593,GCA!E$3:E$593,"",0,1))</f>
        <v>22793.93</v>
      </c>
      <c r="W293" s="3">
        <f>IF(_xlfn.XLOOKUP($U293,GCA!$H$3:$H$593,GCA!F$3:F$593,"",0,1)="","",_xlfn.XLOOKUP($U293,GCA!$H$3:$H$593,GCA!F$3:F$593,"",0,1))</f>
        <v>23803.314999999999</v>
      </c>
      <c r="X293" s="3">
        <f>IF(_xlfn.XLOOKUP($U293,GCA!$H$3:$H$593,GCA!G$3:G$593,"",0,1)="","",_xlfn.XLOOKUP($U293,GCA!$H$3:$H$593,GCA!G$3:G$593,"",0,1))</f>
        <v>22961.384999999998</v>
      </c>
    </row>
    <row r="294" spans="1:24" ht="13.2">
      <c r="A294" s="49"/>
      <c r="B294" s="49"/>
      <c r="C294" s="48"/>
      <c r="D294" s="49"/>
      <c r="E294" s="47" t="s">
        <v>564</v>
      </c>
      <c r="F294" s="47"/>
      <c r="G294" s="47"/>
      <c r="H294" s="29">
        <f t="shared" ref="H294:P294" si="405">SUM(H273:H293)</f>
        <v>316892.13500000001</v>
      </c>
      <c r="I294" s="29">
        <f t="shared" si="405"/>
        <v>313621.73000000004</v>
      </c>
      <c r="J294" s="29">
        <f t="shared" si="405"/>
        <v>313552.06500000006</v>
      </c>
      <c r="K294" s="29">
        <f t="shared" si="405"/>
        <v>314688.64333333337</v>
      </c>
      <c r="L294" s="29">
        <f t="shared" si="405"/>
        <v>314688.64333333331</v>
      </c>
      <c r="M294" s="30">
        <f t="shared" si="405"/>
        <v>13.208752287217795</v>
      </c>
      <c r="N294" s="31">
        <f t="shared" si="405"/>
        <v>13</v>
      </c>
      <c r="O294" s="31">
        <f t="shared" si="405"/>
        <v>13</v>
      </c>
      <c r="P294" s="31">
        <f t="shared" si="405"/>
        <v>13</v>
      </c>
      <c r="Q294" s="38"/>
      <c r="R294" s="3" t="str">
        <f t="shared" si="385"/>
        <v>Cuddalore</v>
      </c>
      <c r="S294" s="3">
        <f t="shared" si="346"/>
        <v>0</v>
      </c>
      <c r="T294" s="3">
        <f t="shared" si="347"/>
        <v>0</v>
      </c>
      <c r="U294" s="3" t="str">
        <f t="shared" si="348"/>
        <v>Cuddalore_0_0</v>
      </c>
      <c r="V294" s="3" t="str">
        <f>IF(_xlfn.XLOOKUP($U294,GCA!$H$3:$H$593,GCA!E$3:E$593,"",0,1)="","",_xlfn.XLOOKUP($U294,GCA!$H$3:$H$593,GCA!E$3:E$593,"",0,1))</f>
        <v/>
      </c>
      <c r="W294" s="3" t="str">
        <f>IF(_xlfn.XLOOKUP($U294,GCA!$H$3:$H$593,GCA!F$3:F$593,"",0,1)="","",_xlfn.XLOOKUP($U294,GCA!$H$3:$H$593,GCA!F$3:F$593,"",0,1))</f>
        <v/>
      </c>
      <c r="X294" s="3" t="str">
        <f>IF(_xlfn.XLOOKUP($U294,GCA!$H$3:$H$593,GCA!G$3:G$593,"",0,1)="","",_xlfn.XLOOKUP($U294,GCA!$H$3:$H$593,GCA!G$3:G$593,"",0,1))</f>
        <v/>
      </c>
    </row>
    <row r="295" spans="1:24" ht="13.2">
      <c r="A295" s="49"/>
      <c r="B295" s="49"/>
      <c r="C295" s="48" t="s">
        <v>228</v>
      </c>
      <c r="D295" s="49" t="s">
        <v>544</v>
      </c>
      <c r="E295" s="56">
        <v>1</v>
      </c>
      <c r="F295" s="26" t="s">
        <v>791</v>
      </c>
      <c r="G295" s="26" t="s">
        <v>791</v>
      </c>
      <c r="H295" s="27">
        <f t="shared" ref="H295:H312" si="406">V295</f>
        <v>26504.67</v>
      </c>
      <c r="I295" s="27">
        <f t="shared" ref="I295:I312" si="407">W295</f>
        <v>23236.799999999999</v>
      </c>
      <c r="J295" s="27">
        <f t="shared" ref="J295:J312" si="408">X295</f>
        <v>22118.39</v>
      </c>
      <c r="K295" s="27">
        <f t="shared" ref="K295:K312" si="409">IFERROR(AVERAGE(H295:J295),"")</f>
        <v>23953.286666666667</v>
      </c>
      <c r="L295" s="62">
        <f>SUM(K295:K299)</f>
        <v>40662.28833333333</v>
      </c>
      <c r="M295" s="69">
        <f t="shared" ref="M295:M312" si="410">L295*$L$643/$L$642</f>
        <v>1.7067603340788691</v>
      </c>
      <c r="N295" s="83">
        <f t="shared" si="357"/>
        <v>2</v>
      </c>
      <c r="O295" s="83">
        <f t="shared" ref="O295:P295" si="411">N295</f>
        <v>2</v>
      </c>
      <c r="P295" s="83">
        <f t="shared" si="411"/>
        <v>2</v>
      </c>
      <c r="Q295" s="38"/>
      <c r="R295" s="3" t="str">
        <f t="shared" si="351"/>
        <v>Kallakurichi</v>
      </c>
      <c r="S295" s="3" t="str">
        <f t="shared" si="346"/>
        <v>Chinnasalem</v>
      </c>
      <c r="T295" s="3" t="str">
        <f t="shared" si="347"/>
        <v>Chinnasalem</v>
      </c>
      <c r="U295" s="3" t="str">
        <f t="shared" si="348"/>
        <v>Kallakurichi_Chinnasalem_Chinnasalem</v>
      </c>
      <c r="V295" s="3">
        <f>IF(_xlfn.XLOOKUP($U295,GCA!$H$3:$H$593,GCA!E$3:E$593,"",0,1)="","",_xlfn.XLOOKUP($U295,GCA!$H$3:$H$593,GCA!E$3:E$593,"",0,1))</f>
        <v>26504.67</v>
      </c>
      <c r="W295" s="3">
        <f>IF(_xlfn.XLOOKUP($U295,GCA!$H$3:$H$593,GCA!F$3:F$593,"",0,1)="","",_xlfn.XLOOKUP($U295,GCA!$H$3:$H$593,GCA!F$3:F$593,"",0,1))</f>
        <v>23236.799999999999</v>
      </c>
      <c r="X295" s="3">
        <f>IF(_xlfn.XLOOKUP($U295,GCA!$H$3:$H$593,GCA!G$3:G$593,"",0,1)="","",_xlfn.XLOOKUP($U295,GCA!$H$3:$H$593,GCA!G$3:G$593,"",0,1))</f>
        <v>22118.39</v>
      </c>
    </row>
    <row r="296" spans="1:24" ht="13.2">
      <c r="A296" s="49"/>
      <c r="B296" s="49"/>
      <c r="C296" s="48"/>
      <c r="D296" s="49"/>
      <c r="E296" s="57"/>
      <c r="F296" s="26" t="s">
        <v>791</v>
      </c>
      <c r="G296" s="26" t="s">
        <v>228</v>
      </c>
      <c r="H296" s="27">
        <f t="shared" si="406"/>
        <v>5698.45</v>
      </c>
      <c r="I296" s="27">
        <f t="shared" si="407"/>
        <v>5038.8500000000004</v>
      </c>
      <c r="J296" s="27">
        <f t="shared" si="408"/>
        <v>5143.49</v>
      </c>
      <c r="K296" s="27">
        <f t="shared" si="409"/>
        <v>5293.5966666666664</v>
      </c>
      <c r="L296" s="74"/>
      <c r="M296" s="70">
        <f t="shared" si="410"/>
        <v>0</v>
      </c>
      <c r="N296" s="74" t="str">
        <f t="shared" si="357"/>
        <v/>
      </c>
      <c r="O296" s="74" t="str">
        <f t="shared" ref="O296:P296" si="412">N296</f>
        <v/>
      </c>
      <c r="P296" s="74" t="str">
        <f t="shared" si="412"/>
        <v/>
      </c>
      <c r="Q296" s="38"/>
      <c r="R296" s="3" t="str">
        <f t="shared" ref="R296:R313" si="413">R295</f>
        <v>Kallakurichi</v>
      </c>
      <c r="S296" s="3" t="str">
        <f t="shared" si="346"/>
        <v>Chinnasalem</v>
      </c>
      <c r="T296" s="3" t="str">
        <f t="shared" si="347"/>
        <v>Kallakurichi</v>
      </c>
      <c r="U296" s="3" t="str">
        <f t="shared" si="348"/>
        <v>Kallakurichi_Chinnasalem_Kallakurichi</v>
      </c>
      <c r="V296" s="3">
        <f>IF(_xlfn.XLOOKUP($U296,GCA!$H$3:$H$593,GCA!E$3:E$593,"",0,1)="","",_xlfn.XLOOKUP($U296,GCA!$H$3:$H$593,GCA!E$3:E$593,"",0,1))</f>
        <v>5698.45</v>
      </c>
      <c r="W296" s="3">
        <f>IF(_xlfn.XLOOKUP($U296,GCA!$H$3:$H$593,GCA!F$3:F$593,"",0,1)="","",_xlfn.XLOOKUP($U296,GCA!$H$3:$H$593,GCA!F$3:F$593,"",0,1))</f>
        <v>5038.8500000000004</v>
      </c>
      <c r="X296" s="3">
        <f>IF(_xlfn.XLOOKUP($U296,GCA!$H$3:$H$593,GCA!G$3:G$593,"",0,1)="","",_xlfn.XLOOKUP($U296,GCA!$H$3:$H$593,GCA!G$3:G$593,"",0,1))</f>
        <v>5143.49</v>
      </c>
    </row>
    <row r="297" spans="1:24" ht="13.2">
      <c r="A297" s="49"/>
      <c r="B297" s="49"/>
      <c r="C297" s="48"/>
      <c r="D297" s="49"/>
      <c r="E297" s="57"/>
      <c r="F297" s="26" t="s">
        <v>791</v>
      </c>
      <c r="G297" s="26" t="s">
        <v>792</v>
      </c>
      <c r="H297" s="27">
        <f t="shared" si="406"/>
        <v>853.16</v>
      </c>
      <c r="I297" s="27">
        <f t="shared" si="407"/>
        <v>900.66</v>
      </c>
      <c r="J297" s="27">
        <f t="shared" si="408"/>
        <v>748.43499999999995</v>
      </c>
      <c r="K297" s="27">
        <f t="shared" si="409"/>
        <v>834.08500000000004</v>
      </c>
      <c r="L297" s="74"/>
      <c r="M297" s="70">
        <f t="shared" si="410"/>
        <v>0</v>
      </c>
      <c r="N297" s="74" t="str">
        <f t="shared" si="357"/>
        <v/>
      </c>
      <c r="O297" s="74" t="str">
        <f t="shared" ref="O297:P297" si="414">N297</f>
        <v/>
      </c>
      <c r="P297" s="74" t="str">
        <f t="shared" si="414"/>
        <v/>
      </c>
      <c r="Q297" s="38"/>
      <c r="R297" s="3" t="str">
        <f t="shared" si="413"/>
        <v>Kallakurichi</v>
      </c>
      <c r="S297" s="3" t="str">
        <f t="shared" si="346"/>
        <v>Chinnasalem</v>
      </c>
      <c r="T297" s="3" t="str">
        <f t="shared" si="347"/>
        <v>Kalvarayan Malai</v>
      </c>
      <c r="U297" s="3" t="str">
        <f t="shared" si="348"/>
        <v>Kallakurichi_Chinnasalem_Kalvarayan Malai</v>
      </c>
      <c r="V297" s="3">
        <f>IF(_xlfn.XLOOKUP($U297,GCA!$H$3:$H$593,GCA!E$3:E$593,"",0,1)="","",_xlfn.XLOOKUP($U297,GCA!$H$3:$H$593,GCA!E$3:E$593,"",0,1))</f>
        <v>853.16</v>
      </c>
      <c r="W297" s="3">
        <f>IF(_xlfn.XLOOKUP($U297,GCA!$H$3:$H$593,GCA!F$3:F$593,"",0,1)="","",_xlfn.XLOOKUP($U297,GCA!$H$3:$H$593,GCA!F$3:F$593,"",0,1))</f>
        <v>900.66</v>
      </c>
      <c r="X297" s="3">
        <f>IF(_xlfn.XLOOKUP($U297,GCA!$H$3:$H$593,GCA!G$3:G$593,"",0,1)="","",_xlfn.XLOOKUP($U297,GCA!$H$3:$H$593,GCA!G$3:G$593,"",0,1))</f>
        <v>748.43499999999995</v>
      </c>
    </row>
    <row r="298" spans="1:24" ht="13.2">
      <c r="A298" s="49"/>
      <c r="B298" s="49"/>
      <c r="C298" s="48"/>
      <c r="D298" s="49"/>
      <c r="E298" s="57"/>
      <c r="F298" s="26" t="s">
        <v>791</v>
      </c>
      <c r="G298" s="26" t="s">
        <v>793</v>
      </c>
      <c r="H298" s="27">
        <f t="shared" si="406"/>
        <v>845.72</v>
      </c>
      <c r="I298" s="27">
        <f t="shared" si="407"/>
        <v>1076.72</v>
      </c>
      <c r="J298" s="27">
        <f t="shared" si="408"/>
        <v>865.72</v>
      </c>
      <c r="K298" s="27">
        <f t="shared" si="409"/>
        <v>929.38666666666666</v>
      </c>
      <c r="L298" s="74"/>
      <c r="M298" s="70">
        <f t="shared" si="410"/>
        <v>0</v>
      </c>
      <c r="N298" s="74" t="str">
        <f t="shared" si="357"/>
        <v/>
      </c>
      <c r="O298" s="74" t="str">
        <f t="shared" ref="O298:P298" si="415">N298</f>
        <v/>
      </c>
      <c r="P298" s="74" t="str">
        <f t="shared" si="415"/>
        <v/>
      </c>
      <c r="Q298" s="38"/>
      <c r="R298" s="3" t="str">
        <f t="shared" si="413"/>
        <v>Kallakurichi</v>
      </c>
      <c r="S298" s="3" t="str">
        <f t="shared" si="346"/>
        <v>Chinnasalem</v>
      </c>
      <c r="T298" s="3" t="str">
        <f t="shared" si="347"/>
        <v>Sankarapuram</v>
      </c>
      <c r="U298" s="3" t="str">
        <f t="shared" si="348"/>
        <v>Kallakurichi_Chinnasalem_Sankarapuram</v>
      </c>
      <c r="V298" s="3">
        <f>IF(_xlfn.XLOOKUP($U298,GCA!$H$3:$H$593,GCA!E$3:E$593,"",0,1)="","",_xlfn.XLOOKUP($U298,GCA!$H$3:$H$593,GCA!E$3:E$593,"",0,1))</f>
        <v>845.72</v>
      </c>
      <c r="W298" s="3">
        <f>IF(_xlfn.XLOOKUP($U298,GCA!$H$3:$H$593,GCA!F$3:F$593,"",0,1)="","",_xlfn.XLOOKUP($U298,GCA!$H$3:$H$593,GCA!F$3:F$593,"",0,1))</f>
        <v>1076.72</v>
      </c>
      <c r="X298" s="3">
        <f>IF(_xlfn.XLOOKUP($U298,GCA!$H$3:$H$593,GCA!G$3:G$593,"",0,1)="","",_xlfn.XLOOKUP($U298,GCA!$H$3:$H$593,GCA!G$3:G$593,"",0,1))</f>
        <v>865.72</v>
      </c>
    </row>
    <row r="299" spans="1:24" ht="13.2">
      <c r="A299" s="49"/>
      <c r="B299" s="49"/>
      <c r="C299" s="48"/>
      <c r="D299" s="49"/>
      <c r="E299" s="58"/>
      <c r="F299" s="26" t="s">
        <v>792</v>
      </c>
      <c r="G299" s="26" t="s">
        <v>792</v>
      </c>
      <c r="H299" s="27">
        <f t="shared" si="406"/>
        <v>9482.7000000000007</v>
      </c>
      <c r="I299" s="27">
        <f t="shared" si="407"/>
        <v>10047.65</v>
      </c>
      <c r="J299" s="27">
        <f t="shared" si="408"/>
        <v>9425.4500000000007</v>
      </c>
      <c r="K299" s="27">
        <f t="shared" si="409"/>
        <v>9651.9333333333325</v>
      </c>
      <c r="L299" s="75"/>
      <c r="M299" s="71">
        <f t="shared" si="410"/>
        <v>0</v>
      </c>
      <c r="N299" s="75" t="str">
        <f t="shared" si="357"/>
        <v/>
      </c>
      <c r="O299" s="75" t="str">
        <f t="shared" ref="O299:P299" si="416">N299</f>
        <v/>
      </c>
      <c r="P299" s="75" t="str">
        <f t="shared" si="416"/>
        <v/>
      </c>
      <c r="Q299" s="38"/>
      <c r="R299" s="3" t="str">
        <f t="shared" si="413"/>
        <v>Kallakurichi</v>
      </c>
      <c r="S299" s="3" t="str">
        <f t="shared" si="346"/>
        <v>Kalvarayan Malai</v>
      </c>
      <c r="T299" s="3" t="str">
        <f t="shared" si="347"/>
        <v>Kalvarayan Malai</v>
      </c>
      <c r="U299" s="3" t="str">
        <f t="shared" si="348"/>
        <v>Kallakurichi_Kalvarayan Malai_Kalvarayan Malai</v>
      </c>
      <c r="V299" s="3">
        <f>IF(_xlfn.XLOOKUP($U299,GCA!$H$3:$H$593,GCA!E$3:E$593,"",0,1)="","",_xlfn.XLOOKUP($U299,GCA!$H$3:$H$593,GCA!E$3:E$593,"",0,1))</f>
        <v>9482.7000000000007</v>
      </c>
      <c r="W299" s="3">
        <f>IF(_xlfn.XLOOKUP($U299,GCA!$H$3:$H$593,GCA!F$3:F$593,"",0,1)="","",_xlfn.XLOOKUP($U299,GCA!$H$3:$H$593,GCA!F$3:F$593,"",0,1))</f>
        <v>10047.65</v>
      </c>
      <c r="X299" s="3">
        <f>IF(_xlfn.XLOOKUP($U299,GCA!$H$3:$H$593,GCA!G$3:G$593,"",0,1)="","",_xlfn.XLOOKUP($U299,GCA!$H$3:$H$593,GCA!G$3:G$593,"",0,1))</f>
        <v>9425.4500000000007</v>
      </c>
    </row>
    <row r="300" spans="1:24" ht="13.2">
      <c r="A300" s="49"/>
      <c r="B300" s="49"/>
      <c r="C300" s="48"/>
      <c r="D300" s="49"/>
      <c r="E300" s="56">
        <v>2</v>
      </c>
      <c r="F300" s="26" t="s">
        <v>228</v>
      </c>
      <c r="G300" s="26" t="s">
        <v>791</v>
      </c>
      <c r="H300" s="27">
        <f t="shared" si="406"/>
        <v>6506.32</v>
      </c>
      <c r="I300" s="27">
        <f t="shared" si="407"/>
        <v>6281.93</v>
      </c>
      <c r="J300" s="27">
        <f t="shared" si="408"/>
        <v>6872.72</v>
      </c>
      <c r="K300" s="27">
        <f t="shared" si="409"/>
        <v>6553.6566666666668</v>
      </c>
      <c r="L300" s="62">
        <f>SUM(K300:K303)</f>
        <v>36108.369999999995</v>
      </c>
      <c r="M300" s="69">
        <f t="shared" si="410"/>
        <v>1.5156140042842339</v>
      </c>
      <c r="N300" s="83">
        <f t="shared" si="357"/>
        <v>2</v>
      </c>
      <c r="O300" s="83">
        <f t="shared" ref="O300:P300" si="417">N300</f>
        <v>2</v>
      </c>
      <c r="P300" s="83">
        <f t="shared" si="417"/>
        <v>2</v>
      </c>
      <c r="Q300" s="38"/>
      <c r="R300" s="3" t="str">
        <f t="shared" si="413"/>
        <v>Kallakurichi</v>
      </c>
      <c r="S300" s="3" t="str">
        <f t="shared" si="346"/>
        <v>Kallakurichi</v>
      </c>
      <c r="T300" s="3" t="str">
        <f t="shared" si="347"/>
        <v>Chinnasalem</v>
      </c>
      <c r="U300" s="3" t="str">
        <f t="shared" si="348"/>
        <v>Kallakurichi_Kallakurichi_Chinnasalem</v>
      </c>
      <c r="V300" s="3">
        <f>IF(_xlfn.XLOOKUP($U300,GCA!$H$3:$H$593,GCA!E$3:E$593,"",0,1)="","",_xlfn.XLOOKUP($U300,GCA!$H$3:$H$593,GCA!E$3:E$593,"",0,1))</f>
        <v>6506.32</v>
      </c>
      <c r="W300" s="3">
        <f>IF(_xlfn.XLOOKUP($U300,GCA!$H$3:$H$593,GCA!F$3:F$593,"",0,1)="","",_xlfn.XLOOKUP($U300,GCA!$H$3:$H$593,GCA!F$3:F$593,"",0,1))</f>
        <v>6281.93</v>
      </c>
      <c r="X300" s="3">
        <f>IF(_xlfn.XLOOKUP($U300,GCA!$H$3:$H$593,GCA!G$3:G$593,"",0,1)="","",_xlfn.XLOOKUP($U300,GCA!$H$3:$H$593,GCA!G$3:G$593,"",0,1))</f>
        <v>6872.72</v>
      </c>
    </row>
    <row r="301" spans="1:24" ht="13.2">
      <c r="A301" s="49"/>
      <c r="B301" s="49"/>
      <c r="C301" s="48"/>
      <c r="D301" s="49"/>
      <c r="E301" s="57"/>
      <c r="F301" s="26" t="s">
        <v>228</v>
      </c>
      <c r="G301" s="26" t="s">
        <v>228</v>
      </c>
      <c r="H301" s="27">
        <f t="shared" si="406"/>
        <v>11234.66</v>
      </c>
      <c r="I301" s="27">
        <f t="shared" si="407"/>
        <v>11661.47</v>
      </c>
      <c r="J301" s="27">
        <f t="shared" si="408"/>
        <v>10997.98</v>
      </c>
      <c r="K301" s="27">
        <f t="shared" si="409"/>
        <v>11298.036666666667</v>
      </c>
      <c r="L301" s="74"/>
      <c r="M301" s="70">
        <f t="shared" si="410"/>
        <v>0</v>
      </c>
      <c r="N301" s="74" t="str">
        <f t="shared" si="357"/>
        <v/>
      </c>
      <c r="O301" s="74" t="str">
        <f t="shared" ref="O301:P301" si="418">N301</f>
        <v/>
      </c>
      <c r="P301" s="74" t="str">
        <f t="shared" si="418"/>
        <v/>
      </c>
      <c r="Q301" s="38"/>
      <c r="R301" s="3" t="str">
        <f t="shared" si="413"/>
        <v>Kallakurichi</v>
      </c>
      <c r="S301" s="3" t="str">
        <f t="shared" si="346"/>
        <v>Kallakurichi</v>
      </c>
      <c r="T301" s="3" t="str">
        <f t="shared" si="347"/>
        <v>Kallakurichi</v>
      </c>
      <c r="U301" s="3" t="str">
        <f t="shared" si="348"/>
        <v>Kallakurichi_Kallakurichi_Kallakurichi</v>
      </c>
      <c r="V301" s="3">
        <f>IF(_xlfn.XLOOKUP($U301,GCA!$H$3:$H$593,GCA!E$3:E$593,"",0,1)="","",_xlfn.XLOOKUP($U301,GCA!$H$3:$H$593,GCA!E$3:E$593,"",0,1))</f>
        <v>11234.66</v>
      </c>
      <c r="W301" s="3">
        <f>IF(_xlfn.XLOOKUP($U301,GCA!$H$3:$H$593,GCA!F$3:F$593,"",0,1)="","",_xlfn.XLOOKUP($U301,GCA!$H$3:$H$593,GCA!F$3:F$593,"",0,1))</f>
        <v>11661.47</v>
      </c>
      <c r="X301" s="3">
        <f>IF(_xlfn.XLOOKUP($U301,GCA!$H$3:$H$593,GCA!G$3:G$593,"",0,1)="","",_xlfn.XLOOKUP($U301,GCA!$H$3:$H$593,GCA!G$3:G$593,"",0,1))</f>
        <v>10997.98</v>
      </c>
    </row>
    <row r="302" spans="1:24" ht="13.2">
      <c r="A302" s="49"/>
      <c r="B302" s="49"/>
      <c r="C302" s="48"/>
      <c r="D302" s="49"/>
      <c r="E302" s="57"/>
      <c r="F302" s="26" t="s">
        <v>228</v>
      </c>
      <c r="G302" s="26" t="s">
        <v>794</v>
      </c>
      <c r="H302" s="27">
        <f t="shared" si="406"/>
        <v>712</v>
      </c>
      <c r="I302" s="27">
        <f t="shared" si="407"/>
        <v>533</v>
      </c>
      <c r="J302" s="27">
        <f t="shared" si="408"/>
        <v>476.2</v>
      </c>
      <c r="K302" s="27">
        <f t="shared" si="409"/>
        <v>573.73333333333335</v>
      </c>
      <c r="L302" s="74"/>
      <c r="M302" s="70">
        <f t="shared" si="410"/>
        <v>0</v>
      </c>
      <c r="N302" s="74" t="str">
        <f t="shared" si="357"/>
        <v/>
      </c>
      <c r="O302" s="74" t="str">
        <f t="shared" ref="O302:P302" si="419">N302</f>
        <v/>
      </c>
      <c r="P302" s="74" t="str">
        <f t="shared" si="419"/>
        <v/>
      </c>
      <c r="Q302" s="38"/>
      <c r="R302" s="3" t="str">
        <f t="shared" si="413"/>
        <v>Kallakurichi</v>
      </c>
      <c r="S302" s="3" t="str">
        <f t="shared" si="346"/>
        <v>Kallakurichi</v>
      </c>
      <c r="T302" s="3" t="str">
        <f t="shared" si="347"/>
        <v>Rishivandhiyam</v>
      </c>
      <c r="U302" s="3" t="str">
        <f t="shared" si="348"/>
        <v>Kallakurichi_Kallakurichi_Rishivandhiyam</v>
      </c>
      <c r="V302" s="3">
        <f>IF(_xlfn.XLOOKUP($U302,GCA!$H$3:$H$593,GCA!E$3:E$593,"",0,1)="","",_xlfn.XLOOKUP($U302,GCA!$H$3:$H$593,GCA!E$3:E$593,"",0,1))</f>
        <v>712</v>
      </c>
      <c r="W302" s="3">
        <f>IF(_xlfn.XLOOKUP($U302,GCA!$H$3:$H$593,GCA!F$3:F$593,"",0,1)="","",_xlfn.XLOOKUP($U302,GCA!$H$3:$H$593,GCA!F$3:F$593,"",0,1))</f>
        <v>533</v>
      </c>
      <c r="X302" s="3">
        <f>IF(_xlfn.XLOOKUP($U302,GCA!$H$3:$H$593,GCA!G$3:G$593,"",0,1)="","",_xlfn.XLOOKUP($U302,GCA!$H$3:$H$593,GCA!G$3:G$593,"",0,1))</f>
        <v>476.2</v>
      </c>
    </row>
    <row r="303" spans="1:24" ht="13.2">
      <c r="A303" s="49"/>
      <c r="B303" s="49"/>
      <c r="C303" s="48"/>
      <c r="D303" s="49"/>
      <c r="E303" s="58"/>
      <c r="F303" s="26" t="s">
        <v>228</v>
      </c>
      <c r="G303" s="26" t="s">
        <v>795</v>
      </c>
      <c r="H303" s="27">
        <f t="shared" si="406"/>
        <v>17560.87</v>
      </c>
      <c r="I303" s="27">
        <f t="shared" si="407"/>
        <v>17542.900000000001</v>
      </c>
      <c r="J303" s="27">
        <f t="shared" si="408"/>
        <v>17945.060000000001</v>
      </c>
      <c r="K303" s="27">
        <f t="shared" si="409"/>
        <v>17682.943333333333</v>
      </c>
      <c r="L303" s="75"/>
      <c r="M303" s="71">
        <f t="shared" si="410"/>
        <v>0</v>
      </c>
      <c r="N303" s="75" t="str">
        <f t="shared" si="357"/>
        <v/>
      </c>
      <c r="O303" s="75" t="str">
        <f t="shared" ref="O303:P303" si="420">N303</f>
        <v/>
      </c>
      <c r="P303" s="75" t="str">
        <f t="shared" si="420"/>
        <v/>
      </c>
      <c r="Q303" s="38"/>
      <c r="R303" s="3" t="str">
        <f t="shared" si="413"/>
        <v>Kallakurichi</v>
      </c>
      <c r="S303" s="3" t="str">
        <f t="shared" si="346"/>
        <v>Kallakurichi</v>
      </c>
      <c r="T303" s="3" t="str">
        <f t="shared" si="347"/>
        <v>Thiyagadurgam</v>
      </c>
      <c r="U303" s="3" t="str">
        <f t="shared" si="348"/>
        <v>Kallakurichi_Kallakurichi_Thiyagadurgam</v>
      </c>
      <c r="V303" s="3">
        <f>IF(_xlfn.XLOOKUP($U303,GCA!$H$3:$H$593,GCA!E$3:E$593,"",0,1)="","",_xlfn.XLOOKUP($U303,GCA!$H$3:$H$593,GCA!E$3:E$593,"",0,1))</f>
        <v>17560.87</v>
      </c>
      <c r="W303" s="3">
        <f>IF(_xlfn.XLOOKUP($U303,GCA!$H$3:$H$593,GCA!F$3:F$593,"",0,1)="","",_xlfn.XLOOKUP($U303,GCA!$H$3:$H$593,GCA!F$3:F$593,"",0,1))</f>
        <v>17542.900000000001</v>
      </c>
      <c r="X303" s="3">
        <f>IF(_xlfn.XLOOKUP($U303,GCA!$H$3:$H$593,GCA!G$3:G$593,"",0,1)="","",_xlfn.XLOOKUP($U303,GCA!$H$3:$H$593,GCA!G$3:G$593,"",0,1))</f>
        <v>17945.060000000001</v>
      </c>
    </row>
    <row r="304" spans="1:24" ht="13.2">
      <c r="A304" s="49"/>
      <c r="B304" s="49"/>
      <c r="C304" s="48"/>
      <c r="D304" s="49"/>
      <c r="E304" s="56">
        <v>3</v>
      </c>
      <c r="F304" s="26" t="s">
        <v>793</v>
      </c>
      <c r="G304" s="26" t="s">
        <v>228</v>
      </c>
      <c r="H304" s="27">
        <f t="shared" si="406"/>
        <v>4548.68</v>
      </c>
      <c r="I304" s="27">
        <f t="shared" si="407"/>
        <v>4641.87</v>
      </c>
      <c r="J304" s="27">
        <f t="shared" si="408"/>
        <v>4416.8999999999996</v>
      </c>
      <c r="K304" s="27">
        <f t="shared" si="409"/>
        <v>4535.8166666666666</v>
      </c>
      <c r="L304" s="62">
        <f>SUM(K304:K308)</f>
        <v>75365.39</v>
      </c>
      <c r="M304" s="69">
        <f t="shared" si="410"/>
        <v>3.1633895554505216</v>
      </c>
      <c r="N304" s="83">
        <f t="shared" si="357"/>
        <v>3</v>
      </c>
      <c r="O304" s="83">
        <f t="shared" ref="O304:P304" si="421">N304</f>
        <v>3</v>
      </c>
      <c r="P304" s="83">
        <f t="shared" si="421"/>
        <v>3</v>
      </c>
      <c r="Q304" s="38"/>
      <c r="R304" s="3" t="str">
        <f t="shared" si="413"/>
        <v>Kallakurichi</v>
      </c>
      <c r="S304" s="3" t="str">
        <f t="shared" si="346"/>
        <v>Sankarapuram</v>
      </c>
      <c r="T304" s="3" t="str">
        <f t="shared" si="347"/>
        <v>Kallakurichi</v>
      </c>
      <c r="U304" s="3" t="str">
        <f t="shared" si="348"/>
        <v>Kallakurichi_Sankarapuram_Kallakurichi</v>
      </c>
      <c r="V304" s="3">
        <f>IF(_xlfn.XLOOKUP($U304,GCA!$H$3:$H$593,GCA!E$3:E$593,"",0,1)="","",_xlfn.XLOOKUP($U304,GCA!$H$3:$H$593,GCA!E$3:E$593,"",0,1))</f>
        <v>4548.68</v>
      </c>
      <c r="W304" s="3">
        <f>IF(_xlfn.XLOOKUP($U304,GCA!$H$3:$H$593,GCA!F$3:F$593,"",0,1)="","",_xlfn.XLOOKUP($U304,GCA!$H$3:$H$593,GCA!F$3:F$593,"",0,1))</f>
        <v>4641.87</v>
      </c>
      <c r="X304" s="3">
        <f>IF(_xlfn.XLOOKUP($U304,GCA!$H$3:$H$593,GCA!G$3:G$593,"",0,1)="","",_xlfn.XLOOKUP($U304,GCA!$H$3:$H$593,GCA!G$3:G$593,"",0,1))</f>
        <v>4416.8999999999996</v>
      </c>
    </row>
    <row r="305" spans="1:24" ht="13.2">
      <c r="A305" s="49"/>
      <c r="B305" s="49"/>
      <c r="C305" s="48"/>
      <c r="D305" s="49"/>
      <c r="E305" s="57"/>
      <c r="F305" s="26" t="s">
        <v>793</v>
      </c>
      <c r="G305" s="26" t="s">
        <v>792</v>
      </c>
      <c r="H305" s="27">
        <f t="shared" si="406"/>
        <v>2898.2</v>
      </c>
      <c r="I305" s="27">
        <f t="shared" si="407"/>
        <v>3160.25</v>
      </c>
      <c r="J305" s="27">
        <f t="shared" si="408"/>
        <v>2798.2350000000001</v>
      </c>
      <c r="K305" s="27">
        <f t="shared" si="409"/>
        <v>2952.228333333333</v>
      </c>
      <c r="L305" s="74"/>
      <c r="M305" s="70">
        <f t="shared" si="410"/>
        <v>0</v>
      </c>
      <c r="N305" s="74" t="str">
        <f t="shared" si="357"/>
        <v/>
      </c>
      <c r="O305" s="74" t="str">
        <f t="shared" ref="O305:P305" si="422">N305</f>
        <v/>
      </c>
      <c r="P305" s="74" t="str">
        <f t="shared" si="422"/>
        <v/>
      </c>
      <c r="Q305" s="38"/>
      <c r="R305" s="3" t="str">
        <f t="shared" si="413"/>
        <v>Kallakurichi</v>
      </c>
      <c r="S305" s="3" t="str">
        <f t="shared" si="346"/>
        <v>Sankarapuram</v>
      </c>
      <c r="T305" s="3" t="str">
        <f t="shared" si="347"/>
        <v>Kalvarayan Malai</v>
      </c>
      <c r="U305" s="3" t="str">
        <f t="shared" si="348"/>
        <v>Kallakurichi_Sankarapuram_Kalvarayan Malai</v>
      </c>
      <c r="V305" s="3">
        <f>IF(_xlfn.XLOOKUP($U305,GCA!$H$3:$H$593,GCA!E$3:E$593,"",0,1)="","",_xlfn.XLOOKUP($U305,GCA!$H$3:$H$593,GCA!E$3:E$593,"",0,1))</f>
        <v>2898.2</v>
      </c>
      <c r="W305" s="3">
        <f>IF(_xlfn.XLOOKUP($U305,GCA!$H$3:$H$593,GCA!F$3:F$593,"",0,1)="","",_xlfn.XLOOKUP($U305,GCA!$H$3:$H$593,GCA!F$3:F$593,"",0,1))</f>
        <v>3160.25</v>
      </c>
      <c r="X305" s="3">
        <f>IF(_xlfn.XLOOKUP($U305,GCA!$H$3:$H$593,GCA!G$3:G$593,"",0,1)="","",_xlfn.XLOOKUP($U305,GCA!$H$3:$H$593,GCA!G$3:G$593,"",0,1))</f>
        <v>2798.2350000000001</v>
      </c>
    </row>
    <row r="306" spans="1:24" ht="13.2">
      <c r="A306" s="49"/>
      <c r="B306" s="49"/>
      <c r="C306" s="48"/>
      <c r="D306" s="49"/>
      <c r="E306" s="57"/>
      <c r="F306" s="26" t="s">
        <v>793</v>
      </c>
      <c r="G306" s="26" t="s">
        <v>793</v>
      </c>
      <c r="H306" s="27">
        <f t="shared" si="406"/>
        <v>14276.21</v>
      </c>
      <c r="I306" s="27">
        <f t="shared" si="407"/>
        <v>13994.87</v>
      </c>
      <c r="J306" s="27">
        <f t="shared" si="408"/>
        <v>14038.05</v>
      </c>
      <c r="K306" s="27">
        <f t="shared" si="409"/>
        <v>14103.043333333335</v>
      </c>
      <c r="L306" s="74"/>
      <c r="M306" s="70">
        <f t="shared" si="410"/>
        <v>0</v>
      </c>
      <c r="N306" s="74" t="str">
        <f t="shared" si="357"/>
        <v/>
      </c>
      <c r="O306" s="74" t="str">
        <f t="shared" ref="O306:P306" si="423">N306</f>
        <v/>
      </c>
      <c r="P306" s="74" t="str">
        <f t="shared" si="423"/>
        <v/>
      </c>
      <c r="Q306" s="38"/>
      <c r="R306" s="3" t="str">
        <f t="shared" si="413"/>
        <v>Kallakurichi</v>
      </c>
      <c r="S306" s="3" t="str">
        <f t="shared" si="346"/>
        <v>Sankarapuram</v>
      </c>
      <c r="T306" s="3" t="str">
        <f t="shared" si="347"/>
        <v>Sankarapuram</v>
      </c>
      <c r="U306" s="3" t="str">
        <f t="shared" si="348"/>
        <v>Kallakurichi_Sankarapuram_Sankarapuram</v>
      </c>
      <c r="V306" s="3">
        <f>IF(_xlfn.XLOOKUP($U306,GCA!$H$3:$H$593,GCA!E$3:E$593,"",0,1)="","",_xlfn.XLOOKUP($U306,GCA!$H$3:$H$593,GCA!E$3:E$593,"",0,1))</f>
        <v>14276.21</v>
      </c>
      <c r="W306" s="3">
        <f>IF(_xlfn.XLOOKUP($U306,GCA!$H$3:$H$593,GCA!F$3:F$593,"",0,1)="","",_xlfn.XLOOKUP($U306,GCA!$H$3:$H$593,GCA!F$3:F$593,"",0,1))</f>
        <v>13994.87</v>
      </c>
      <c r="X306" s="3">
        <f>IF(_xlfn.XLOOKUP($U306,GCA!$H$3:$H$593,GCA!G$3:G$593,"",0,1)="","",_xlfn.XLOOKUP($U306,GCA!$H$3:$H$593,GCA!G$3:G$593,"",0,1))</f>
        <v>14038.05</v>
      </c>
    </row>
    <row r="307" spans="1:24" ht="13.2">
      <c r="A307" s="49"/>
      <c r="B307" s="49"/>
      <c r="C307" s="48"/>
      <c r="D307" s="49"/>
      <c r="E307" s="57"/>
      <c r="F307" s="26" t="s">
        <v>797</v>
      </c>
      <c r="G307" s="26" t="s">
        <v>798</v>
      </c>
      <c r="H307" s="27">
        <f t="shared" si="406"/>
        <v>26925.16</v>
      </c>
      <c r="I307" s="27">
        <f t="shared" si="407"/>
        <v>24208.46</v>
      </c>
      <c r="J307" s="27">
        <f t="shared" si="408"/>
        <v>24948.365000000002</v>
      </c>
      <c r="K307" s="27">
        <f t="shared" si="409"/>
        <v>25360.661666666667</v>
      </c>
      <c r="L307" s="74"/>
      <c r="M307" s="70">
        <f t="shared" si="410"/>
        <v>0</v>
      </c>
      <c r="N307" s="74" t="str">
        <f t="shared" si="357"/>
        <v/>
      </c>
      <c r="O307" s="74" t="str">
        <f t="shared" ref="O307:P307" si="424">N307</f>
        <v/>
      </c>
      <c r="P307" s="74" t="str">
        <f t="shared" si="424"/>
        <v/>
      </c>
      <c r="Q307" s="38"/>
      <c r="R307" s="3" t="str">
        <f t="shared" si="413"/>
        <v>Kallakurichi</v>
      </c>
      <c r="S307" s="3" t="str">
        <f t="shared" si="346"/>
        <v>Ulundurpettai</v>
      </c>
      <c r="T307" s="3" t="str">
        <f t="shared" si="347"/>
        <v>Thirunavallur</v>
      </c>
      <c r="U307" s="3" t="str">
        <f t="shared" si="348"/>
        <v>Kallakurichi_Ulundurpettai_Thirunavallur</v>
      </c>
      <c r="V307" s="3">
        <f>IF(_xlfn.XLOOKUP($U307,GCA!$H$3:$H$593,GCA!E$3:E$593,"",0,1)="","",_xlfn.XLOOKUP($U307,GCA!$H$3:$H$593,GCA!E$3:E$593,"",0,1))</f>
        <v>26925.16</v>
      </c>
      <c r="W307" s="3">
        <f>IF(_xlfn.XLOOKUP($U307,GCA!$H$3:$H$593,GCA!F$3:F$593,"",0,1)="","",_xlfn.XLOOKUP($U307,GCA!$H$3:$H$593,GCA!F$3:F$593,"",0,1))</f>
        <v>24208.46</v>
      </c>
      <c r="X307" s="3">
        <f>IF(_xlfn.XLOOKUP($U307,GCA!$H$3:$H$593,GCA!G$3:G$593,"",0,1)="","",_xlfn.XLOOKUP($U307,GCA!$H$3:$H$593,GCA!G$3:G$593,"",0,1))</f>
        <v>24948.365000000002</v>
      </c>
    </row>
    <row r="308" spans="1:24" ht="13.2">
      <c r="A308" s="49"/>
      <c r="B308" s="49"/>
      <c r="C308" s="48"/>
      <c r="D308" s="49"/>
      <c r="E308" s="58"/>
      <c r="F308" s="26" t="s">
        <v>797</v>
      </c>
      <c r="G308" s="26" t="s">
        <v>797</v>
      </c>
      <c r="H308" s="27">
        <f t="shared" si="406"/>
        <v>29967.87</v>
      </c>
      <c r="I308" s="27">
        <f t="shared" si="407"/>
        <v>28778.235000000001</v>
      </c>
      <c r="J308" s="27">
        <f t="shared" si="408"/>
        <v>26494.814999999999</v>
      </c>
      <c r="K308" s="27">
        <f t="shared" si="409"/>
        <v>28413.64</v>
      </c>
      <c r="L308" s="75"/>
      <c r="M308" s="71">
        <f t="shared" si="410"/>
        <v>0</v>
      </c>
      <c r="N308" s="75" t="str">
        <f t="shared" si="357"/>
        <v/>
      </c>
      <c r="O308" s="75" t="str">
        <f t="shared" ref="O308:P308" si="425">N308</f>
        <v/>
      </c>
      <c r="P308" s="75" t="str">
        <f t="shared" si="425"/>
        <v/>
      </c>
      <c r="Q308" s="38"/>
      <c r="R308" s="3" t="str">
        <f t="shared" si="413"/>
        <v>Kallakurichi</v>
      </c>
      <c r="S308" s="3" t="str">
        <f t="shared" si="346"/>
        <v>Ulundurpettai</v>
      </c>
      <c r="T308" s="3" t="str">
        <f t="shared" si="347"/>
        <v>Ulundurpettai</v>
      </c>
      <c r="U308" s="3" t="str">
        <f t="shared" si="348"/>
        <v>Kallakurichi_Ulundurpettai_Ulundurpettai</v>
      </c>
      <c r="V308" s="3">
        <f>IF(_xlfn.XLOOKUP($U308,GCA!$H$3:$H$593,GCA!E$3:E$593,"",0,1)="","",_xlfn.XLOOKUP($U308,GCA!$H$3:$H$593,GCA!E$3:E$593,"",0,1))</f>
        <v>29967.87</v>
      </c>
      <c r="W308" s="3">
        <f>IF(_xlfn.XLOOKUP($U308,GCA!$H$3:$H$593,GCA!F$3:F$593,"",0,1)="","",_xlfn.XLOOKUP($U308,GCA!$H$3:$H$593,GCA!F$3:F$593,"",0,1))</f>
        <v>28778.235000000001</v>
      </c>
      <c r="X308" s="3">
        <f>IF(_xlfn.XLOOKUP($U308,GCA!$H$3:$H$593,GCA!G$3:G$593,"",0,1)="","",_xlfn.XLOOKUP($U308,GCA!$H$3:$H$593,GCA!G$3:G$593,"",0,1))</f>
        <v>26494.814999999999</v>
      </c>
    </row>
    <row r="309" spans="1:24" ht="13.2">
      <c r="A309" s="49"/>
      <c r="B309" s="49"/>
      <c r="C309" s="48"/>
      <c r="D309" s="49"/>
      <c r="E309" s="56">
        <v>4</v>
      </c>
      <c r="F309" s="26" t="s">
        <v>796</v>
      </c>
      <c r="G309" s="26" t="s">
        <v>796</v>
      </c>
      <c r="H309" s="27">
        <f t="shared" si="406"/>
        <v>23923.7</v>
      </c>
      <c r="I309" s="27">
        <f t="shared" si="407"/>
        <v>23537.555</v>
      </c>
      <c r="J309" s="27">
        <f t="shared" si="408"/>
        <v>23293.834999999999</v>
      </c>
      <c r="K309" s="27">
        <f t="shared" si="409"/>
        <v>23585.03</v>
      </c>
      <c r="L309" s="62">
        <f>SUM(K309:K312)</f>
        <v>65379.649999999994</v>
      </c>
      <c r="M309" s="69">
        <f t="shared" si="410"/>
        <v>2.7442477501809615</v>
      </c>
      <c r="N309" s="84">
        <v>2</v>
      </c>
      <c r="O309" s="83">
        <f t="shared" ref="O309:P309" si="426">N309</f>
        <v>2</v>
      </c>
      <c r="P309" s="83">
        <f t="shared" si="426"/>
        <v>2</v>
      </c>
      <c r="Q309" s="38"/>
      <c r="R309" s="3" t="str">
        <f t="shared" si="413"/>
        <v>Kallakurichi</v>
      </c>
      <c r="S309" s="3" t="str">
        <f t="shared" si="346"/>
        <v>Thirukoilur</v>
      </c>
      <c r="T309" s="3" t="str">
        <f t="shared" si="347"/>
        <v>Thirukoilur</v>
      </c>
      <c r="U309" s="3" t="str">
        <f t="shared" si="348"/>
        <v>Kallakurichi_Thirukoilur_Thirukoilur</v>
      </c>
      <c r="V309" s="3">
        <f>IF(_xlfn.XLOOKUP($U309,GCA!$H$3:$H$593,GCA!E$3:E$593,"",0,1)="","",_xlfn.XLOOKUP($U309,GCA!$H$3:$H$593,GCA!E$3:E$593,"",0,1))</f>
        <v>23923.7</v>
      </c>
      <c r="W309" s="3">
        <f>IF(_xlfn.XLOOKUP($U309,GCA!$H$3:$H$593,GCA!F$3:F$593,"",0,1)="","",_xlfn.XLOOKUP($U309,GCA!$H$3:$H$593,GCA!F$3:F$593,"",0,1))</f>
        <v>23537.555</v>
      </c>
      <c r="X309" s="3">
        <f>IF(_xlfn.XLOOKUP($U309,GCA!$H$3:$H$593,GCA!G$3:G$593,"",0,1)="","",_xlfn.XLOOKUP($U309,GCA!$H$3:$H$593,GCA!G$3:G$593,"",0,1))</f>
        <v>23293.834999999999</v>
      </c>
    </row>
    <row r="310" spans="1:24" ht="13.2">
      <c r="A310" s="49"/>
      <c r="B310" s="49"/>
      <c r="C310" s="48"/>
      <c r="D310" s="49"/>
      <c r="E310" s="57"/>
      <c r="F310" s="26" t="s">
        <v>1024</v>
      </c>
      <c r="G310" s="26" t="s">
        <v>794</v>
      </c>
      <c r="H310" s="27">
        <f t="shared" si="406"/>
        <v>34453.72</v>
      </c>
      <c r="I310" s="27">
        <f t="shared" si="407"/>
        <v>29698.19</v>
      </c>
      <c r="J310" s="27">
        <f t="shared" si="408"/>
        <v>33203.019999999997</v>
      </c>
      <c r="K310" s="27">
        <f t="shared" si="409"/>
        <v>32451.64333333333</v>
      </c>
      <c r="L310" s="74"/>
      <c r="M310" s="70">
        <f t="shared" si="410"/>
        <v>0</v>
      </c>
      <c r="N310" s="85" t="str">
        <f t="shared" si="357"/>
        <v/>
      </c>
      <c r="O310" s="74" t="str">
        <f t="shared" ref="O310:P310" si="427">N310</f>
        <v/>
      </c>
      <c r="P310" s="74" t="str">
        <f t="shared" si="427"/>
        <v/>
      </c>
      <c r="Q310" s="38"/>
      <c r="R310" s="3" t="str">
        <f t="shared" si="413"/>
        <v>Kallakurichi</v>
      </c>
      <c r="S310" s="3" t="str">
        <f t="shared" si="346"/>
        <v>Vaanaapuram</v>
      </c>
      <c r="T310" s="3" t="str">
        <f t="shared" si="347"/>
        <v>Rishivandhiyam</v>
      </c>
      <c r="U310" s="3" t="str">
        <f t="shared" si="348"/>
        <v>Kallakurichi_Vaanaapuram_Rishivandhiyam</v>
      </c>
      <c r="V310" s="3">
        <f>IF(_xlfn.XLOOKUP($U310,GCA!$H$3:$H$593,GCA!E$3:E$593,"",0,1)="","",_xlfn.XLOOKUP($U310,GCA!$H$3:$H$593,GCA!E$3:E$593,"",0,1))</f>
        <v>34453.72</v>
      </c>
      <c r="W310" s="3">
        <f>IF(_xlfn.XLOOKUP($U310,GCA!$H$3:$H$593,GCA!F$3:F$593,"",0,1)="","",_xlfn.XLOOKUP($U310,GCA!$H$3:$H$593,GCA!F$3:F$593,"",0,1))</f>
        <v>29698.19</v>
      </c>
      <c r="X310" s="3">
        <f>IF(_xlfn.XLOOKUP($U310,GCA!$H$3:$H$593,GCA!G$3:G$593,"",0,1)="","",_xlfn.XLOOKUP($U310,GCA!$H$3:$H$593,GCA!G$3:G$593,"",0,1))</f>
        <v>33203.019999999997</v>
      </c>
    </row>
    <row r="311" spans="1:24" ht="13.2">
      <c r="A311" s="49"/>
      <c r="B311" s="49"/>
      <c r="C311" s="48"/>
      <c r="D311" s="49"/>
      <c r="E311" s="57"/>
      <c r="F311" s="26" t="s">
        <v>1024</v>
      </c>
      <c r="G311" s="26" t="s">
        <v>793</v>
      </c>
      <c r="H311" s="27">
        <f t="shared" si="406"/>
        <v>7175.7</v>
      </c>
      <c r="I311" s="27">
        <f t="shared" si="407"/>
        <v>7472.4</v>
      </c>
      <c r="J311" s="27">
        <f t="shared" si="408"/>
        <v>7566.06</v>
      </c>
      <c r="K311" s="27">
        <f t="shared" si="409"/>
        <v>7404.72</v>
      </c>
      <c r="L311" s="74"/>
      <c r="M311" s="70">
        <f t="shared" si="410"/>
        <v>0</v>
      </c>
      <c r="N311" s="85" t="str">
        <f t="shared" si="357"/>
        <v/>
      </c>
      <c r="O311" s="74" t="str">
        <f t="shared" ref="O311:P311" si="428">N311</f>
        <v/>
      </c>
      <c r="P311" s="74" t="str">
        <f t="shared" si="428"/>
        <v/>
      </c>
      <c r="Q311" s="38"/>
      <c r="R311" s="3" t="str">
        <f t="shared" si="413"/>
        <v>Kallakurichi</v>
      </c>
      <c r="S311" s="3" t="str">
        <f t="shared" si="346"/>
        <v>Vaanaapuram</v>
      </c>
      <c r="T311" s="3" t="str">
        <f t="shared" si="347"/>
        <v>Sankarapuram</v>
      </c>
      <c r="U311" s="3" t="str">
        <f t="shared" si="348"/>
        <v>Kallakurichi_Vaanaapuram_Sankarapuram</v>
      </c>
      <c r="V311" s="3">
        <f>IF(_xlfn.XLOOKUP($U311,GCA!$H$3:$H$593,GCA!E$3:E$593,"",0,1)="","",_xlfn.XLOOKUP($U311,GCA!$H$3:$H$593,GCA!E$3:E$593,"",0,1))</f>
        <v>7175.7</v>
      </c>
      <c r="W311" s="3">
        <f>IF(_xlfn.XLOOKUP($U311,GCA!$H$3:$H$593,GCA!F$3:F$593,"",0,1)="","",_xlfn.XLOOKUP($U311,GCA!$H$3:$H$593,GCA!F$3:F$593,"",0,1))</f>
        <v>7472.4</v>
      </c>
      <c r="X311" s="3">
        <f>IF(_xlfn.XLOOKUP($U311,GCA!$H$3:$H$593,GCA!G$3:G$593,"",0,1)="","",_xlfn.XLOOKUP($U311,GCA!$H$3:$H$593,GCA!G$3:G$593,"",0,1))</f>
        <v>7566.06</v>
      </c>
    </row>
    <row r="312" spans="1:24" ht="13.2">
      <c r="A312" s="49"/>
      <c r="B312" s="49"/>
      <c r="C312" s="48"/>
      <c r="D312" s="49"/>
      <c r="E312" s="58"/>
      <c r="F312" s="26" t="s">
        <v>1024</v>
      </c>
      <c r="G312" s="26" t="s">
        <v>795</v>
      </c>
      <c r="H312" s="27">
        <f t="shared" si="406"/>
        <v>2003.7</v>
      </c>
      <c r="I312" s="27">
        <f t="shared" si="407"/>
        <v>1924.6</v>
      </c>
      <c r="J312" s="27">
        <f t="shared" si="408"/>
        <v>1886.47</v>
      </c>
      <c r="K312" s="27">
        <f t="shared" si="409"/>
        <v>1938.2566666666669</v>
      </c>
      <c r="L312" s="75"/>
      <c r="M312" s="71">
        <f t="shared" si="410"/>
        <v>0</v>
      </c>
      <c r="N312" s="86" t="str">
        <f t="shared" si="357"/>
        <v/>
      </c>
      <c r="O312" s="75" t="str">
        <f t="shared" ref="O312:P312" si="429">N312</f>
        <v/>
      </c>
      <c r="P312" s="75" t="str">
        <f t="shared" si="429"/>
        <v/>
      </c>
      <c r="Q312" s="38"/>
      <c r="R312" s="3" t="str">
        <f t="shared" si="413"/>
        <v>Kallakurichi</v>
      </c>
      <c r="S312" s="3" t="str">
        <f t="shared" si="346"/>
        <v>Vaanaapuram</v>
      </c>
      <c r="T312" s="3" t="str">
        <f t="shared" si="347"/>
        <v>Thiyagadurgam</v>
      </c>
      <c r="U312" s="3" t="str">
        <f t="shared" si="348"/>
        <v>Kallakurichi_Vaanaapuram_Thiyagadurgam</v>
      </c>
      <c r="V312" s="3">
        <f>IF(_xlfn.XLOOKUP($U312,GCA!$H$3:$H$593,GCA!E$3:E$593,"",0,1)="","",_xlfn.XLOOKUP($U312,GCA!$H$3:$H$593,GCA!E$3:E$593,"",0,1))</f>
        <v>2003.7</v>
      </c>
      <c r="W312" s="3">
        <f>IF(_xlfn.XLOOKUP($U312,GCA!$H$3:$H$593,GCA!F$3:F$593,"",0,1)="","",_xlfn.XLOOKUP($U312,GCA!$H$3:$H$593,GCA!F$3:F$593,"",0,1))</f>
        <v>1924.6</v>
      </c>
      <c r="X312" s="3">
        <f>IF(_xlfn.XLOOKUP($U312,GCA!$H$3:$H$593,GCA!G$3:G$593,"",0,1)="","",_xlfn.XLOOKUP($U312,GCA!$H$3:$H$593,GCA!G$3:G$593,"",0,1))</f>
        <v>1886.47</v>
      </c>
    </row>
    <row r="313" spans="1:24" ht="13.2">
      <c r="A313" s="49"/>
      <c r="B313" s="49"/>
      <c r="C313" s="48"/>
      <c r="D313" s="49"/>
      <c r="E313" s="47" t="s">
        <v>564</v>
      </c>
      <c r="F313" s="47"/>
      <c r="G313" s="47"/>
      <c r="H313" s="29">
        <f t="shared" ref="H313" si="430">SUM(H295:H312)</f>
        <v>225571.49000000002</v>
      </c>
      <c r="I313" s="29">
        <f t="shared" ref="I313:P313" si="431">SUM(I295:I312)</f>
        <v>213736.40999999997</v>
      </c>
      <c r="J313" s="29">
        <f t="shared" si="431"/>
        <v>213239.19499999998</v>
      </c>
      <c r="K313" s="29">
        <f t="shared" si="431"/>
        <v>217515.69833333333</v>
      </c>
      <c r="L313" s="29">
        <f t="shared" si="431"/>
        <v>217515.69833333333</v>
      </c>
      <c r="M313" s="30">
        <f t="shared" si="431"/>
        <v>9.1300116439945853</v>
      </c>
      <c r="N313" s="31">
        <f t="shared" si="431"/>
        <v>9</v>
      </c>
      <c r="O313" s="31">
        <f t="shared" si="431"/>
        <v>9</v>
      </c>
      <c r="P313" s="31">
        <f t="shared" si="431"/>
        <v>9</v>
      </c>
      <c r="Q313" s="38"/>
      <c r="R313" s="3" t="str">
        <f t="shared" si="413"/>
        <v>Kallakurichi</v>
      </c>
      <c r="S313" s="3">
        <f t="shared" si="346"/>
        <v>0</v>
      </c>
      <c r="T313" s="3">
        <f t="shared" si="347"/>
        <v>0</v>
      </c>
      <c r="U313" s="3" t="str">
        <f t="shared" si="348"/>
        <v>Kallakurichi_0_0</v>
      </c>
      <c r="V313" s="3" t="str">
        <f>IF(_xlfn.XLOOKUP($U313,GCA!$H$3:$H$593,GCA!E$3:E$593,"",0,1)="","",_xlfn.XLOOKUP($U313,GCA!$H$3:$H$593,GCA!E$3:E$593,"",0,1))</f>
        <v/>
      </c>
      <c r="W313" s="3" t="str">
        <f>IF(_xlfn.XLOOKUP($U313,GCA!$H$3:$H$593,GCA!F$3:F$593,"",0,1)="","",_xlfn.XLOOKUP($U313,GCA!$H$3:$H$593,GCA!F$3:F$593,"",0,1))</f>
        <v/>
      </c>
      <c r="X313" s="3" t="str">
        <f>IF(_xlfn.XLOOKUP($U313,GCA!$H$3:$H$593,GCA!G$3:G$593,"",0,1)="","",_xlfn.XLOOKUP($U313,GCA!$H$3:$H$593,GCA!G$3:G$593,"",0,1))</f>
        <v/>
      </c>
    </row>
    <row r="314" spans="1:24" ht="13.2">
      <c r="A314" s="49"/>
      <c r="B314" s="49"/>
      <c r="C314" s="48" t="s">
        <v>516</v>
      </c>
      <c r="D314" s="49" t="s">
        <v>560</v>
      </c>
      <c r="E314" s="50">
        <v>1</v>
      </c>
      <c r="F314" s="26" t="s">
        <v>913</v>
      </c>
      <c r="G314" s="26" t="s">
        <v>913</v>
      </c>
      <c r="H314" s="27">
        <f t="shared" ref="H314:H320" si="432">V314</f>
        <v>30870.54</v>
      </c>
      <c r="I314" s="27">
        <f t="shared" ref="I314:I320" si="433">W314</f>
        <v>31146.071</v>
      </c>
      <c r="J314" s="27">
        <f t="shared" ref="J314:J320" si="434">X314</f>
        <v>31168.154999999999</v>
      </c>
      <c r="K314" s="27">
        <f t="shared" ref="K314:K320" si="435">IFERROR(AVERAGE(H314:J314),"")</f>
        <v>31061.588666666667</v>
      </c>
      <c r="L314" s="65">
        <f>SUM(K314:K315)</f>
        <v>73643.762000000002</v>
      </c>
      <c r="M314" s="67">
        <f t="shared" ref="M314:M320" si="436">L314*$L$643/$L$642</f>
        <v>3.0911258806580055</v>
      </c>
      <c r="N314" s="65">
        <f t="shared" ref="N314:N320" si="437">IF(M314&gt;=2, ROUND(M314,0), IF(M314&gt;1.1,2,""))</f>
        <v>3</v>
      </c>
      <c r="O314" s="65">
        <f t="shared" ref="O314:O320" si="438">N314</f>
        <v>3</v>
      </c>
      <c r="P314" s="65">
        <f t="shared" ref="P314:P320" si="439">O314</f>
        <v>3</v>
      </c>
      <c r="Q314" s="38"/>
      <c r="R314" s="3" t="str">
        <f t="shared" ref="R314" si="440">C314</f>
        <v>Mayiladuthurai</v>
      </c>
      <c r="S314" s="3" t="str">
        <f t="shared" si="346"/>
        <v>Kuttalam</v>
      </c>
      <c r="T314" s="3" t="str">
        <f t="shared" si="347"/>
        <v>Kuttalam</v>
      </c>
      <c r="U314" s="3" t="str">
        <f t="shared" si="348"/>
        <v>Mayiladuthurai_Kuttalam_Kuttalam</v>
      </c>
      <c r="V314" s="3">
        <f>IF(_xlfn.XLOOKUP($U314,GCA!$H$3:$H$593,GCA!E$3:E$593,"",0,1)="","",_xlfn.XLOOKUP($U314,GCA!$H$3:$H$593,GCA!E$3:E$593,"",0,1))</f>
        <v>30870.54</v>
      </c>
      <c r="W314" s="3">
        <f>IF(_xlfn.XLOOKUP($U314,GCA!$H$3:$H$593,GCA!F$3:F$593,"",0,1)="","",_xlfn.XLOOKUP($U314,GCA!$H$3:$H$593,GCA!F$3:F$593,"",0,1))</f>
        <v>31146.071</v>
      </c>
      <c r="X314" s="3">
        <f>IF(_xlfn.XLOOKUP($U314,GCA!$H$3:$H$593,GCA!G$3:G$593,"",0,1)="","",_xlfn.XLOOKUP($U314,GCA!$H$3:$H$593,GCA!G$3:G$593,"",0,1))</f>
        <v>31168.154999999999</v>
      </c>
    </row>
    <row r="315" spans="1:24" ht="13.2">
      <c r="A315" s="49"/>
      <c r="B315" s="49"/>
      <c r="C315" s="48"/>
      <c r="D315" s="49"/>
      <c r="E315" s="50"/>
      <c r="F315" s="26" t="s">
        <v>516</v>
      </c>
      <c r="G315" s="26" t="s">
        <v>516</v>
      </c>
      <c r="H315" s="27">
        <f t="shared" si="432"/>
        <v>42700.705000000002</v>
      </c>
      <c r="I315" s="27">
        <f t="shared" si="433"/>
        <v>42398.735000000001</v>
      </c>
      <c r="J315" s="27">
        <f t="shared" si="434"/>
        <v>42647.08</v>
      </c>
      <c r="K315" s="27">
        <f t="shared" si="435"/>
        <v>42582.173333333332</v>
      </c>
      <c r="L315" s="65"/>
      <c r="M315" s="67">
        <f t="shared" si="436"/>
        <v>0</v>
      </c>
      <c r="N315" s="65" t="str">
        <f t="shared" si="437"/>
        <v/>
      </c>
      <c r="O315" s="65" t="str">
        <f t="shared" si="438"/>
        <v/>
      </c>
      <c r="P315" s="65" t="str">
        <f t="shared" si="439"/>
        <v/>
      </c>
      <c r="Q315" s="38"/>
      <c r="R315" s="3" t="str">
        <f t="shared" ref="R315:R321" si="441">R314</f>
        <v>Mayiladuthurai</v>
      </c>
      <c r="S315" s="3" t="str">
        <f t="shared" si="346"/>
        <v>Mayiladuthurai</v>
      </c>
      <c r="T315" s="3" t="str">
        <f t="shared" si="347"/>
        <v>Mayiladuthurai</v>
      </c>
      <c r="U315" s="3" t="str">
        <f t="shared" si="348"/>
        <v>Mayiladuthurai_Mayiladuthurai_Mayiladuthurai</v>
      </c>
      <c r="V315" s="3">
        <f>IF(_xlfn.XLOOKUP($U315,GCA!$H$3:$H$593,GCA!E$3:E$593,"",0,1)="","",_xlfn.XLOOKUP($U315,GCA!$H$3:$H$593,GCA!E$3:E$593,"",0,1))</f>
        <v>42700.705000000002</v>
      </c>
      <c r="W315" s="3">
        <f>IF(_xlfn.XLOOKUP($U315,GCA!$H$3:$H$593,GCA!F$3:F$593,"",0,1)="","",_xlfn.XLOOKUP($U315,GCA!$H$3:$H$593,GCA!F$3:F$593,"",0,1))</f>
        <v>42398.735000000001</v>
      </c>
      <c r="X315" s="3">
        <f>IF(_xlfn.XLOOKUP($U315,GCA!$H$3:$H$593,GCA!G$3:G$593,"",0,1)="","",_xlfn.XLOOKUP($U315,GCA!$H$3:$H$593,GCA!G$3:G$593,"",0,1))</f>
        <v>42647.08</v>
      </c>
    </row>
    <row r="316" spans="1:24" ht="13.2">
      <c r="A316" s="49"/>
      <c r="B316" s="49"/>
      <c r="C316" s="48"/>
      <c r="D316" s="49"/>
      <c r="E316" s="50">
        <v>2</v>
      </c>
      <c r="F316" s="26" t="s">
        <v>914</v>
      </c>
      <c r="G316" s="26" t="s">
        <v>915</v>
      </c>
      <c r="H316" s="27">
        <f t="shared" si="432"/>
        <v>25586.044999999998</v>
      </c>
      <c r="I316" s="27">
        <f t="shared" si="433"/>
        <v>24629</v>
      </c>
      <c r="J316" s="27">
        <f t="shared" si="434"/>
        <v>25551.718000000001</v>
      </c>
      <c r="K316" s="27">
        <f t="shared" si="435"/>
        <v>25255.58766666667</v>
      </c>
      <c r="L316" s="65">
        <f>SUM(K316:K318)</f>
        <v>55156.886000000006</v>
      </c>
      <c r="M316" s="67">
        <f t="shared" si="436"/>
        <v>2.3151570911206738</v>
      </c>
      <c r="N316" s="65">
        <f t="shared" si="437"/>
        <v>2</v>
      </c>
      <c r="O316" s="65">
        <f t="shared" si="438"/>
        <v>2</v>
      </c>
      <c r="P316" s="65">
        <f t="shared" si="439"/>
        <v>2</v>
      </c>
      <c r="Q316" s="38"/>
      <c r="R316" s="3" t="str">
        <f t="shared" si="441"/>
        <v>Mayiladuthurai</v>
      </c>
      <c r="S316" s="3" t="str">
        <f t="shared" si="346"/>
        <v>Sirkali</v>
      </c>
      <c r="T316" s="3" t="str">
        <f t="shared" si="347"/>
        <v>Kollidam</v>
      </c>
      <c r="U316" s="3" t="str">
        <f t="shared" si="348"/>
        <v>Mayiladuthurai_Sirkali_Kollidam</v>
      </c>
      <c r="V316" s="3">
        <f>IF(_xlfn.XLOOKUP($U316,GCA!$H$3:$H$593,GCA!E$3:E$593,"",0,1)="","",_xlfn.XLOOKUP($U316,GCA!$H$3:$H$593,GCA!E$3:E$593,"",0,1))</f>
        <v>25586.044999999998</v>
      </c>
      <c r="W316" s="3">
        <f>IF(_xlfn.XLOOKUP($U316,GCA!$H$3:$H$593,GCA!F$3:F$593,"",0,1)="","",_xlfn.XLOOKUP($U316,GCA!$H$3:$H$593,GCA!F$3:F$593,"",0,1))</f>
        <v>24629</v>
      </c>
      <c r="X316" s="3">
        <f>IF(_xlfn.XLOOKUP($U316,GCA!$H$3:$H$593,GCA!G$3:G$593,"",0,1)="","",_xlfn.XLOOKUP($U316,GCA!$H$3:$H$593,GCA!G$3:G$593,"",0,1))</f>
        <v>25551.718000000001</v>
      </c>
    </row>
    <row r="317" spans="1:24" ht="13.2">
      <c r="A317" s="49"/>
      <c r="B317" s="49"/>
      <c r="C317" s="48"/>
      <c r="D317" s="49"/>
      <c r="E317" s="50"/>
      <c r="F317" s="26" t="s">
        <v>914</v>
      </c>
      <c r="G317" s="26" t="s">
        <v>916</v>
      </c>
      <c r="H317" s="27">
        <f t="shared" si="432"/>
        <v>4198.1099999999997</v>
      </c>
      <c r="I317" s="27">
        <f t="shared" si="433"/>
        <v>4038.5450000000001</v>
      </c>
      <c r="J317" s="27">
        <f t="shared" si="434"/>
        <v>3978.105</v>
      </c>
      <c r="K317" s="27">
        <f t="shared" si="435"/>
        <v>4071.5866666666661</v>
      </c>
      <c r="L317" s="65"/>
      <c r="M317" s="67">
        <f t="shared" si="436"/>
        <v>0</v>
      </c>
      <c r="N317" s="65" t="str">
        <f t="shared" si="437"/>
        <v/>
      </c>
      <c r="O317" s="65" t="str">
        <f t="shared" si="438"/>
        <v/>
      </c>
      <c r="P317" s="65" t="str">
        <f t="shared" si="439"/>
        <v/>
      </c>
      <c r="Q317" s="38"/>
      <c r="R317" s="3" t="str">
        <f t="shared" si="441"/>
        <v>Mayiladuthurai</v>
      </c>
      <c r="S317" s="3" t="str">
        <f t="shared" si="346"/>
        <v>Sirkali</v>
      </c>
      <c r="T317" s="3" t="str">
        <f t="shared" si="347"/>
        <v>Sembanarkoil</v>
      </c>
      <c r="U317" s="3" t="str">
        <f t="shared" si="348"/>
        <v>Mayiladuthurai_Sirkali_Sembanarkoil</v>
      </c>
      <c r="V317" s="3">
        <f>IF(_xlfn.XLOOKUP($U317,GCA!$H$3:$H$593,GCA!E$3:E$593,"",0,1)="","",_xlfn.XLOOKUP($U317,GCA!$H$3:$H$593,GCA!E$3:E$593,"",0,1))</f>
        <v>4198.1099999999997</v>
      </c>
      <c r="W317" s="3">
        <f>IF(_xlfn.XLOOKUP($U317,GCA!$H$3:$H$593,GCA!F$3:F$593,"",0,1)="","",_xlfn.XLOOKUP($U317,GCA!$H$3:$H$593,GCA!F$3:F$593,"",0,1))</f>
        <v>4038.5450000000001</v>
      </c>
      <c r="X317" s="3">
        <f>IF(_xlfn.XLOOKUP($U317,GCA!$H$3:$H$593,GCA!G$3:G$593,"",0,1)="","",_xlfn.XLOOKUP($U317,GCA!$H$3:$H$593,GCA!G$3:G$593,"",0,1))</f>
        <v>3978.105</v>
      </c>
    </row>
    <row r="318" spans="1:24" ht="13.2">
      <c r="A318" s="49"/>
      <c r="B318" s="49"/>
      <c r="C318" s="48"/>
      <c r="D318" s="49"/>
      <c r="E318" s="50"/>
      <c r="F318" s="26" t="s">
        <v>914</v>
      </c>
      <c r="G318" s="26" t="s">
        <v>914</v>
      </c>
      <c r="H318" s="27">
        <f t="shared" si="432"/>
        <v>26360.935000000001</v>
      </c>
      <c r="I318" s="27">
        <f t="shared" si="433"/>
        <v>25334.93</v>
      </c>
      <c r="J318" s="27">
        <f t="shared" si="434"/>
        <v>25793.27</v>
      </c>
      <c r="K318" s="27">
        <f t="shared" si="435"/>
        <v>25829.71166666667</v>
      </c>
      <c r="L318" s="65"/>
      <c r="M318" s="67">
        <f t="shared" si="436"/>
        <v>0</v>
      </c>
      <c r="N318" s="65" t="str">
        <f t="shared" si="437"/>
        <v/>
      </c>
      <c r="O318" s="65" t="str">
        <f t="shared" si="438"/>
        <v/>
      </c>
      <c r="P318" s="65" t="str">
        <f t="shared" si="439"/>
        <v/>
      </c>
      <c r="Q318" s="38"/>
      <c r="R318" s="3" t="str">
        <f t="shared" si="441"/>
        <v>Mayiladuthurai</v>
      </c>
      <c r="S318" s="3" t="str">
        <f t="shared" si="346"/>
        <v>Sirkali</v>
      </c>
      <c r="T318" s="3" t="str">
        <f t="shared" si="347"/>
        <v>Sirkali</v>
      </c>
      <c r="U318" s="3" t="str">
        <f t="shared" si="348"/>
        <v>Mayiladuthurai_Sirkali_Sirkali</v>
      </c>
      <c r="V318" s="3">
        <f>IF(_xlfn.XLOOKUP($U318,GCA!$H$3:$H$593,GCA!E$3:E$593,"",0,1)="","",_xlfn.XLOOKUP($U318,GCA!$H$3:$H$593,GCA!E$3:E$593,"",0,1))</f>
        <v>26360.935000000001</v>
      </c>
      <c r="W318" s="3">
        <f>IF(_xlfn.XLOOKUP($U318,GCA!$H$3:$H$593,GCA!F$3:F$593,"",0,1)="","",_xlfn.XLOOKUP($U318,GCA!$H$3:$H$593,GCA!F$3:F$593,"",0,1))</f>
        <v>25334.93</v>
      </c>
      <c r="X318" s="3">
        <f>IF(_xlfn.XLOOKUP($U318,GCA!$H$3:$H$593,GCA!G$3:G$593,"",0,1)="","",_xlfn.XLOOKUP($U318,GCA!$H$3:$H$593,GCA!G$3:G$593,"",0,1))</f>
        <v>25793.27</v>
      </c>
    </row>
    <row r="319" spans="1:24" ht="13.2">
      <c r="A319" s="49"/>
      <c r="B319" s="49"/>
      <c r="C319" s="48"/>
      <c r="D319" s="49"/>
      <c r="E319" s="50">
        <v>3</v>
      </c>
      <c r="F319" s="26" t="s">
        <v>917</v>
      </c>
      <c r="G319" s="26" t="s">
        <v>913</v>
      </c>
      <c r="H319" s="27">
        <f t="shared" si="432"/>
        <v>5348.82</v>
      </c>
      <c r="I319" s="27">
        <f t="shared" si="433"/>
        <v>5472.14</v>
      </c>
      <c r="J319" s="27">
        <f t="shared" si="434"/>
        <v>5524.71</v>
      </c>
      <c r="K319" s="27">
        <f t="shared" si="435"/>
        <v>5448.5566666666664</v>
      </c>
      <c r="L319" s="65">
        <f>SUM(K319:K320)</f>
        <v>39249.97</v>
      </c>
      <c r="M319" s="67">
        <f t="shared" si="436"/>
        <v>1.6474796342160021</v>
      </c>
      <c r="N319" s="65">
        <f t="shared" si="437"/>
        <v>2</v>
      </c>
      <c r="O319" s="65">
        <f t="shared" si="438"/>
        <v>2</v>
      </c>
      <c r="P319" s="65">
        <f t="shared" si="439"/>
        <v>2</v>
      </c>
      <c r="Q319" s="38"/>
      <c r="R319" s="3" t="str">
        <f t="shared" si="441"/>
        <v>Mayiladuthurai</v>
      </c>
      <c r="S319" s="3" t="str">
        <f t="shared" si="346"/>
        <v>Tharangambadi</v>
      </c>
      <c r="T319" s="3" t="str">
        <f t="shared" si="347"/>
        <v>Kuttalam</v>
      </c>
      <c r="U319" s="3" t="str">
        <f t="shared" si="348"/>
        <v>Mayiladuthurai_Tharangambadi_Kuttalam</v>
      </c>
      <c r="V319" s="3">
        <f>IF(_xlfn.XLOOKUP($U319,GCA!$H$3:$H$593,GCA!E$3:E$593,"",0,1)="","",_xlfn.XLOOKUP($U319,GCA!$H$3:$H$593,GCA!E$3:E$593,"",0,1))</f>
        <v>5348.82</v>
      </c>
      <c r="W319" s="3">
        <f>IF(_xlfn.XLOOKUP($U319,GCA!$H$3:$H$593,GCA!F$3:F$593,"",0,1)="","",_xlfn.XLOOKUP($U319,GCA!$H$3:$H$593,GCA!F$3:F$593,"",0,1))</f>
        <v>5472.14</v>
      </c>
      <c r="X319" s="3">
        <f>IF(_xlfn.XLOOKUP($U319,GCA!$H$3:$H$593,GCA!G$3:G$593,"",0,1)="","",_xlfn.XLOOKUP($U319,GCA!$H$3:$H$593,GCA!G$3:G$593,"",0,1))</f>
        <v>5524.71</v>
      </c>
    </row>
    <row r="320" spans="1:24" ht="13.2">
      <c r="A320" s="49"/>
      <c r="B320" s="49"/>
      <c r="C320" s="48"/>
      <c r="D320" s="49"/>
      <c r="E320" s="50"/>
      <c r="F320" s="26" t="s">
        <v>917</v>
      </c>
      <c r="G320" s="26" t="s">
        <v>916</v>
      </c>
      <c r="H320" s="27">
        <f t="shared" si="432"/>
        <v>33952.910000000003</v>
      </c>
      <c r="I320" s="27">
        <f t="shared" si="433"/>
        <v>33790.445</v>
      </c>
      <c r="J320" s="27">
        <f t="shared" si="434"/>
        <v>33660.885000000002</v>
      </c>
      <c r="K320" s="27">
        <f t="shared" si="435"/>
        <v>33801.413333333338</v>
      </c>
      <c r="L320" s="65"/>
      <c r="M320" s="67">
        <f t="shared" si="436"/>
        <v>0</v>
      </c>
      <c r="N320" s="65" t="str">
        <f t="shared" si="437"/>
        <v/>
      </c>
      <c r="O320" s="65" t="str">
        <f t="shared" si="438"/>
        <v/>
      </c>
      <c r="P320" s="65" t="str">
        <f t="shared" si="439"/>
        <v/>
      </c>
      <c r="Q320" s="38"/>
      <c r="R320" s="3" t="str">
        <f t="shared" si="441"/>
        <v>Mayiladuthurai</v>
      </c>
      <c r="S320" s="3" t="str">
        <f t="shared" si="346"/>
        <v>Tharangambadi</v>
      </c>
      <c r="T320" s="3" t="str">
        <f t="shared" si="347"/>
        <v>Sembanarkoil</v>
      </c>
      <c r="U320" s="3" t="str">
        <f t="shared" si="348"/>
        <v>Mayiladuthurai_Tharangambadi_Sembanarkoil</v>
      </c>
      <c r="V320" s="3">
        <f>IF(_xlfn.XLOOKUP($U320,GCA!$H$3:$H$593,GCA!E$3:E$593,"",0,1)="","",_xlfn.XLOOKUP($U320,GCA!$H$3:$H$593,GCA!E$3:E$593,"",0,1))</f>
        <v>33952.910000000003</v>
      </c>
      <c r="W320" s="3">
        <f>IF(_xlfn.XLOOKUP($U320,GCA!$H$3:$H$593,GCA!F$3:F$593,"",0,1)="","",_xlfn.XLOOKUP($U320,GCA!$H$3:$H$593,GCA!F$3:F$593,"",0,1))</f>
        <v>33790.445</v>
      </c>
      <c r="X320" s="3">
        <f>IF(_xlfn.XLOOKUP($U320,GCA!$H$3:$H$593,GCA!G$3:G$593,"",0,1)="","",_xlfn.XLOOKUP($U320,GCA!$H$3:$H$593,GCA!G$3:G$593,"",0,1))</f>
        <v>33660.885000000002</v>
      </c>
    </row>
    <row r="321" spans="1:24" ht="13.2">
      <c r="A321" s="49"/>
      <c r="B321" s="49"/>
      <c r="C321" s="48"/>
      <c r="D321" s="49"/>
      <c r="E321" s="47" t="s">
        <v>564</v>
      </c>
      <c r="F321" s="47"/>
      <c r="G321" s="47"/>
      <c r="H321" s="29">
        <f t="shared" ref="H321:P321" si="442">SUM(H314:H320)</f>
        <v>169018.065</v>
      </c>
      <c r="I321" s="29">
        <f t="shared" si="442"/>
        <v>166809.86600000001</v>
      </c>
      <c r="J321" s="29">
        <f t="shared" si="442"/>
        <v>168323.92300000001</v>
      </c>
      <c r="K321" s="29">
        <f t="shared" si="442"/>
        <v>168050.61800000002</v>
      </c>
      <c r="L321" s="29">
        <f t="shared" si="442"/>
        <v>168050.61800000002</v>
      </c>
      <c r="M321" s="30">
        <f t="shared" si="442"/>
        <v>7.0537626059946819</v>
      </c>
      <c r="N321" s="31">
        <f t="shared" si="442"/>
        <v>7</v>
      </c>
      <c r="O321" s="31">
        <f t="shared" si="442"/>
        <v>7</v>
      </c>
      <c r="P321" s="31">
        <f t="shared" si="442"/>
        <v>7</v>
      </c>
      <c r="Q321" s="38"/>
      <c r="R321" s="3" t="str">
        <f t="shared" si="441"/>
        <v>Mayiladuthurai</v>
      </c>
      <c r="S321" s="3">
        <f t="shared" si="346"/>
        <v>0</v>
      </c>
      <c r="T321" s="3">
        <f t="shared" si="347"/>
        <v>0</v>
      </c>
      <c r="U321" s="3" t="str">
        <f t="shared" si="348"/>
        <v>Mayiladuthurai_0_0</v>
      </c>
      <c r="V321" s="3" t="str">
        <f>IF(_xlfn.XLOOKUP($U321,GCA!$H$3:$H$593,GCA!E$3:E$593,"",0,1)="","",_xlfn.XLOOKUP($U321,GCA!$H$3:$H$593,GCA!E$3:E$593,"",0,1))</f>
        <v/>
      </c>
      <c r="W321" s="3" t="str">
        <f>IF(_xlfn.XLOOKUP($U321,GCA!$H$3:$H$593,GCA!F$3:F$593,"",0,1)="","",_xlfn.XLOOKUP($U321,GCA!$H$3:$H$593,GCA!F$3:F$593,"",0,1))</f>
        <v/>
      </c>
      <c r="X321" s="3" t="str">
        <f>IF(_xlfn.XLOOKUP($U321,GCA!$H$3:$H$593,GCA!G$3:G$593,"",0,1)="","",_xlfn.XLOOKUP($U321,GCA!$H$3:$H$593,GCA!G$3:G$593,"",0,1))</f>
        <v/>
      </c>
    </row>
    <row r="322" spans="1:24" ht="13.2">
      <c r="A322" s="49"/>
      <c r="B322" s="49"/>
      <c r="C322" s="54" t="s">
        <v>521</v>
      </c>
      <c r="D322" s="54"/>
      <c r="E322" s="54"/>
      <c r="F322" s="54"/>
      <c r="G322" s="54"/>
      <c r="H322" s="32">
        <f>SUM(H313,H294,H272,H321)</f>
        <v>949205.625</v>
      </c>
      <c r="I322" s="32">
        <f t="shared" ref="I322:P322" si="443">SUM(I313,I294,I272,I321)</f>
        <v>916940.446</v>
      </c>
      <c r="J322" s="32">
        <f t="shared" si="443"/>
        <v>928178.30300000007</v>
      </c>
      <c r="K322" s="32">
        <f t="shared" si="443"/>
        <v>931441.4580000001</v>
      </c>
      <c r="L322" s="32">
        <f t="shared" si="443"/>
        <v>931441.45799999998</v>
      </c>
      <c r="M322" s="46">
        <f t="shared" si="443"/>
        <v>39.09635682573667</v>
      </c>
      <c r="N322" s="32">
        <f t="shared" si="443"/>
        <v>39</v>
      </c>
      <c r="O322" s="32">
        <f t="shared" si="443"/>
        <v>39</v>
      </c>
      <c r="P322" s="32">
        <f t="shared" si="443"/>
        <v>39</v>
      </c>
      <c r="Q322" s="38"/>
      <c r="R322" s="3" t="str">
        <f t="shared" si="351"/>
        <v>SRO TOTAL</v>
      </c>
      <c r="S322" s="3">
        <f t="shared" si="346"/>
        <v>0</v>
      </c>
      <c r="T322" s="3">
        <f t="shared" si="347"/>
        <v>0</v>
      </c>
      <c r="U322" s="3" t="str">
        <f t="shared" si="348"/>
        <v>SRO TOTAL_0_0</v>
      </c>
      <c r="V322" s="3" t="str">
        <f>IF(_xlfn.XLOOKUP($U322,GCA!$H$3:$H$593,GCA!E$3:E$593,"",0,1)="","",_xlfn.XLOOKUP($U322,GCA!$H$3:$H$593,GCA!E$3:E$593,"",0,1))</f>
        <v/>
      </c>
      <c r="W322" s="3" t="str">
        <f>IF(_xlfn.XLOOKUP($U322,GCA!$H$3:$H$593,GCA!F$3:F$593,"",0,1)="","",_xlfn.XLOOKUP($U322,GCA!$H$3:$H$593,GCA!F$3:F$593,"",0,1))</f>
        <v/>
      </c>
      <c r="X322" s="3" t="str">
        <f>IF(_xlfn.XLOOKUP($U322,GCA!$H$3:$H$593,GCA!G$3:G$593,"",0,1)="","",_xlfn.XLOOKUP($U322,GCA!$H$3:$H$593,GCA!G$3:G$593,"",0,1))</f>
        <v/>
      </c>
    </row>
    <row r="323" spans="1:24" ht="13.2">
      <c r="A323" s="49"/>
      <c r="B323" s="49" t="s">
        <v>226</v>
      </c>
      <c r="C323" s="48" t="s">
        <v>226</v>
      </c>
      <c r="D323" s="49" t="s">
        <v>539</v>
      </c>
      <c r="E323" s="50">
        <v>1</v>
      </c>
      <c r="F323" s="26" t="s">
        <v>799</v>
      </c>
      <c r="G323" s="26" t="s">
        <v>799</v>
      </c>
      <c r="H323" s="27">
        <f t="shared" ref="H323:H331" si="444">V323</f>
        <v>15134.475</v>
      </c>
      <c r="I323" s="27">
        <f t="shared" ref="I323:I331" si="445">W323</f>
        <v>14323.19</v>
      </c>
      <c r="J323" s="27">
        <f t="shared" ref="J323:J331" si="446">X323</f>
        <v>14227.21</v>
      </c>
      <c r="K323" s="27">
        <f t="shared" ref="K323:K331" si="447">IFERROR(AVERAGE(H323:J323),"")</f>
        <v>14561.625</v>
      </c>
      <c r="L323" s="65">
        <f>SUM(K323:K331)</f>
        <v>65825.551666666666</v>
      </c>
      <c r="M323" s="67">
        <f t="shared" ref="M323:M331" si="448">L323*$L$643/$L$642</f>
        <v>2.7629640425678423</v>
      </c>
      <c r="N323" s="65">
        <f t="shared" ref="N323:N375" si="449">IF(M323&gt;=2, ROUND(M323,0), IF(M323&gt;1.1,2,""))</f>
        <v>3</v>
      </c>
      <c r="O323" s="65">
        <f t="shared" ref="O323:P323" si="450">N323</f>
        <v>3</v>
      </c>
      <c r="P323" s="65">
        <f t="shared" si="450"/>
        <v>3</v>
      </c>
      <c r="Q323" s="38"/>
      <c r="R323" s="3" t="str">
        <f t="shared" si="351"/>
        <v>Vellore</v>
      </c>
      <c r="S323" s="3" t="str">
        <f t="shared" si="346"/>
        <v>Anaicut</v>
      </c>
      <c r="T323" s="3" t="str">
        <f t="shared" si="347"/>
        <v>Anaicut</v>
      </c>
      <c r="U323" s="3" t="str">
        <f t="shared" si="348"/>
        <v>Vellore_Anaicut_Anaicut</v>
      </c>
      <c r="V323" s="3">
        <f>IF(_xlfn.XLOOKUP($U323,GCA!$H$3:$H$593,GCA!E$3:E$593,"",0,1)="","",_xlfn.XLOOKUP($U323,GCA!$H$3:$H$593,GCA!E$3:E$593,"",0,1))</f>
        <v>15134.475</v>
      </c>
      <c r="W323" s="3">
        <f>IF(_xlfn.XLOOKUP($U323,GCA!$H$3:$H$593,GCA!F$3:F$593,"",0,1)="","",_xlfn.XLOOKUP($U323,GCA!$H$3:$H$593,GCA!F$3:F$593,"",0,1))</f>
        <v>14323.19</v>
      </c>
      <c r="X323" s="3">
        <f>IF(_xlfn.XLOOKUP($U323,GCA!$H$3:$H$593,GCA!G$3:G$593,"",0,1)="","",_xlfn.XLOOKUP($U323,GCA!$H$3:$H$593,GCA!G$3:G$593,"",0,1))</f>
        <v>14227.21</v>
      </c>
    </row>
    <row r="324" spans="1:24" ht="13.2">
      <c r="A324" s="49"/>
      <c r="B324" s="49"/>
      <c r="C324" s="48"/>
      <c r="D324" s="49"/>
      <c r="E324" s="50"/>
      <c r="F324" s="26" t="s">
        <v>799</v>
      </c>
      <c r="G324" s="26" t="s">
        <v>226</v>
      </c>
      <c r="H324" s="27">
        <f t="shared" si="444"/>
        <v>2478.8000000000002</v>
      </c>
      <c r="I324" s="27">
        <f t="shared" si="445"/>
        <v>2406.54</v>
      </c>
      <c r="J324" s="27">
        <f t="shared" si="446"/>
        <v>2584.73</v>
      </c>
      <c r="K324" s="27">
        <f t="shared" si="447"/>
        <v>2490.0233333333331</v>
      </c>
      <c r="L324" s="65"/>
      <c r="M324" s="67">
        <f t="shared" si="448"/>
        <v>0</v>
      </c>
      <c r="N324" s="65" t="str">
        <f t="shared" si="449"/>
        <v/>
      </c>
      <c r="O324" s="65" t="str">
        <f t="shared" ref="O324:P324" si="451">N324</f>
        <v/>
      </c>
      <c r="P324" s="65" t="str">
        <f t="shared" si="451"/>
        <v/>
      </c>
      <c r="Q324" s="38"/>
      <c r="R324" s="3" t="str">
        <f t="shared" ref="R324:R332" si="452">R323</f>
        <v>Vellore</v>
      </c>
      <c r="S324" s="3" t="str">
        <f t="shared" ref="S324:S376" si="453">F324</f>
        <v>Anaicut</v>
      </c>
      <c r="T324" s="3" t="str">
        <f t="shared" ref="T324:T376" si="454">G324</f>
        <v>Vellore</v>
      </c>
      <c r="U324" s="3" t="str">
        <f t="shared" ref="U324:U376" si="455">CONCATENATE(R324,"_",S324,"_",T324)</f>
        <v>Vellore_Anaicut_Vellore</v>
      </c>
      <c r="V324" s="3">
        <f>IF(_xlfn.XLOOKUP($U324,GCA!$H$3:$H$593,GCA!E$3:E$593,"",0,1)="","",_xlfn.XLOOKUP($U324,GCA!$H$3:$H$593,GCA!E$3:E$593,"",0,1))</f>
        <v>2478.8000000000002</v>
      </c>
      <c r="W324" s="3">
        <f>IF(_xlfn.XLOOKUP($U324,GCA!$H$3:$H$593,GCA!F$3:F$593,"",0,1)="","",_xlfn.XLOOKUP($U324,GCA!$H$3:$H$593,GCA!F$3:F$593,"",0,1))</f>
        <v>2406.54</v>
      </c>
      <c r="X324" s="3">
        <f>IF(_xlfn.XLOOKUP($U324,GCA!$H$3:$H$593,GCA!G$3:G$593,"",0,1)="","",_xlfn.XLOOKUP($U324,GCA!$H$3:$H$593,GCA!G$3:G$593,"",0,1))</f>
        <v>2584.73</v>
      </c>
    </row>
    <row r="325" spans="1:24" ht="13.2">
      <c r="A325" s="49"/>
      <c r="B325" s="49"/>
      <c r="C325" s="48"/>
      <c r="D325" s="49"/>
      <c r="E325" s="50"/>
      <c r="F325" s="26" t="s">
        <v>800</v>
      </c>
      <c r="G325" s="26" t="s">
        <v>800</v>
      </c>
      <c r="H325" s="27">
        <f t="shared" si="444"/>
        <v>14763.13</v>
      </c>
      <c r="I325" s="27">
        <f t="shared" si="445"/>
        <v>14422.665000000001</v>
      </c>
      <c r="J325" s="27">
        <f t="shared" si="446"/>
        <v>14406.33</v>
      </c>
      <c r="K325" s="27">
        <f t="shared" si="447"/>
        <v>14530.708333333334</v>
      </c>
      <c r="L325" s="65"/>
      <c r="M325" s="67">
        <f t="shared" si="448"/>
        <v>0</v>
      </c>
      <c r="N325" s="65" t="str">
        <f t="shared" si="449"/>
        <v/>
      </c>
      <c r="O325" s="65" t="str">
        <f t="shared" ref="O325:P325" si="456">N325</f>
        <v/>
      </c>
      <c r="P325" s="65" t="str">
        <f t="shared" si="456"/>
        <v/>
      </c>
      <c r="Q325" s="38"/>
      <c r="R325" s="3" t="str">
        <f t="shared" si="452"/>
        <v>Vellore</v>
      </c>
      <c r="S325" s="3" t="str">
        <f t="shared" si="453"/>
        <v>Gudiyatham</v>
      </c>
      <c r="T325" s="3" t="str">
        <f t="shared" si="454"/>
        <v>Gudiyatham</v>
      </c>
      <c r="U325" s="3" t="str">
        <f t="shared" si="455"/>
        <v>Vellore_Gudiyatham_Gudiyatham</v>
      </c>
      <c r="V325" s="3">
        <f>IF(_xlfn.XLOOKUP($U325,GCA!$H$3:$H$593,GCA!E$3:E$593,"",0,1)="","",_xlfn.XLOOKUP($U325,GCA!$H$3:$H$593,GCA!E$3:E$593,"",0,1))</f>
        <v>14763.13</v>
      </c>
      <c r="W325" s="3">
        <f>IF(_xlfn.XLOOKUP($U325,GCA!$H$3:$H$593,GCA!F$3:F$593,"",0,1)="","",_xlfn.XLOOKUP($U325,GCA!$H$3:$H$593,GCA!F$3:F$593,"",0,1))</f>
        <v>14422.665000000001</v>
      </c>
      <c r="X325" s="3">
        <f>IF(_xlfn.XLOOKUP($U325,GCA!$H$3:$H$593,GCA!G$3:G$593,"",0,1)="","",_xlfn.XLOOKUP($U325,GCA!$H$3:$H$593,GCA!G$3:G$593,"",0,1))</f>
        <v>14406.33</v>
      </c>
    </row>
    <row r="326" spans="1:24" ht="13.2">
      <c r="A326" s="49"/>
      <c r="B326" s="49"/>
      <c r="C326" s="48"/>
      <c r="D326" s="49"/>
      <c r="E326" s="50"/>
      <c r="F326" s="26" t="s">
        <v>800</v>
      </c>
      <c r="G326" s="26" t="s">
        <v>801</v>
      </c>
      <c r="H326" s="27">
        <f t="shared" si="444"/>
        <v>456.57</v>
      </c>
      <c r="I326" s="27">
        <f t="shared" si="445"/>
        <v>411.9</v>
      </c>
      <c r="J326" s="27">
        <f t="shared" si="446"/>
        <v>442.03</v>
      </c>
      <c r="K326" s="27">
        <f t="shared" si="447"/>
        <v>436.83333333333331</v>
      </c>
      <c r="L326" s="65"/>
      <c r="M326" s="67">
        <f t="shared" si="448"/>
        <v>0</v>
      </c>
      <c r="N326" s="65" t="str">
        <f t="shared" si="449"/>
        <v/>
      </c>
      <c r="O326" s="65" t="str">
        <f t="shared" ref="O326:P326" si="457">N326</f>
        <v/>
      </c>
      <c r="P326" s="65" t="str">
        <f t="shared" si="457"/>
        <v/>
      </c>
      <c r="Q326" s="38"/>
      <c r="R326" s="3" t="str">
        <f t="shared" si="452"/>
        <v>Vellore</v>
      </c>
      <c r="S326" s="3" t="str">
        <f t="shared" si="453"/>
        <v>Gudiyatham</v>
      </c>
      <c r="T326" s="3" t="str">
        <f t="shared" si="454"/>
        <v>K.V.Kuppam</v>
      </c>
      <c r="U326" s="3" t="str">
        <f t="shared" si="455"/>
        <v>Vellore_Gudiyatham_K.V.Kuppam</v>
      </c>
      <c r="V326" s="3">
        <f>IF(_xlfn.XLOOKUP($U326,GCA!$H$3:$H$593,GCA!E$3:E$593,"",0,1)="","",_xlfn.XLOOKUP($U326,GCA!$H$3:$H$593,GCA!E$3:E$593,"",0,1))</f>
        <v>456.57</v>
      </c>
      <c r="W326" s="3">
        <f>IF(_xlfn.XLOOKUP($U326,GCA!$H$3:$H$593,GCA!F$3:F$593,"",0,1)="","",_xlfn.XLOOKUP($U326,GCA!$H$3:$H$593,GCA!F$3:F$593,"",0,1))</f>
        <v>411.9</v>
      </c>
      <c r="X326" s="3">
        <f>IF(_xlfn.XLOOKUP($U326,GCA!$H$3:$H$593,GCA!G$3:G$593,"",0,1)="","",_xlfn.XLOOKUP($U326,GCA!$H$3:$H$593,GCA!G$3:G$593,"",0,1))</f>
        <v>442.03</v>
      </c>
    </row>
    <row r="327" spans="1:24" ht="13.2">
      <c r="A327" s="49"/>
      <c r="B327" s="49"/>
      <c r="C327" s="48"/>
      <c r="D327" s="49"/>
      <c r="E327" s="50"/>
      <c r="F327" s="26" t="s">
        <v>801</v>
      </c>
      <c r="G327" s="26" t="s">
        <v>801</v>
      </c>
      <c r="H327" s="27">
        <f t="shared" si="444"/>
        <v>8435.5499999999993</v>
      </c>
      <c r="I327" s="27">
        <f t="shared" si="445"/>
        <v>8225.23</v>
      </c>
      <c r="J327" s="27">
        <f t="shared" si="446"/>
        <v>7590.6350000000002</v>
      </c>
      <c r="K327" s="27">
        <f t="shared" si="447"/>
        <v>8083.8050000000003</v>
      </c>
      <c r="L327" s="65"/>
      <c r="M327" s="67">
        <f t="shared" si="448"/>
        <v>0</v>
      </c>
      <c r="N327" s="65" t="str">
        <f t="shared" si="449"/>
        <v/>
      </c>
      <c r="O327" s="65" t="str">
        <f t="shared" ref="O327:P327" si="458">N327</f>
        <v/>
      </c>
      <c r="P327" s="65" t="str">
        <f t="shared" si="458"/>
        <v/>
      </c>
      <c r="Q327" s="38"/>
      <c r="R327" s="3" t="str">
        <f t="shared" si="452"/>
        <v>Vellore</v>
      </c>
      <c r="S327" s="3" t="str">
        <f t="shared" si="453"/>
        <v>K.V.Kuppam</v>
      </c>
      <c r="T327" s="3" t="str">
        <f t="shared" si="454"/>
        <v>K.V.Kuppam</v>
      </c>
      <c r="U327" s="3" t="str">
        <f t="shared" si="455"/>
        <v>Vellore_K.V.Kuppam_K.V.Kuppam</v>
      </c>
      <c r="V327" s="3">
        <f>IF(_xlfn.XLOOKUP($U327,GCA!$H$3:$H$593,GCA!E$3:E$593,"",0,1)="","",_xlfn.XLOOKUP($U327,GCA!$H$3:$H$593,GCA!E$3:E$593,"",0,1))</f>
        <v>8435.5499999999993</v>
      </c>
      <c r="W327" s="3">
        <f>IF(_xlfn.XLOOKUP($U327,GCA!$H$3:$H$593,GCA!F$3:F$593,"",0,1)="","",_xlfn.XLOOKUP($U327,GCA!$H$3:$H$593,GCA!F$3:F$593,"",0,1))</f>
        <v>8225.23</v>
      </c>
      <c r="X327" s="3">
        <f>IF(_xlfn.XLOOKUP($U327,GCA!$H$3:$H$593,GCA!G$3:G$593,"",0,1)="","",_xlfn.XLOOKUP($U327,GCA!$H$3:$H$593,GCA!G$3:G$593,"",0,1))</f>
        <v>7590.6350000000002</v>
      </c>
    </row>
    <row r="328" spans="1:24" ht="13.2">
      <c r="A328" s="49"/>
      <c r="B328" s="49"/>
      <c r="C328" s="48"/>
      <c r="D328" s="49"/>
      <c r="E328" s="50"/>
      <c r="F328" s="26" t="s">
        <v>802</v>
      </c>
      <c r="G328" s="26" t="s">
        <v>802</v>
      </c>
      <c r="H328" s="27">
        <f t="shared" si="444"/>
        <v>10754.37</v>
      </c>
      <c r="I328" s="27">
        <f t="shared" si="445"/>
        <v>10605.514999999999</v>
      </c>
      <c r="J328" s="27">
        <f t="shared" si="446"/>
        <v>10326.41</v>
      </c>
      <c r="K328" s="27">
        <f t="shared" si="447"/>
        <v>10562.098333333333</v>
      </c>
      <c r="L328" s="65"/>
      <c r="M328" s="67">
        <f t="shared" si="448"/>
        <v>0</v>
      </c>
      <c r="N328" s="65" t="str">
        <f t="shared" si="449"/>
        <v/>
      </c>
      <c r="O328" s="65" t="str">
        <f t="shared" ref="O328:P328" si="459">N328</f>
        <v/>
      </c>
      <c r="P328" s="65" t="str">
        <f t="shared" si="459"/>
        <v/>
      </c>
      <c r="Q328" s="38"/>
      <c r="R328" s="3" t="str">
        <f t="shared" si="452"/>
        <v>Vellore</v>
      </c>
      <c r="S328" s="3" t="str">
        <f t="shared" si="453"/>
        <v>Katpadi</v>
      </c>
      <c r="T328" s="3" t="str">
        <f t="shared" si="454"/>
        <v>Katpadi</v>
      </c>
      <c r="U328" s="3" t="str">
        <f t="shared" si="455"/>
        <v>Vellore_Katpadi_Katpadi</v>
      </c>
      <c r="V328" s="3">
        <f>IF(_xlfn.XLOOKUP($U328,GCA!$H$3:$H$593,GCA!E$3:E$593,"",0,1)="","",_xlfn.XLOOKUP($U328,GCA!$H$3:$H$593,GCA!E$3:E$593,"",0,1))</f>
        <v>10754.37</v>
      </c>
      <c r="W328" s="3">
        <f>IF(_xlfn.XLOOKUP($U328,GCA!$H$3:$H$593,GCA!F$3:F$593,"",0,1)="","",_xlfn.XLOOKUP($U328,GCA!$H$3:$H$593,GCA!F$3:F$593,"",0,1))</f>
        <v>10605.514999999999</v>
      </c>
      <c r="X328" s="3">
        <f>IF(_xlfn.XLOOKUP($U328,GCA!$H$3:$H$593,GCA!G$3:G$593,"",0,1)="","",_xlfn.XLOOKUP($U328,GCA!$H$3:$H$593,GCA!G$3:G$593,"",0,1))</f>
        <v>10326.41</v>
      </c>
    </row>
    <row r="329" spans="1:24" ht="13.2">
      <c r="A329" s="49"/>
      <c r="B329" s="49"/>
      <c r="C329" s="48"/>
      <c r="D329" s="49"/>
      <c r="E329" s="50"/>
      <c r="F329" s="26" t="s">
        <v>803</v>
      </c>
      <c r="G329" s="26" t="s">
        <v>803</v>
      </c>
      <c r="H329" s="27">
        <f t="shared" si="444"/>
        <v>6678.8450000000003</v>
      </c>
      <c r="I329" s="27">
        <f t="shared" si="445"/>
        <v>5952.87</v>
      </c>
      <c r="J329" s="27">
        <f t="shared" si="446"/>
        <v>6202.165</v>
      </c>
      <c r="K329" s="27">
        <f t="shared" si="447"/>
        <v>6277.96</v>
      </c>
      <c r="L329" s="65"/>
      <c r="M329" s="67">
        <f t="shared" si="448"/>
        <v>0</v>
      </c>
      <c r="N329" s="65" t="str">
        <f t="shared" si="449"/>
        <v/>
      </c>
      <c r="O329" s="65" t="str">
        <f t="shared" ref="O329:P329" si="460">N329</f>
        <v/>
      </c>
      <c r="P329" s="65" t="str">
        <f t="shared" si="460"/>
        <v/>
      </c>
      <c r="Q329" s="38"/>
      <c r="R329" s="3" t="str">
        <f t="shared" si="452"/>
        <v>Vellore</v>
      </c>
      <c r="S329" s="3" t="str">
        <f t="shared" si="453"/>
        <v>Pernampet</v>
      </c>
      <c r="T329" s="3" t="str">
        <f t="shared" si="454"/>
        <v>Pernampet</v>
      </c>
      <c r="U329" s="3" t="str">
        <f t="shared" si="455"/>
        <v>Vellore_Pernampet_Pernampet</v>
      </c>
      <c r="V329" s="3">
        <f>IF(_xlfn.XLOOKUP($U329,GCA!$H$3:$H$593,GCA!E$3:E$593,"",0,1)="","",_xlfn.XLOOKUP($U329,GCA!$H$3:$H$593,GCA!E$3:E$593,"",0,1))</f>
        <v>6678.8450000000003</v>
      </c>
      <c r="W329" s="3">
        <f>IF(_xlfn.XLOOKUP($U329,GCA!$H$3:$H$593,GCA!F$3:F$593,"",0,1)="","",_xlfn.XLOOKUP($U329,GCA!$H$3:$H$593,GCA!F$3:F$593,"",0,1))</f>
        <v>5952.87</v>
      </c>
      <c r="X329" s="3">
        <f>IF(_xlfn.XLOOKUP($U329,GCA!$H$3:$H$593,GCA!G$3:G$593,"",0,1)="","",_xlfn.XLOOKUP($U329,GCA!$H$3:$H$593,GCA!G$3:G$593,"",0,1))</f>
        <v>6202.165</v>
      </c>
    </row>
    <row r="330" spans="1:24" ht="13.2">
      <c r="A330" s="49"/>
      <c r="B330" s="49"/>
      <c r="C330" s="48"/>
      <c r="D330" s="49"/>
      <c r="E330" s="50"/>
      <c r="F330" s="26" t="s">
        <v>226</v>
      </c>
      <c r="G330" s="26" t="s">
        <v>804</v>
      </c>
      <c r="H330" s="27">
        <f t="shared" si="444"/>
        <v>7221.39</v>
      </c>
      <c r="I330" s="27">
        <f t="shared" si="445"/>
        <v>7047.375</v>
      </c>
      <c r="J330" s="27">
        <f t="shared" si="446"/>
        <v>7498.31</v>
      </c>
      <c r="K330" s="27">
        <f t="shared" si="447"/>
        <v>7255.6916666666666</v>
      </c>
      <c r="L330" s="65"/>
      <c r="M330" s="67">
        <f t="shared" si="448"/>
        <v>0</v>
      </c>
      <c r="N330" s="65" t="str">
        <f t="shared" si="449"/>
        <v/>
      </c>
      <c r="O330" s="65" t="str">
        <f t="shared" ref="O330:P330" si="461">N330</f>
        <v/>
      </c>
      <c r="P330" s="65" t="str">
        <f t="shared" si="461"/>
        <v/>
      </c>
      <c r="Q330" s="38"/>
      <c r="R330" s="3" t="str">
        <f t="shared" si="452"/>
        <v>Vellore</v>
      </c>
      <c r="S330" s="3" t="str">
        <f t="shared" si="453"/>
        <v>Vellore</v>
      </c>
      <c r="T330" s="3" t="str">
        <f t="shared" si="454"/>
        <v>Kaniyambadi</v>
      </c>
      <c r="U330" s="3" t="str">
        <f t="shared" si="455"/>
        <v>Vellore_Vellore_Kaniyambadi</v>
      </c>
      <c r="V330" s="3">
        <f>IF(_xlfn.XLOOKUP($U330,GCA!$H$3:$H$593,GCA!E$3:E$593,"",0,1)="","",_xlfn.XLOOKUP($U330,GCA!$H$3:$H$593,GCA!E$3:E$593,"",0,1))</f>
        <v>7221.39</v>
      </c>
      <c r="W330" s="3">
        <f>IF(_xlfn.XLOOKUP($U330,GCA!$H$3:$H$593,GCA!F$3:F$593,"",0,1)="","",_xlfn.XLOOKUP($U330,GCA!$H$3:$H$593,GCA!F$3:F$593,"",0,1))</f>
        <v>7047.375</v>
      </c>
      <c r="X330" s="3">
        <f>IF(_xlfn.XLOOKUP($U330,GCA!$H$3:$H$593,GCA!G$3:G$593,"",0,1)="","",_xlfn.XLOOKUP($U330,GCA!$H$3:$H$593,GCA!G$3:G$593,"",0,1))</f>
        <v>7498.31</v>
      </c>
    </row>
    <row r="331" spans="1:24" ht="13.2">
      <c r="A331" s="49"/>
      <c r="B331" s="49"/>
      <c r="C331" s="48"/>
      <c r="D331" s="49"/>
      <c r="E331" s="50"/>
      <c r="F331" s="26" t="s">
        <v>226</v>
      </c>
      <c r="G331" s="26" t="s">
        <v>226</v>
      </c>
      <c r="H331" s="27">
        <f t="shared" si="444"/>
        <v>1498.72</v>
      </c>
      <c r="I331" s="27">
        <f t="shared" si="445"/>
        <v>1902.62</v>
      </c>
      <c r="J331" s="27">
        <f t="shared" si="446"/>
        <v>1479.08</v>
      </c>
      <c r="K331" s="27">
        <f t="shared" si="447"/>
        <v>1626.8066666666666</v>
      </c>
      <c r="L331" s="65"/>
      <c r="M331" s="67">
        <f t="shared" si="448"/>
        <v>0</v>
      </c>
      <c r="N331" s="65" t="str">
        <f t="shared" si="449"/>
        <v/>
      </c>
      <c r="O331" s="65" t="str">
        <f t="shared" ref="O331:P331" si="462">N331</f>
        <v/>
      </c>
      <c r="P331" s="65" t="str">
        <f t="shared" si="462"/>
        <v/>
      </c>
      <c r="Q331" s="38"/>
      <c r="R331" s="3" t="str">
        <f t="shared" si="452"/>
        <v>Vellore</v>
      </c>
      <c r="S331" s="3" t="str">
        <f t="shared" si="453"/>
        <v>Vellore</v>
      </c>
      <c r="T331" s="3" t="str">
        <f t="shared" si="454"/>
        <v>Vellore</v>
      </c>
      <c r="U331" s="3" t="str">
        <f t="shared" si="455"/>
        <v>Vellore_Vellore_Vellore</v>
      </c>
      <c r="V331" s="3">
        <f>IF(_xlfn.XLOOKUP($U331,GCA!$H$3:$H$593,GCA!E$3:E$593,"",0,1)="","",_xlfn.XLOOKUP($U331,GCA!$H$3:$H$593,GCA!E$3:E$593,"",0,1))</f>
        <v>1498.72</v>
      </c>
      <c r="W331" s="3">
        <f>IF(_xlfn.XLOOKUP($U331,GCA!$H$3:$H$593,GCA!F$3:F$593,"",0,1)="","",_xlfn.XLOOKUP($U331,GCA!$H$3:$H$593,GCA!F$3:F$593,"",0,1))</f>
        <v>1902.62</v>
      </c>
      <c r="X331" s="3">
        <f>IF(_xlfn.XLOOKUP($U331,GCA!$H$3:$H$593,GCA!G$3:G$593,"",0,1)="","",_xlfn.XLOOKUP($U331,GCA!$H$3:$H$593,GCA!G$3:G$593,"",0,1))</f>
        <v>1479.08</v>
      </c>
    </row>
    <row r="332" spans="1:24" ht="13.2">
      <c r="A332" s="49"/>
      <c r="B332" s="49"/>
      <c r="C332" s="48"/>
      <c r="D332" s="49"/>
      <c r="E332" s="47" t="s">
        <v>564</v>
      </c>
      <c r="F332" s="47"/>
      <c r="G332" s="47"/>
      <c r="H332" s="29">
        <f t="shared" ref="H332:P332" si="463">SUM(H323:H331)</f>
        <v>67421.850000000006</v>
      </c>
      <c r="I332" s="29">
        <f t="shared" si="463"/>
        <v>65297.905000000006</v>
      </c>
      <c r="J332" s="29">
        <f t="shared" si="463"/>
        <v>64756.9</v>
      </c>
      <c r="K332" s="29">
        <f t="shared" si="463"/>
        <v>65825.551666666666</v>
      </c>
      <c r="L332" s="29">
        <f t="shared" si="463"/>
        <v>65825.551666666666</v>
      </c>
      <c r="M332" s="30">
        <f t="shared" si="463"/>
        <v>2.7629640425678423</v>
      </c>
      <c r="N332" s="31">
        <f t="shared" si="463"/>
        <v>3</v>
      </c>
      <c r="O332" s="31">
        <f t="shared" si="463"/>
        <v>3</v>
      </c>
      <c r="P332" s="31">
        <f t="shared" si="463"/>
        <v>3</v>
      </c>
      <c r="Q332" s="38"/>
      <c r="R332" s="3" t="str">
        <f t="shared" si="452"/>
        <v>Vellore</v>
      </c>
      <c r="S332" s="3">
        <f t="shared" si="453"/>
        <v>0</v>
      </c>
      <c r="T332" s="3">
        <f t="shared" si="454"/>
        <v>0</v>
      </c>
      <c r="U332" s="3" t="str">
        <f t="shared" si="455"/>
        <v>Vellore_0_0</v>
      </c>
      <c r="V332" s="3" t="str">
        <f>IF(_xlfn.XLOOKUP($U332,GCA!$H$3:$H$593,GCA!E$3:E$593,"",0,1)="","",_xlfn.XLOOKUP($U332,GCA!$H$3:$H$593,GCA!E$3:E$593,"",0,1))</f>
        <v/>
      </c>
      <c r="W332" s="3" t="str">
        <f>IF(_xlfn.XLOOKUP($U332,GCA!$H$3:$H$593,GCA!F$3:F$593,"",0,1)="","",_xlfn.XLOOKUP($U332,GCA!$H$3:$H$593,GCA!F$3:F$593,"",0,1))</f>
        <v/>
      </c>
      <c r="X332" s="3" t="str">
        <f>IF(_xlfn.XLOOKUP($U332,GCA!$H$3:$H$593,GCA!G$3:G$593,"",0,1)="","",_xlfn.XLOOKUP($U332,GCA!$H$3:$H$593,GCA!G$3:G$593,"",0,1))</f>
        <v/>
      </c>
    </row>
    <row r="333" spans="1:24" ht="13.2">
      <c r="A333" s="49"/>
      <c r="B333" s="49"/>
      <c r="C333" s="48" t="s">
        <v>274</v>
      </c>
      <c r="D333" s="49" t="s">
        <v>540</v>
      </c>
      <c r="E333" s="50">
        <v>1</v>
      </c>
      <c r="F333" s="26" t="s">
        <v>805</v>
      </c>
      <c r="G333" s="26" t="s">
        <v>805</v>
      </c>
      <c r="H333" s="27">
        <f t="shared" ref="H333:H357" si="464">V333</f>
        <v>11038.42</v>
      </c>
      <c r="I333" s="27">
        <f t="shared" ref="I333:I357" si="465">W333</f>
        <v>13667.475</v>
      </c>
      <c r="J333" s="27">
        <f t="shared" ref="J333:J357" si="466">X333</f>
        <v>12678.28</v>
      </c>
      <c r="K333" s="27">
        <f t="shared" ref="K333:K357" si="467">IFERROR(AVERAGE(H333:J333),"")</f>
        <v>12461.391666666668</v>
      </c>
      <c r="L333" s="65">
        <f>SUM(K333:K337)</f>
        <v>63516.523333333331</v>
      </c>
      <c r="M333" s="67">
        <f t="shared" ref="M333:M357" si="468">L333*$L$643/$L$642</f>
        <v>2.6660448053303516</v>
      </c>
      <c r="N333" s="65">
        <f t="shared" si="449"/>
        <v>3</v>
      </c>
      <c r="O333" s="65">
        <f t="shared" ref="O333:P333" si="469">N333</f>
        <v>3</v>
      </c>
      <c r="P333" s="65">
        <f t="shared" si="469"/>
        <v>3</v>
      </c>
      <c r="Q333" s="38"/>
      <c r="R333" s="3" t="str">
        <f t="shared" ref="R333:R373" si="470">C333</f>
        <v>Tiruvannamalai</v>
      </c>
      <c r="S333" s="3" t="str">
        <f t="shared" si="453"/>
        <v>Arni</v>
      </c>
      <c r="T333" s="3" t="str">
        <f t="shared" si="454"/>
        <v>Arni</v>
      </c>
      <c r="U333" s="3" t="str">
        <f t="shared" si="455"/>
        <v>Tiruvannamalai_Arni_Arni</v>
      </c>
      <c r="V333" s="3">
        <f>IF(_xlfn.XLOOKUP($U333,GCA!$H$3:$H$593,GCA!E$3:E$593,"",0,1)="","",_xlfn.XLOOKUP($U333,GCA!$H$3:$H$593,GCA!E$3:E$593,"",0,1))</f>
        <v>11038.42</v>
      </c>
      <c r="W333" s="3">
        <f>IF(_xlfn.XLOOKUP($U333,GCA!$H$3:$H$593,GCA!F$3:F$593,"",0,1)="","",_xlfn.XLOOKUP($U333,GCA!$H$3:$H$593,GCA!F$3:F$593,"",0,1))</f>
        <v>13667.475</v>
      </c>
      <c r="X333" s="3">
        <f>IF(_xlfn.XLOOKUP($U333,GCA!$H$3:$H$593,GCA!G$3:G$593,"",0,1)="","",_xlfn.XLOOKUP($U333,GCA!$H$3:$H$593,GCA!G$3:G$593,"",0,1))</f>
        <v>12678.28</v>
      </c>
    </row>
    <row r="334" spans="1:24" ht="13.2">
      <c r="A334" s="49"/>
      <c r="B334" s="49"/>
      <c r="C334" s="48"/>
      <c r="D334" s="49"/>
      <c r="E334" s="50"/>
      <c r="F334" s="26" t="s">
        <v>805</v>
      </c>
      <c r="G334" s="26" t="s">
        <v>806</v>
      </c>
      <c r="H334" s="27">
        <f t="shared" si="464"/>
        <v>9775.58</v>
      </c>
      <c r="I334" s="27">
        <f t="shared" si="465"/>
        <v>10120.625</v>
      </c>
      <c r="J334" s="27">
        <f t="shared" si="466"/>
        <v>8880.0650000000005</v>
      </c>
      <c r="K334" s="27">
        <f t="shared" si="467"/>
        <v>9592.090000000002</v>
      </c>
      <c r="L334" s="65"/>
      <c r="M334" s="67">
        <f t="shared" si="468"/>
        <v>0</v>
      </c>
      <c r="N334" s="65" t="str">
        <f t="shared" si="449"/>
        <v/>
      </c>
      <c r="O334" s="65" t="str">
        <f t="shared" ref="O334:P334" si="471">N334</f>
        <v/>
      </c>
      <c r="P334" s="65" t="str">
        <f t="shared" si="471"/>
        <v/>
      </c>
      <c r="Q334" s="38"/>
      <c r="R334" s="3" t="str">
        <f t="shared" ref="R334:R358" si="472">R333</f>
        <v>Tiruvannamalai</v>
      </c>
      <c r="S334" s="3" t="str">
        <f t="shared" si="453"/>
        <v>Arni</v>
      </c>
      <c r="T334" s="3" t="str">
        <f t="shared" si="454"/>
        <v>West Arni</v>
      </c>
      <c r="U334" s="3" t="str">
        <f t="shared" si="455"/>
        <v>Tiruvannamalai_Arni_West Arni</v>
      </c>
      <c r="V334" s="3">
        <f>IF(_xlfn.XLOOKUP($U334,GCA!$H$3:$H$593,GCA!E$3:E$593,"",0,1)="","",_xlfn.XLOOKUP($U334,GCA!$H$3:$H$593,GCA!E$3:E$593,"",0,1))</f>
        <v>9775.58</v>
      </c>
      <c r="W334" s="3">
        <f>IF(_xlfn.XLOOKUP($U334,GCA!$H$3:$H$593,GCA!F$3:F$593,"",0,1)="","",_xlfn.XLOOKUP($U334,GCA!$H$3:$H$593,GCA!F$3:F$593,"",0,1))</f>
        <v>10120.625</v>
      </c>
      <c r="X334" s="3">
        <f>IF(_xlfn.XLOOKUP($U334,GCA!$H$3:$H$593,GCA!G$3:G$593,"",0,1)="","",_xlfn.XLOOKUP($U334,GCA!$H$3:$H$593,GCA!G$3:G$593,"",0,1))</f>
        <v>8880.0650000000005</v>
      </c>
    </row>
    <row r="335" spans="1:24" ht="13.2">
      <c r="A335" s="49"/>
      <c r="B335" s="49"/>
      <c r="C335" s="48"/>
      <c r="D335" s="49"/>
      <c r="E335" s="50"/>
      <c r="F335" s="26" t="s">
        <v>807</v>
      </c>
      <c r="G335" s="26" t="s">
        <v>807</v>
      </c>
      <c r="H335" s="27">
        <f t="shared" si="464"/>
        <v>19082.77</v>
      </c>
      <c r="I335" s="27">
        <f t="shared" si="465"/>
        <v>21225.62</v>
      </c>
      <c r="J335" s="27">
        <f t="shared" si="466"/>
        <v>24671.165000000001</v>
      </c>
      <c r="K335" s="27">
        <f t="shared" si="467"/>
        <v>21659.851666666666</v>
      </c>
      <c r="L335" s="65"/>
      <c r="M335" s="67">
        <f t="shared" si="468"/>
        <v>0</v>
      </c>
      <c r="N335" s="65" t="str">
        <f t="shared" si="449"/>
        <v/>
      </c>
      <c r="O335" s="65" t="str">
        <f t="shared" ref="O335:P335" si="473">N335</f>
        <v/>
      </c>
      <c r="P335" s="65" t="str">
        <f t="shared" si="473"/>
        <v/>
      </c>
      <c r="Q335" s="38"/>
      <c r="R335" s="3" t="str">
        <f t="shared" si="472"/>
        <v>Tiruvannamalai</v>
      </c>
      <c r="S335" s="3" t="str">
        <f t="shared" si="453"/>
        <v>Chengam</v>
      </c>
      <c r="T335" s="3" t="str">
        <f t="shared" si="454"/>
        <v>Chengam</v>
      </c>
      <c r="U335" s="3" t="str">
        <f t="shared" si="455"/>
        <v>Tiruvannamalai_Chengam_Chengam</v>
      </c>
      <c r="V335" s="3">
        <f>IF(_xlfn.XLOOKUP($U335,GCA!$H$3:$H$593,GCA!E$3:E$593,"",0,1)="","",_xlfn.XLOOKUP($U335,GCA!$H$3:$H$593,GCA!E$3:E$593,"",0,1))</f>
        <v>19082.77</v>
      </c>
      <c r="W335" s="3">
        <f>IF(_xlfn.XLOOKUP($U335,GCA!$H$3:$H$593,GCA!F$3:F$593,"",0,1)="","",_xlfn.XLOOKUP($U335,GCA!$H$3:$H$593,GCA!F$3:F$593,"",0,1))</f>
        <v>21225.62</v>
      </c>
      <c r="X335" s="3">
        <f>IF(_xlfn.XLOOKUP($U335,GCA!$H$3:$H$593,GCA!G$3:G$593,"",0,1)="","",_xlfn.XLOOKUP($U335,GCA!$H$3:$H$593,GCA!G$3:G$593,"",0,1))</f>
        <v>24671.165000000001</v>
      </c>
    </row>
    <row r="336" spans="1:24" ht="13.2">
      <c r="A336" s="49"/>
      <c r="B336" s="49"/>
      <c r="C336" s="48"/>
      <c r="D336" s="49"/>
      <c r="E336" s="50"/>
      <c r="F336" s="26" t="s">
        <v>807</v>
      </c>
      <c r="G336" s="26" t="s">
        <v>808</v>
      </c>
      <c r="H336" s="27">
        <f t="shared" si="464"/>
        <v>1064.45</v>
      </c>
      <c r="I336" s="27">
        <f t="shared" si="465"/>
        <v>909.9</v>
      </c>
      <c r="J336" s="27">
        <f t="shared" si="466"/>
        <v>875.76499999999999</v>
      </c>
      <c r="K336" s="27">
        <f t="shared" si="467"/>
        <v>950.0383333333333</v>
      </c>
      <c r="L336" s="65"/>
      <c r="M336" s="67">
        <f t="shared" si="468"/>
        <v>0</v>
      </c>
      <c r="N336" s="65" t="str">
        <f t="shared" si="449"/>
        <v/>
      </c>
      <c r="O336" s="65" t="str">
        <f t="shared" ref="O336:P336" si="474">N336</f>
        <v/>
      </c>
      <c r="P336" s="65" t="str">
        <f t="shared" si="474"/>
        <v/>
      </c>
      <c r="Q336" s="38"/>
      <c r="R336" s="3" t="str">
        <f t="shared" si="472"/>
        <v>Tiruvannamalai</v>
      </c>
      <c r="S336" s="3" t="str">
        <f t="shared" si="453"/>
        <v>Chengam</v>
      </c>
      <c r="T336" s="3" t="str">
        <f t="shared" si="454"/>
        <v>Jawadhuhills</v>
      </c>
      <c r="U336" s="3" t="str">
        <f t="shared" si="455"/>
        <v>Tiruvannamalai_Chengam_Jawadhuhills</v>
      </c>
      <c r="V336" s="3">
        <f>IF(_xlfn.XLOOKUP($U336,GCA!$H$3:$H$593,GCA!E$3:E$593,"",0,1)="","",_xlfn.XLOOKUP($U336,GCA!$H$3:$H$593,GCA!E$3:E$593,"",0,1))</f>
        <v>1064.45</v>
      </c>
      <c r="W336" s="3">
        <f>IF(_xlfn.XLOOKUP($U336,GCA!$H$3:$H$593,GCA!F$3:F$593,"",0,1)="","",_xlfn.XLOOKUP($U336,GCA!$H$3:$H$593,GCA!F$3:F$593,"",0,1))</f>
        <v>909.9</v>
      </c>
      <c r="X336" s="3">
        <f>IF(_xlfn.XLOOKUP($U336,GCA!$H$3:$H$593,GCA!G$3:G$593,"",0,1)="","",_xlfn.XLOOKUP($U336,GCA!$H$3:$H$593,GCA!G$3:G$593,"",0,1))</f>
        <v>875.76499999999999</v>
      </c>
    </row>
    <row r="337" spans="1:24" ht="13.2">
      <c r="A337" s="49"/>
      <c r="B337" s="49"/>
      <c r="C337" s="48"/>
      <c r="D337" s="49"/>
      <c r="E337" s="50"/>
      <c r="F337" s="26" t="s">
        <v>807</v>
      </c>
      <c r="G337" s="26" t="s">
        <v>809</v>
      </c>
      <c r="H337" s="27">
        <f t="shared" si="464"/>
        <v>18148.18</v>
      </c>
      <c r="I337" s="27">
        <f t="shared" si="465"/>
        <v>19778.48</v>
      </c>
      <c r="J337" s="27">
        <f t="shared" si="466"/>
        <v>18632.794999999998</v>
      </c>
      <c r="K337" s="27">
        <f t="shared" si="467"/>
        <v>18853.151666666668</v>
      </c>
      <c r="L337" s="65"/>
      <c r="M337" s="67">
        <f t="shared" si="468"/>
        <v>0</v>
      </c>
      <c r="N337" s="65" t="str">
        <f t="shared" si="449"/>
        <v/>
      </c>
      <c r="O337" s="65" t="str">
        <f t="shared" ref="O337:P337" si="475">N337</f>
        <v/>
      </c>
      <c r="P337" s="65" t="str">
        <f t="shared" si="475"/>
        <v/>
      </c>
      <c r="Q337" s="38"/>
      <c r="R337" s="3" t="str">
        <f t="shared" si="472"/>
        <v>Tiruvannamalai</v>
      </c>
      <c r="S337" s="3" t="str">
        <f t="shared" si="453"/>
        <v>Chengam</v>
      </c>
      <c r="T337" s="3" t="str">
        <f t="shared" si="454"/>
        <v>Pudupalayam</v>
      </c>
      <c r="U337" s="3" t="str">
        <f t="shared" si="455"/>
        <v>Tiruvannamalai_Chengam_Pudupalayam</v>
      </c>
      <c r="V337" s="3">
        <f>IF(_xlfn.XLOOKUP($U337,GCA!$H$3:$H$593,GCA!E$3:E$593,"",0,1)="","",_xlfn.XLOOKUP($U337,GCA!$H$3:$H$593,GCA!E$3:E$593,"",0,1))</f>
        <v>18148.18</v>
      </c>
      <c r="W337" s="3">
        <f>IF(_xlfn.XLOOKUP($U337,GCA!$H$3:$H$593,GCA!F$3:F$593,"",0,1)="","",_xlfn.XLOOKUP($U337,GCA!$H$3:$H$593,GCA!F$3:F$593,"",0,1))</f>
        <v>19778.48</v>
      </c>
      <c r="X337" s="3">
        <f>IF(_xlfn.XLOOKUP($U337,GCA!$H$3:$H$593,GCA!G$3:G$593,"",0,1)="","",_xlfn.XLOOKUP($U337,GCA!$H$3:$H$593,GCA!G$3:G$593,"",0,1))</f>
        <v>18632.794999999998</v>
      </c>
    </row>
    <row r="338" spans="1:24" ht="13.2">
      <c r="A338" s="49"/>
      <c r="B338" s="49"/>
      <c r="C338" s="48"/>
      <c r="D338" s="49"/>
      <c r="E338" s="50">
        <v>2</v>
      </c>
      <c r="F338" s="26" t="s">
        <v>810</v>
      </c>
      <c r="G338" s="26" t="s">
        <v>810</v>
      </c>
      <c r="H338" s="27">
        <f t="shared" si="464"/>
        <v>10183.52</v>
      </c>
      <c r="I338" s="27">
        <f t="shared" si="465"/>
        <v>8643.48</v>
      </c>
      <c r="J338" s="27">
        <f t="shared" si="466"/>
        <v>9085.06</v>
      </c>
      <c r="K338" s="27">
        <f t="shared" si="467"/>
        <v>9304.0199999999986</v>
      </c>
      <c r="L338" s="65">
        <f>SUM(K338:K342)</f>
        <v>47652.898666666661</v>
      </c>
      <c r="M338" s="67">
        <f t="shared" si="468"/>
        <v>2.0001844603879237</v>
      </c>
      <c r="N338" s="65">
        <f t="shared" si="449"/>
        <v>2</v>
      </c>
      <c r="O338" s="65">
        <f t="shared" ref="O338:P338" si="476">N338</f>
        <v>2</v>
      </c>
      <c r="P338" s="65">
        <f t="shared" si="476"/>
        <v>2</v>
      </c>
      <c r="Q338" s="38"/>
      <c r="R338" s="3" t="str">
        <f t="shared" si="472"/>
        <v>Tiruvannamalai</v>
      </c>
      <c r="S338" s="3" t="str">
        <f t="shared" si="453"/>
        <v>Chetpet</v>
      </c>
      <c r="T338" s="3" t="str">
        <f t="shared" si="454"/>
        <v>Chetpet</v>
      </c>
      <c r="U338" s="3" t="str">
        <f t="shared" si="455"/>
        <v>Tiruvannamalai_Chetpet_Chetpet</v>
      </c>
      <c r="V338" s="3">
        <f>IF(_xlfn.XLOOKUP($U338,GCA!$H$3:$H$593,GCA!E$3:E$593,"",0,1)="","",_xlfn.XLOOKUP($U338,GCA!$H$3:$H$593,GCA!E$3:E$593,"",0,1))</f>
        <v>10183.52</v>
      </c>
      <c r="W338" s="3">
        <f>IF(_xlfn.XLOOKUP($U338,GCA!$H$3:$H$593,GCA!F$3:F$593,"",0,1)="","",_xlfn.XLOOKUP($U338,GCA!$H$3:$H$593,GCA!F$3:F$593,"",0,1))</f>
        <v>8643.48</v>
      </c>
      <c r="X338" s="3">
        <f>IF(_xlfn.XLOOKUP($U338,GCA!$H$3:$H$593,GCA!G$3:G$593,"",0,1)="","",_xlfn.XLOOKUP($U338,GCA!$H$3:$H$593,GCA!G$3:G$593,"",0,1))</f>
        <v>9085.06</v>
      </c>
    </row>
    <row r="339" spans="1:24" ht="13.2">
      <c r="A339" s="49"/>
      <c r="B339" s="49"/>
      <c r="C339" s="48"/>
      <c r="D339" s="49"/>
      <c r="E339" s="50"/>
      <c r="F339" s="26" t="s">
        <v>810</v>
      </c>
      <c r="G339" s="26" t="s">
        <v>811</v>
      </c>
      <c r="H339" s="27">
        <f t="shared" si="464"/>
        <v>8598.0249999999996</v>
      </c>
      <c r="I339" s="27">
        <f t="shared" si="465"/>
        <v>9221.66</v>
      </c>
      <c r="J339" s="27">
        <f t="shared" si="466"/>
        <v>9778.9050000000007</v>
      </c>
      <c r="K339" s="27">
        <f t="shared" si="467"/>
        <v>9199.5299999999988</v>
      </c>
      <c r="L339" s="65"/>
      <c r="M339" s="67">
        <f t="shared" si="468"/>
        <v>0</v>
      </c>
      <c r="N339" s="65" t="str">
        <f t="shared" si="449"/>
        <v/>
      </c>
      <c r="O339" s="65" t="str">
        <f t="shared" ref="O339:P339" si="477">N339</f>
        <v/>
      </c>
      <c r="P339" s="65" t="str">
        <f t="shared" si="477"/>
        <v/>
      </c>
      <c r="Q339" s="38"/>
      <c r="R339" s="3" t="str">
        <f t="shared" si="472"/>
        <v>Tiruvannamalai</v>
      </c>
      <c r="S339" s="3" t="str">
        <f t="shared" si="453"/>
        <v>Chetpet</v>
      </c>
      <c r="T339" s="3" t="str">
        <f t="shared" si="454"/>
        <v>Peranamallur</v>
      </c>
      <c r="U339" s="3" t="str">
        <f t="shared" si="455"/>
        <v>Tiruvannamalai_Chetpet_Peranamallur</v>
      </c>
      <c r="V339" s="3">
        <f>IF(_xlfn.XLOOKUP($U339,GCA!$H$3:$H$593,GCA!E$3:E$593,"",0,1)="","",_xlfn.XLOOKUP($U339,GCA!$H$3:$H$593,GCA!E$3:E$593,"",0,1))</f>
        <v>8598.0249999999996</v>
      </c>
      <c r="W339" s="3">
        <f>IF(_xlfn.XLOOKUP($U339,GCA!$H$3:$H$593,GCA!F$3:F$593,"",0,1)="","",_xlfn.XLOOKUP($U339,GCA!$H$3:$H$593,GCA!F$3:F$593,"",0,1))</f>
        <v>9221.66</v>
      </c>
      <c r="X339" s="3">
        <f>IF(_xlfn.XLOOKUP($U339,GCA!$H$3:$H$593,GCA!G$3:G$593,"",0,1)="","",_xlfn.XLOOKUP($U339,GCA!$H$3:$H$593,GCA!G$3:G$593,"",0,1))</f>
        <v>9778.9050000000007</v>
      </c>
    </row>
    <row r="340" spans="1:24" ht="13.2">
      <c r="A340" s="49"/>
      <c r="B340" s="49"/>
      <c r="C340" s="48"/>
      <c r="D340" s="49"/>
      <c r="E340" s="50"/>
      <c r="F340" s="26" t="s">
        <v>810</v>
      </c>
      <c r="G340" s="26" t="s">
        <v>806</v>
      </c>
      <c r="H340" s="27">
        <f t="shared" si="464"/>
        <v>2196.2649999999999</v>
      </c>
      <c r="I340" s="27">
        <f t="shared" si="465"/>
        <v>1862.12</v>
      </c>
      <c r="J340" s="27">
        <f t="shared" si="466"/>
        <v>2047.1849999999999</v>
      </c>
      <c r="K340" s="27">
        <f t="shared" si="467"/>
        <v>2035.1899999999998</v>
      </c>
      <c r="L340" s="65"/>
      <c r="M340" s="67">
        <f t="shared" si="468"/>
        <v>0</v>
      </c>
      <c r="N340" s="65" t="str">
        <f t="shared" si="449"/>
        <v/>
      </c>
      <c r="O340" s="65" t="str">
        <f t="shared" ref="O340:P340" si="478">N340</f>
        <v/>
      </c>
      <c r="P340" s="65" t="str">
        <f t="shared" si="478"/>
        <v/>
      </c>
      <c r="Q340" s="38"/>
      <c r="R340" s="3" t="str">
        <f t="shared" si="472"/>
        <v>Tiruvannamalai</v>
      </c>
      <c r="S340" s="3" t="str">
        <f t="shared" si="453"/>
        <v>Chetpet</v>
      </c>
      <c r="T340" s="3" t="str">
        <f t="shared" si="454"/>
        <v>West Arni</v>
      </c>
      <c r="U340" s="3" t="str">
        <f t="shared" si="455"/>
        <v>Tiruvannamalai_Chetpet_West Arni</v>
      </c>
      <c r="V340" s="3">
        <f>IF(_xlfn.XLOOKUP($U340,GCA!$H$3:$H$593,GCA!E$3:E$593,"",0,1)="","",_xlfn.XLOOKUP($U340,GCA!$H$3:$H$593,GCA!E$3:E$593,"",0,1))</f>
        <v>2196.2649999999999</v>
      </c>
      <c r="W340" s="3">
        <f>IF(_xlfn.XLOOKUP($U340,GCA!$H$3:$H$593,GCA!F$3:F$593,"",0,1)="","",_xlfn.XLOOKUP($U340,GCA!$H$3:$H$593,GCA!F$3:F$593,"",0,1))</f>
        <v>1862.12</v>
      </c>
      <c r="X340" s="3">
        <f>IF(_xlfn.XLOOKUP($U340,GCA!$H$3:$H$593,GCA!G$3:G$593,"",0,1)="","",_xlfn.XLOOKUP($U340,GCA!$H$3:$H$593,GCA!G$3:G$593,"",0,1))</f>
        <v>2047.1849999999999</v>
      </c>
    </row>
    <row r="341" spans="1:24" ht="13.2">
      <c r="A341" s="49"/>
      <c r="B341" s="49"/>
      <c r="C341" s="48"/>
      <c r="D341" s="49"/>
      <c r="E341" s="50"/>
      <c r="F341" s="26" t="s">
        <v>812</v>
      </c>
      <c r="G341" s="26" t="s">
        <v>813</v>
      </c>
      <c r="H341" s="27">
        <f t="shared" si="464"/>
        <v>12721.3</v>
      </c>
      <c r="I341" s="27">
        <f t="shared" si="465"/>
        <v>12288.105</v>
      </c>
      <c r="J341" s="27">
        <f t="shared" si="466"/>
        <v>12145.18</v>
      </c>
      <c r="K341" s="27">
        <f t="shared" si="467"/>
        <v>12384.861666666666</v>
      </c>
      <c r="L341" s="65"/>
      <c r="M341" s="67">
        <f t="shared" si="468"/>
        <v>0</v>
      </c>
      <c r="N341" s="65" t="str">
        <f t="shared" si="449"/>
        <v/>
      </c>
      <c r="O341" s="65" t="str">
        <f t="shared" ref="O341:P341" si="479">N341</f>
        <v/>
      </c>
      <c r="P341" s="65" t="str">
        <f t="shared" si="479"/>
        <v/>
      </c>
      <c r="Q341" s="38"/>
      <c r="R341" s="3" t="str">
        <f t="shared" si="472"/>
        <v>Tiruvannamalai</v>
      </c>
      <c r="S341" s="3" t="str">
        <f t="shared" si="453"/>
        <v>Cheyyar</v>
      </c>
      <c r="T341" s="3" t="str">
        <f t="shared" si="454"/>
        <v>Anakkavoor</v>
      </c>
      <c r="U341" s="3" t="str">
        <f t="shared" si="455"/>
        <v>Tiruvannamalai_Cheyyar_Anakkavoor</v>
      </c>
      <c r="V341" s="3">
        <f>IF(_xlfn.XLOOKUP($U341,GCA!$H$3:$H$593,GCA!E$3:E$593,"",0,1)="","",_xlfn.XLOOKUP($U341,GCA!$H$3:$H$593,GCA!E$3:E$593,"",0,1))</f>
        <v>12721.3</v>
      </c>
      <c r="W341" s="3">
        <f>IF(_xlfn.XLOOKUP($U341,GCA!$H$3:$H$593,GCA!F$3:F$593,"",0,1)="","",_xlfn.XLOOKUP($U341,GCA!$H$3:$H$593,GCA!F$3:F$593,"",0,1))</f>
        <v>12288.105</v>
      </c>
      <c r="X341" s="3">
        <f>IF(_xlfn.XLOOKUP($U341,GCA!$H$3:$H$593,GCA!G$3:G$593,"",0,1)="","",_xlfn.XLOOKUP($U341,GCA!$H$3:$H$593,GCA!G$3:G$593,"",0,1))</f>
        <v>12145.18</v>
      </c>
    </row>
    <row r="342" spans="1:24" ht="13.2">
      <c r="A342" s="49"/>
      <c r="B342" s="49"/>
      <c r="C342" s="48"/>
      <c r="D342" s="49"/>
      <c r="E342" s="50"/>
      <c r="F342" s="26" t="s">
        <v>812</v>
      </c>
      <c r="G342" s="26" t="s">
        <v>812</v>
      </c>
      <c r="H342" s="27">
        <f t="shared" si="464"/>
        <v>16493.916000000001</v>
      </c>
      <c r="I342" s="27">
        <f t="shared" si="465"/>
        <v>14378.155000000001</v>
      </c>
      <c r="J342" s="27">
        <f t="shared" si="466"/>
        <v>13315.82</v>
      </c>
      <c r="K342" s="27">
        <f t="shared" si="467"/>
        <v>14729.297</v>
      </c>
      <c r="L342" s="65"/>
      <c r="M342" s="67">
        <f t="shared" si="468"/>
        <v>0</v>
      </c>
      <c r="N342" s="65" t="str">
        <f t="shared" si="449"/>
        <v/>
      </c>
      <c r="O342" s="65" t="str">
        <f t="shared" ref="O342:P342" si="480">N342</f>
        <v/>
      </c>
      <c r="P342" s="65" t="str">
        <f t="shared" si="480"/>
        <v/>
      </c>
      <c r="Q342" s="38"/>
      <c r="R342" s="3" t="str">
        <f t="shared" si="472"/>
        <v>Tiruvannamalai</v>
      </c>
      <c r="S342" s="3" t="str">
        <f t="shared" si="453"/>
        <v>Cheyyar</v>
      </c>
      <c r="T342" s="3" t="str">
        <f t="shared" si="454"/>
        <v>Cheyyar</v>
      </c>
      <c r="U342" s="3" t="str">
        <f t="shared" si="455"/>
        <v>Tiruvannamalai_Cheyyar_Cheyyar</v>
      </c>
      <c r="V342" s="3">
        <f>IF(_xlfn.XLOOKUP($U342,GCA!$H$3:$H$593,GCA!E$3:E$593,"",0,1)="","",_xlfn.XLOOKUP($U342,GCA!$H$3:$H$593,GCA!E$3:E$593,"",0,1))</f>
        <v>16493.916000000001</v>
      </c>
      <c r="W342" s="3">
        <f>IF(_xlfn.XLOOKUP($U342,GCA!$H$3:$H$593,GCA!F$3:F$593,"",0,1)="","",_xlfn.XLOOKUP($U342,GCA!$H$3:$H$593,GCA!F$3:F$593,"",0,1))</f>
        <v>14378.155000000001</v>
      </c>
      <c r="X342" s="3">
        <f>IF(_xlfn.XLOOKUP($U342,GCA!$H$3:$H$593,GCA!G$3:G$593,"",0,1)="","",_xlfn.XLOOKUP($U342,GCA!$H$3:$H$593,GCA!G$3:G$593,"",0,1))</f>
        <v>13315.82</v>
      </c>
    </row>
    <row r="343" spans="1:24" ht="13.2">
      <c r="A343" s="49"/>
      <c r="B343" s="49"/>
      <c r="C343" s="48"/>
      <c r="D343" s="49"/>
      <c r="E343" s="50">
        <v>3</v>
      </c>
      <c r="F343" s="26" t="s">
        <v>814</v>
      </c>
      <c r="G343" s="26" t="s">
        <v>808</v>
      </c>
      <c r="H343" s="27">
        <f t="shared" si="464"/>
        <v>12872</v>
      </c>
      <c r="I343" s="27">
        <f t="shared" si="465"/>
        <v>12848</v>
      </c>
      <c r="J343" s="27">
        <f t="shared" si="466"/>
        <v>13715</v>
      </c>
      <c r="K343" s="27">
        <f t="shared" si="467"/>
        <v>13145</v>
      </c>
      <c r="L343" s="65">
        <f>SUM(K343:K347)</f>
        <v>67455.848333333328</v>
      </c>
      <c r="M343" s="67">
        <f t="shared" si="468"/>
        <v>2.8313941727326184</v>
      </c>
      <c r="N343" s="65">
        <f t="shared" si="449"/>
        <v>3</v>
      </c>
      <c r="O343" s="65">
        <f t="shared" ref="O343:P343" si="481">N343</f>
        <v>3</v>
      </c>
      <c r="P343" s="65">
        <f t="shared" si="481"/>
        <v>3</v>
      </c>
      <c r="Q343" s="38"/>
      <c r="R343" s="3" t="str">
        <f t="shared" si="472"/>
        <v>Tiruvannamalai</v>
      </c>
      <c r="S343" s="3" t="str">
        <f t="shared" si="453"/>
        <v>Jamunamarathoor</v>
      </c>
      <c r="T343" s="3" t="str">
        <f t="shared" si="454"/>
        <v>Jawadhuhills</v>
      </c>
      <c r="U343" s="3" t="str">
        <f t="shared" si="455"/>
        <v>Tiruvannamalai_Jamunamarathoor_Jawadhuhills</v>
      </c>
      <c r="V343" s="3">
        <f>IF(_xlfn.XLOOKUP($U343,GCA!$H$3:$H$593,GCA!E$3:E$593,"",0,1)="","",_xlfn.XLOOKUP($U343,GCA!$H$3:$H$593,GCA!E$3:E$593,"",0,1))</f>
        <v>12872</v>
      </c>
      <c r="W343" s="3">
        <f>IF(_xlfn.XLOOKUP($U343,GCA!$H$3:$H$593,GCA!F$3:F$593,"",0,1)="","",_xlfn.XLOOKUP($U343,GCA!$H$3:$H$593,GCA!F$3:F$593,"",0,1))</f>
        <v>12848</v>
      </c>
      <c r="X343" s="3">
        <f>IF(_xlfn.XLOOKUP($U343,GCA!$H$3:$H$593,GCA!G$3:G$593,"",0,1)="","",_xlfn.XLOOKUP($U343,GCA!$H$3:$H$593,GCA!G$3:G$593,"",0,1))</f>
        <v>13715</v>
      </c>
    </row>
    <row r="344" spans="1:24" ht="13.2">
      <c r="A344" s="49"/>
      <c r="B344" s="49"/>
      <c r="C344" s="48"/>
      <c r="D344" s="49"/>
      <c r="E344" s="50"/>
      <c r="F344" s="26" t="s">
        <v>815</v>
      </c>
      <c r="G344" s="26" t="s">
        <v>815</v>
      </c>
      <c r="H344" s="27">
        <f t="shared" si="464"/>
        <v>23659</v>
      </c>
      <c r="I344" s="27">
        <f t="shared" si="465"/>
        <v>22261</v>
      </c>
      <c r="J344" s="27">
        <f t="shared" si="466"/>
        <v>20059</v>
      </c>
      <c r="K344" s="27">
        <f t="shared" si="467"/>
        <v>21993</v>
      </c>
      <c r="L344" s="65"/>
      <c r="M344" s="67">
        <f t="shared" si="468"/>
        <v>0</v>
      </c>
      <c r="N344" s="65" t="str">
        <f t="shared" si="449"/>
        <v/>
      </c>
      <c r="O344" s="65" t="str">
        <f t="shared" ref="O344:P344" si="482">N344</f>
        <v/>
      </c>
      <c r="P344" s="65" t="str">
        <f t="shared" si="482"/>
        <v/>
      </c>
      <c r="Q344" s="38"/>
      <c r="R344" s="3" t="str">
        <f t="shared" si="472"/>
        <v>Tiruvannamalai</v>
      </c>
      <c r="S344" s="3" t="str">
        <f t="shared" si="453"/>
        <v>Kalasapakkam</v>
      </c>
      <c r="T344" s="3" t="str">
        <f t="shared" si="454"/>
        <v>Kalasapakkam</v>
      </c>
      <c r="U344" s="3" t="str">
        <f t="shared" si="455"/>
        <v>Tiruvannamalai_Kalasapakkam_Kalasapakkam</v>
      </c>
      <c r="V344" s="3">
        <f>IF(_xlfn.XLOOKUP($U344,GCA!$H$3:$H$593,GCA!E$3:E$593,"",0,1)="","",_xlfn.XLOOKUP($U344,GCA!$H$3:$H$593,GCA!E$3:E$593,"",0,1))</f>
        <v>23659</v>
      </c>
      <c r="W344" s="3">
        <f>IF(_xlfn.XLOOKUP($U344,GCA!$H$3:$H$593,GCA!F$3:F$593,"",0,1)="","",_xlfn.XLOOKUP($U344,GCA!$H$3:$H$593,GCA!F$3:F$593,"",0,1))</f>
        <v>22261</v>
      </c>
      <c r="X344" s="3">
        <f>IF(_xlfn.XLOOKUP($U344,GCA!$H$3:$H$593,GCA!G$3:G$593,"",0,1)="","",_xlfn.XLOOKUP($U344,GCA!$H$3:$H$593,GCA!G$3:G$593,"",0,1))</f>
        <v>20059</v>
      </c>
    </row>
    <row r="345" spans="1:24" ht="13.2">
      <c r="A345" s="49"/>
      <c r="B345" s="49"/>
      <c r="C345" s="48"/>
      <c r="D345" s="49"/>
      <c r="E345" s="50"/>
      <c r="F345" s="26" t="s">
        <v>816</v>
      </c>
      <c r="G345" s="26" t="s">
        <v>816</v>
      </c>
      <c r="H345" s="27">
        <f t="shared" si="464"/>
        <v>23239.21</v>
      </c>
      <c r="I345" s="27">
        <f t="shared" si="465"/>
        <v>22740.974999999999</v>
      </c>
      <c r="J345" s="27">
        <f t="shared" si="466"/>
        <v>23465.244999999999</v>
      </c>
      <c r="K345" s="27">
        <f t="shared" si="467"/>
        <v>23148.476666666666</v>
      </c>
      <c r="L345" s="65"/>
      <c r="M345" s="67">
        <f t="shared" si="468"/>
        <v>0</v>
      </c>
      <c r="N345" s="65" t="str">
        <f t="shared" si="449"/>
        <v/>
      </c>
      <c r="O345" s="65" t="str">
        <f t="shared" ref="O345:P345" si="483">N345</f>
        <v/>
      </c>
      <c r="P345" s="65" t="str">
        <f t="shared" si="483"/>
        <v/>
      </c>
      <c r="Q345" s="38"/>
      <c r="R345" s="3" t="str">
        <f t="shared" si="472"/>
        <v>Tiruvannamalai</v>
      </c>
      <c r="S345" s="3" t="str">
        <f t="shared" si="453"/>
        <v>Kilpenathur</v>
      </c>
      <c r="T345" s="3" t="str">
        <f t="shared" si="454"/>
        <v>Kilpenathur</v>
      </c>
      <c r="U345" s="3" t="str">
        <f t="shared" si="455"/>
        <v>Tiruvannamalai_Kilpenathur_Kilpenathur</v>
      </c>
      <c r="V345" s="3">
        <f>IF(_xlfn.XLOOKUP($U345,GCA!$H$3:$H$593,GCA!E$3:E$593,"",0,1)="","",_xlfn.XLOOKUP($U345,GCA!$H$3:$H$593,GCA!E$3:E$593,"",0,1))</f>
        <v>23239.21</v>
      </c>
      <c r="W345" s="3">
        <f>IF(_xlfn.XLOOKUP($U345,GCA!$H$3:$H$593,GCA!F$3:F$593,"",0,1)="","",_xlfn.XLOOKUP($U345,GCA!$H$3:$H$593,GCA!F$3:F$593,"",0,1))</f>
        <v>22740.974999999999</v>
      </c>
      <c r="X345" s="3">
        <f>IF(_xlfn.XLOOKUP($U345,GCA!$H$3:$H$593,GCA!G$3:G$593,"",0,1)="","",_xlfn.XLOOKUP($U345,GCA!$H$3:$H$593,GCA!G$3:G$593,"",0,1))</f>
        <v>23465.244999999999</v>
      </c>
    </row>
    <row r="346" spans="1:24" ht="13.2">
      <c r="A346" s="49"/>
      <c r="B346" s="49"/>
      <c r="C346" s="48"/>
      <c r="D346" s="49"/>
      <c r="E346" s="50"/>
      <c r="F346" s="26" t="s">
        <v>816</v>
      </c>
      <c r="G346" s="26" t="s">
        <v>817</v>
      </c>
      <c r="H346" s="27">
        <f t="shared" si="464"/>
        <v>5236.74</v>
      </c>
      <c r="I346" s="27">
        <f t="shared" si="465"/>
        <v>5126.6750000000002</v>
      </c>
      <c r="J346" s="27">
        <f t="shared" si="466"/>
        <v>5257.08</v>
      </c>
      <c r="K346" s="27">
        <f t="shared" si="467"/>
        <v>5206.8316666666669</v>
      </c>
      <c r="L346" s="65"/>
      <c r="M346" s="67">
        <f t="shared" si="468"/>
        <v>0</v>
      </c>
      <c r="N346" s="65" t="str">
        <f t="shared" si="449"/>
        <v/>
      </c>
      <c r="O346" s="65" t="str">
        <f t="shared" ref="O346:P346" si="484">N346</f>
        <v/>
      </c>
      <c r="P346" s="65" t="str">
        <f t="shared" si="484"/>
        <v/>
      </c>
      <c r="Q346" s="38"/>
      <c r="R346" s="3" t="str">
        <f t="shared" si="472"/>
        <v>Tiruvannamalai</v>
      </c>
      <c r="S346" s="3" t="str">
        <f t="shared" si="453"/>
        <v>Kilpenathur</v>
      </c>
      <c r="T346" s="3" t="str">
        <f t="shared" si="454"/>
        <v>Thurinjapuram</v>
      </c>
      <c r="U346" s="3" t="str">
        <f t="shared" si="455"/>
        <v>Tiruvannamalai_Kilpenathur_Thurinjapuram</v>
      </c>
      <c r="V346" s="3">
        <f>IF(_xlfn.XLOOKUP($U346,GCA!$H$3:$H$593,GCA!E$3:E$593,"",0,1)="","",_xlfn.XLOOKUP($U346,GCA!$H$3:$H$593,GCA!E$3:E$593,"",0,1))</f>
        <v>5236.74</v>
      </c>
      <c r="W346" s="3">
        <f>IF(_xlfn.XLOOKUP($U346,GCA!$H$3:$H$593,GCA!F$3:F$593,"",0,1)="","",_xlfn.XLOOKUP($U346,GCA!$H$3:$H$593,GCA!F$3:F$593,"",0,1))</f>
        <v>5126.6750000000002</v>
      </c>
      <c r="X346" s="3">
        <f>IF(_xlfn.XLOOKUP($U346,GCA!$H$3:$H$593,GCA!G$3:G$593,"",0,1)="","",_xlfn.XLOOKUP($U346,GCA!$H$3:$H$593,GCA!G$3:G$593,"",0,1))</f>
        <v>5257.08</v>
      </c>
    </row>
    <row r="347" spans="1:24" ht="13.2">
      <c r="A347" s="49"/>
      <c r="B347" s="49"/>
      <c r="C347" s="48"/>
      <c r="D347" s="49"/>
      <c r="E347" s="50"/>
      <c r="F347" s="26" t="s">
        <v>816</v>
      </c>
      <c r="G347" s="26" t="s">
        <v>274</v>
      </c>
      <c r="H347" s="27">
        <f t="shared" si="464"/>
        <v>4582.05</v>
      </c>
      <c r="I347" s="27">
        <f t="shared" si="465"/>
        <v>4372.8149999999996</v>
      </c>
      <c r="J347" s="27">
        <f t="shared" si="466"/>
        <v>2932.7550000000001</v>
      </c>
      <c r="K347" s="27">
        <f t="shared" si="467"/>
        <v>3962.5399999999995</v>
      </c>
      <c r="L347" s="65"/>
      <c r="M347" s="67">
        <f t="shared" si="468"/>
        <v>0</v>
      </c>
      <c r="N347" s="65" t="str">
        <f t="shared" si="449"/>
        <v/>
      </c>
      <c r="O347" s="65" t="str">
        <f t="shared" ref="O347:P347" si="485">N347</f>
        <v/>
      </c>
      <c r="P347" s="65" t="str">
        <f t="shared" si="485"/>
        <v/>
      </c>
      <c r="Q347" s="38"/>
      <c r="R347" s="3" t="str">
        <f t="shared" si="472"/>
        <v>Tiruvannamalai</v>
      </c>
      <c r="S347" s="3" t="str">
        <f t="shared" si="453"/>
        <v>Kilpenathur</v>
      </c>
      <c r="T347" s="3" t="str">
        <f t="shared" si="454"/>
        <v>Tiruvannamalai</v>
      </c>
      <c r="U347" s="3" t="str">
        <f t="shared" si="455"/>
        <v>Tiruvannamalai_Kilpenathur_Tiruvannamalai</v>
      </c>
      <c r="V347" s="3">
        <f>IF(_xlfn.XLOOKUP($U347,GCA!$H$3:$H$593,GCA!E$3:E$593,"",0,1)="","",_xlfn.XLOOKUP($U347,GCA!$H$3:$H$593,GCA!E$3:E$593,"",0,1))</f>
        <v>4582.05</v>
      </c>
      <c r="W347" s="3">
        <f>IF(_xlfn.XLOOKUP($U347,GCA!$H$3:$H$593,GCA!F$3:F$593,"",0,1)="","",_xlfn.XLOOKUP($U347,GCA!$H$3:$H$593,GCA!F$3:F$593,"",0,1))</f>
        <v>4372.8149999999996</v>
      </c>
      <c r="X347" s="3">
        <f>IF(_xlfn.XLOOKUP($U347,GCA!$H$3:$H$593,GCA!G$3:G$593,"",0,1)="","",_xlfn.XLOOKUP($U347,GCA!$H$3:$H$593,GCA!G$3:G$593,"",0,1))</f>
        <v>2932.7550000000001</v>
      </c>
    </row>
    <row r="348" spans="1:24" ht="13.2">
      <c r="A348" s="49"/>
      <c r="B348" s="49"/>
      <c r="C348" s="48"/>
      <c r="D348" s="49"/>
      <c r="E348" s="50">
        <v>4</v>
      </c>
      <c r="F348" s="26" t="s">
        <v>818</v>
      </c>
      <c r="G348" s="26" t="s">
        <v>810</v>
      </c>
      <c r="H348" s="27">
        <f t="shared" si="464"/>
        <v>9699.3050000000003</v>
      </c>
      <c r="I348" s="27">
        <f t="shared" si="465"/>
        <v>11094.5</v>
      </c>
      <c r="J348" s="27">
        <f t="shared" si="466"/>
        <v>11270.57</v>
      </c>
      <c r="K348" s="27">
        <f t="shared" si="467"/>
        <v>10688.125</v>
      </c>
      <c r="L348" s="65">
        <f>SUM(K348:K351)</f>
        <v>72318.21166666667</v>
      </c>
      <c r="M348" s="67">
        <f t="shared" si="468"/>
        <v>3.0354871839075397</v>
      </c>
      <c r="N348" s="65">
        <f t="shared" si="449"/>
        <v>3</v>
      </c>
      <c r="O348" s="65">
        <f t="shared" ref="O348:P348" si="486">N348</f>
        <v>3</v>
      </c>
      <c r="P348" s="65">
        <f t="shared" si="486"/>
        <v>3</v>
      </c>
      <c r="Q348" s="38"/>
      <c r="R348" s="3" t="str">
        <f t="shared" si="472"/>
        <v>Tiruvannamalai</v>
      </c>
      <c r="S348" s="3" t="str">
        <f t="shared" si="453"/>
        <v>Polur</v>
      </c>
      <c r="T348" s="3" t="str">
        <f t="shared" si="454"/>
        <v>Chetpet</v>
      </c>
      <c r="U348" s="3" t="str">
        <f t="shared" si="455"/>
        <v>Tiruvannamalai_Polur_Chetpet</v>
      </c>
      <c r="V348" s="3">
        <f>IF(_xlfn.XLOOKUP($U348,GCA!$H$3:$H$593,GCA!E$3:E$593,"",0,1)="","",_xlfn.XLOOKUP($U348,GCA!$H$3:$H$593,GCA!E$3:E$593,"",0,1))</f>
        <v>9699.3050000000003</v>
      </c>
      <c r="W348" s="3">
        <f>IF(_xlfn.XLOOKUP($U348,GCA!$H$3:$H$593,GCA!F$3:F$593,"",0,1)="","",_xlfn.XLOOKUP($U348,GCA!$H$3:$H$593,GCA!F$3:F$593,"",0,1))</f>
        <v>11094.5</v>
      </c>
      <c r="X348" s="3">
        <f>IF(_xlfn.XLOOKUP($U348,GCA!$H$3:$H$593,GCA!G$3:G$593,"",0,1)="","",_xlfn.XLOOKUP($U348,GCA!$H$3:$H$593,GCA!G$3:G$593,"",0,1))</f>
        <v>11270.57</v>
      </c>
    </row>
    <row r="349" spans="1:24" ht="13.2">
      <c r="A349" s="49"/>
      <c r="B349" s="49"/>
      <c r="C349" s="48"/>
      <c r="D349" s="49"/>
      <c r="E349" s="50"/>
      <c r="F349" s="26" t="s">
        <v>818</v>
      </c>
      <c r="G349" s="26" t="s">
        <v>818</v>
      </c>
      <c r="H349" s="27">
        <f t="shared" si="464"/>
        <v>25963.474999999999</v>
      </c>
      <c r="I349" s="27">
        <f t="shared" si="465"/>
        <v>25686.5</v>
      </c>
      <c r="J349" s="27">
        <f t="shared" si="466"/>
        <v>24547.794999999998</v>
      </c>
      <c r="K349" s="27">
        <f t="shared" si="467"/>
        <v>25399.256666666664</v>
      </c>
      <c r="L349" s="65"/>
      <c r="M349" s="67">
        <f t="shared" si="468"/>
        <v>0</v>
      </c>
      <c r="N349" s="65" t="str">
        <f t="shared" si="449"/>
        <v/>
      </c>
      <c r="O349" s="65" t="str">
        <f t="shared" ref="O349:P349" si="487">N349</f>
        <v/>
      </c>
      <c r="P349" s="65" t="str">
        <f t="shared" si="487"/>
        <v/>
      </c>
      <c r="Q349" s="38"/>
      <c r="R349" s="3" t="str">
        <f t="shared" si="472"/>
        <v>Tiruvannamalai</v>
      </c>
      <c r="S349" s="3" t="str">
        <f t="shared" si="453"/>
        <v>Polur</v>
      </c>
      <c r="T349" s="3" t="str">
        <f t="shared" si="454"/>
        <v>Polur</v>
      </c>
      <c r="U349" s="3" t="str">
        <f t="shared" si="455"/>
        <v>Tiruvannamalai_Polur_Polur</v>
      </c>
      <c r="V349" s="3">
        <f>IF(_xlfn.XLOOKUP($U349,GCA!$H$3:$H$593,GCA!E$3:E$593,"",0,1)="","",_xlfn.XLOOKUP($U349,GCA!$H$3:$H$593,GCA!E$3:E$593,"",0,1))</f>
        <v>25963.474999999999</v>
      </c>
      <c r="W349" s="3">
        <f>IF(_xlfn.XLOOKUP($U349,GCA!$H$3:$H$593,GCA!F$3:F$593,"",0,1)="","",_xlfn.XLOOKUP($U349,GCA!$H$3:$H$593,GCA!F$3:F$593,"",0,1))</f>
        <v>25686.5</v>
      </c>
      <c r="X349" s="3">
        <f>IF(_xlfn.XLOOKUP($U349,GCA!$H$3:$H$593,GCA!G$3:G$593,"",0,1)="","",_xlfn.XLOOKUP($U349,GCA!$H$3:$H$593,GCA!G$3:G$593,"",0,1))</f>
        <v>24547.794999999998</v>
      </c>
    </row>
    <row r="350" spans="1:24" ht="13.2">
      <c r="A350" s="49"/>
      <c r="B350" s="49"/>
      <c r="C350" s="48"/>
      <c r="D350" s="49"/>
      <c r="E350" s="50"/>
      <c r="F350" s="26" t="s">
        <v>819</v>
      </c>
      <c r="G350" s="26" t="s">
        <v>807</v>
      </c>
      <c r="H350" s="27">
        <f t="shared" si="464"/>
        <v>119.6</v>
      </c>
      <c r="I350" s="27">
        <f t="shared" si="465"/>
        <v>152.80000000000001</v>
      </c>
      <c r="J350" s="27">
        <f t="shared" si="466"/>
        <v>136.5</v>
      </c>
      <c r="K350" s="27">
        <f t="shared" si="467"/>
        <v>136.29999999999998</v>
      </c>
      <c r="L350" s="65"/>
      <c r="M350" s="67">
        <f t="shared" si="468"/>
        <v>0</v>
      </c>
      <c r="N350" s="65" t="str">
        <f t="shared" si="449"/>
        <v/>
      </c>
      <c r="O350" s="65" t="str">
        <f t="shared" ref="O350:P350" si="488">N350</f>
        <v/>
      </c>
      <c r="P350" s="65" t="str">
        <f t="shared" si="488"/>
        <v/>
      </c>
      <c r="Q350" s="38"/>
      <c r="R350" s="3" t="str">
        <f t="shared" si="472"/>
        <v>Tiruvannamalai</v>
      </c>
      <c r="S350" s="3" t="str">
        <f t="shared" si="453"/>
        <v>Thandarampattu</v>
      </c>
      <c r="T350" s="3" t="str">
        <f t="shared" si="454"/>
        <v>Chengam</v>
      </c>
      <c r="U350" s="3" t="str">
        <f t="shared" si="455"/>
        <v>Tiruvannamalai_Thandarampattu_Chengam</v>
      </c>
      <c r="V350" s="3">
        <f>IF(_xlfn.XLOOKUP($U350,GCA!$H$3:$H$593,GCA!E$3:E$593,"",0,1)="","",_xlfn.XLOOKUP($U350,GCA!$H$3:$H$593,GCA!E$3:E$593,"",0,1))</f>
        <v>119.6</v>
      </c>
      <c r="W350" s="3">
        <f>IF(_xlfn.XLOOKUP($U350,GCA!$H$3:$H$593,GCA!F$3:F$593,"",0,1)="","",_xlfn.XLOOKUP($U350,GCA!$H$3:$H$593,GCA!F$3:F$593,"",0,1))</f>
        <v>152.80000000000001</v>
      </c>
      <c r="X350" s="3">
        <f>IF(_xlfn.XLOOKUP($U350,GCA!$H$3:$H$593,GCA!G$3:G$593,"",0,1)="","",_xlfn.XLOOKUP($U350,GCA!$H$3:$H$593,GCA!G$3:G$593,"",0,1))</f>
        <v>136.5</v>
      </c>
    </row>
    <row r="351" spans="1:24" ht="13.2">
      <c r="A351" s="49"/>
      <c r="B351" s="49"/>
      <c r="C351" s="48"/>
      <c r="D351" s="49"/>
      <c r="E351" s="50"/>
      <c r="F351" s="26" t="s">
        <v>819</v>
      </c>
      <c r="G351" s="26" t="s">
        <v>820</v>
      </c>
      <c r="H351" s="27">
        <f t="shared" si="464"/>
        <v>35150</v>
      </c>
      <c r="I351" s="27">
        <f t="shared" si="465"/>
        <v>37618.644999999997</v>
      </c>
      <c r="J351" s="27">
        <f t="shared" si="466"/>
        <v>35514.945</v>
      </c>
      <c r="K351" s="27">
        <f t="shared" si="467"/>
        <v>36094.53</v>
      </c>
      <c r="L351" s="65"/>
      <c r="M351" s="67">
        <f t="shared" si="468"/>
        <v>0</v>
      </c>
      <c r="N351" s="65" t="str">
        <f t="shared" si="449"/>
        <v/>
      </c>
      <c r="O351" s="65" t="str">
        <f t="shared" ref="O351:P351" si="489">N351</f>
        <v/>
      </c>
      <c r="P351" s="65" t="str">
        <f t="shared" si="489"/>
        <v/>
      </c>
      <c r="Q351" s="38"/>
      <c r="R351" s="3" t="str">
        <f t="shared" si="472"/>
        <v>Tiruvannamalai</v>
      </c>
      <c r="S351" s="3" t="str">
        <f t="shared" si="453"/>
        <v>Thandarampattu</v>
      </c>
      <c r="T351" s="3" t="str">
        <f t="shared" si="454"/>
        <v>Thandarampat</v>
      </c>
      <c r="U351" s="3" t="str">
        <f t="shared" si="455"/>
        <v>Tiruvannamalai_Thandarampattu_Thandarampat</v>
      </c>
      <c r="V351" s="3">
        <f>IF(_xlfn.XLOOKUP($U351,GCA!$H$3:$H$593,GCA!E$3:E$593,"",0,1)="","",_xlfn.XLOOKUP($U351,GCA!$H$3:$H$593,GCA!E$3:E$593,"",0,1))</f>
        <v>35150</v>
      </c>
      <c r="W351" s="3">
        <f>IF(_xlfn.XLOOKUP($U351,GCA!$H$3:$H$593,GCA!F$3:F$593,"",0,1)="","",_xlfn.XLOOKUP($U351,GCA!$H$3:$H$593,GCA!F$3:F$593,"",0,1))</f>
        <v>37618.644999999997</v>
      </c>
      <c r="X351" s="3">
        <f>IF(_xlfn.XLOOKUP($U351,GCA!$H$3:$H$593,GCA!G$3:G$593,"",0,1)="","",_xlfn.XLOOKUP($U351,GCA!$H$3:$H$593,GCA!G$3:G$593,"",0,1))</f>
        <v>35514.945</v>
      </c>
    </row>
    <row r="352" spans="1:24" ht="13.2">
      <c r="A352" s="49"/>
      <c r="B352" s="49"/>
      <c r="C352" s="48"/>
      <c r="D352" s="49"/>
      <c r="E352" s="50">
        <v>5</v>
      </c>
      <c r="F352" s="26" t="s">
        <v>274</v>
      </c>
      <c r="G352" s="26" t="s">
        <v>817</v>
      </c>
      <c r="H352" s="27">
        <f t="shared" si="464"/>
        <v>20311.7</v>
      </c>
      <c r="I352" s="27">
        <f t="shared" si="465"/>
        <v>24806.028999999999</v>
      </c>
      <c r="J352" s="27">
        <f t="shared" si="466"/>
        <v>22086.601999999999</v>
      </c>
      <c r="K352" s="27">
        <f t="shared" si="467"/>
        <v>22401.44366666667</v>
      </c>
      <c r="L352" s="65">
        <f>SUM(K352:K353)</f>
        <v>41849.723333333342</v>
      </c>
      <c r="M352" s="67">
        <f t="shared" si="468"/>
        <v>1.7566017729246899</v>
      </c>
      <c r="N352" s="65">
        <f t="shared" si="449"/>
        <v>2</v>
      </c>
      <c r="O352" s="65">
        <f t="shared" ref="O352:P352" si="490">N352</f>
        <v>2</v>
      </c>
      <c r="P352" s="65">
        <f t="shared" si="490"/>
        <v>2</v>
      </c>
      <c r="Q352" s="38"/>
      <c r="R352" s="3" t="str">
        <f t="shared" si="472"/>
        <v>Tiruvannamalai</v>
      </c>
      <c r="S352" s="3" t="str">
        <f t="shared" si="453"/>
        <v>Tiruvannamalai</v>
      </c>
      <c r="T352" s="3" t="str">
        <f t="shared" si="454"/>
        <v>Thurinjapuram</v>
      </c>
      <c r="U352" s="3" t="str">
        <f t="shared" si="455"/>
        <v>Tiruvannamalai_Tiruvannamalai_Thurinjapuram</v>
      </c>
      <c r="V352" s="3">
        <f>IF(_xlfn.XLOOKUP($U352,GCA!$H$3:$H$593,GCA!E$3:E$593,"",0,1)="","",_xlfn.XLOOKUP($U352,GCA!$H$3:$H$593,GCA!E$3:E$593,"",0,1))</f>
        <v>20311.7</v>
      </c>
      <c r="W352" s="3">
        <f>IF(_xlfn.XLOOKUP($U352,GCA!$H$3:$H$593,GCA!F$3:F$593,"",0,1)="","",_xlfn.XLOOKUP($U352,GCA!$H$3:$H$593,GCA!F$3:F$593,"",0,1))</f>
        <v>24806.028999999999</v>
      </c>
      <c r="X352" s="3">
        <f>IF(_xlfn.XLOOKUP($U352,GCA!$H$3:$H$593,GCA!G$3:G$593,"",0,1)="","",_xlfn.XLOOKUP($U352,GCA!$H$3:$H$593,GCA!G$3:G$593,"",0,1))</f>
        <v>22086.601999999999</v>
      </c>
    </row>
    <row r="353" spans="1:24" ht="13.2">
      <c r="A353" s="49"/>
      <c r="B353" s="49"/>
      <c r="C353" s="48"/>
      <c r="D353" s="49"/>
      <c r="E353" s="50"/>
      <c r="F353" s="26" t="s">
        <v>274</v>
      </c>
      <c r="G353" s="26" t="s">
        <v>274</v>
      </c>
      <c r="H353" s="27">
        <f t="shared" si="464"/>
        <v>19196.47</v>
      </c>
      <c r="I353" s="27">
        <f t="shared" si="465"/>
        <v>20126.971000000001</v>
      </c>
      <c r="J353" s="27">
        <f t="shared" si="466"/>
        <v>19021.398000000001</v>
      </c>
      <c r="K353" s="27">
        <f t="shared" si="467"/>
        <v>19448.279666666669</v>
      </c>
      <c r="L353" s="65"/>
      <c r="M353" s="67">
        <f t="shared" si="468"/>
        <v>0</v>
      </c>
      <c r="N353" s="65" t="str">
        <f t="shared" si="449"/>
        <v/>
      </c>
      <c r="O353" s="65" t="str">
        <f t="shared" ref="O353:P353" si="491">N353</f>
        <v/>
      </c>
      <c r="P353" s="65" t="str">
        <f t="shared" si="491"/>
        <v/>
      </c>
      <c r="Q353" s="38"/>
      <c r="R353" s="3" t="str">
        <f t="shared" si="472"/>
        <v>Tiruvannamalai</v>
      </c>
      <c r="S353" s="3" t="str">
        <f t="shared" si="453"/>
        <v>Tiruvannamalai</v>
      </c>
      <c r="T353" s="3" t="str">
        <f t="shared" si="454"/>
        <v>Tiruvannamalai</v>
      </c>
      <c r="U353" s="3" t="str">
        <f t="shared" si="455"/>
        <v>Tiruvannamalai_Tiruvannamalai_Tiruvannamalai</v>
      </c>
      <c r="V353" s="3">
        <f>IF(_xlfn.XLOOKUP($U353,GCA!$H$3:$H$593,GCA!E$3:E$593,"",0,1)="","",_xlfn.XLOOKUP($U353,GCA!$H$3:$H$593,GCA!E$3:E$593,"",0,1))</f>
        <v>19196.47</v>
      </c>
      <c r="W353" s="3">
        <f>IF(_xlfn.XLOOKUP($U353,GCA!$H$3:$H$593,GCA!F$3:F$593,"",0,1)="","",_xlfn.XLOOKUP($U353,GCA!$H$3:$H$593,GCA!F$3:F$593,"",0,1))</f>
        <v>20126.971000000001</v>
      </c>
      <c r="X353" s="3">
        <f>IF(_xlfn.XLOOKUP($U353,GCA!$H$3:$H$593,GCA!G$3:G$593,"",0,1)="","",_xlfn.XLOOKUP($U353,GCA!$H$3:$H$593,GCA!G$3:G$593,"",0,1))</f>
        <v>19021.398000000001</v>
      </c>
    </row>
    <row r="354" spans="1:24" ht="13.2">
      <c r="A354" s="49"/>
      <c r="B354" s="49"/>
      <c r="C354" s="48"/>
      <c r="D354" s="49"/>
      <c r="E354" s="50">
        <v>6</v>
      </c>
      <c r="F354" s="26" t="s">
        <v>821</v>
      </c>
      <c r="G354" s="26" t="s">
        <v>811</v>
      </c>
      <c r="H354" s="27">
        <f t="shared" si="464"/>
        <v>4315.3</v>
      </c>
      <c r="I354" s="27">
        <f t="shared" si="465"/>
        <v>4369.3050000000003</v>
      </c>
      <c r="J354" s="27">
        <f t="shared" si="466"/>
        <v>5118.0349999999999</v>
      </c>
      <c r="K354" s="27">
        <f t="shared" si="467"/>
        <v>4600.88</v>
      </c>
      <c r="L354" s="65">
        <f>SUM(K354:K357)</f>
        <v>47173.286666666667</v>
      </c>
      <c r="M354" s="67">
        <f t="shared" si="468"/>
        <v>1.9800532092729395</v>
      </c>
      <c r="N354" s="65">
        <f t="shared" si="449"/>
        <v>2</v>
      </c>
      <c r="O354" s="65">
        <f t="shared" ref="O354:P354" si="492">N354</f>
        <v>2</v>
      </c>
      <c r="P354" s="65">
        <f t="shared" si="492"/>
        <v>2</v>
      </c>
      <c r="Q354" s="38"/>
      <c r="R354" s="3" t="str">
        <f t="shared" si="472"/>
        <v>Tiruvannamalai</v>
      </c>
      <c r="S354" s="3" t="str">
        <f t="shared" si="453"/>
        <v>Vandavasi</v>
      </c>
      <c r="T354" s="3" t="str">
        <f t="shared" si="454"/>
        <v>Peranamallur</v>
      </c>
      <c r="U354" s="3" t="str">
        <f t="shared" si="455"/>
        <v>Tiruvannamalai_Vandavasi_Peranamallur</v>
      </c>
      <c r="V354" s="3">
        <f>IF(_xlfn.XLOOKUP($U354,GCA!$H$3:$H$593,GCA!E$3:E$593,"",0,1)="","",_xlfn.XLOOKUP($U354,GCA!$H$3:$H$593,GCA!E$3:E$593,"",0,1))</f>
        <v>4315.3</v>
      </c>
      <c r="W354" s="3">
        <f>IF(_xlfn.XLOOKUP($U354,GCA!$H$3:$H$593,GCA!F$3:F$593,"",0,1)="","",_xlfn.XLOOKUP($U354,GCA!$H$3:$H$593,GCA!F$3:F$593,"",0,1))</f>
        <v>4369.3050000000003</v>
      </c>
      <c r="X354" s="3">
        <f>IF(_xlfn.XLOOKUP($U354,GCA!$H$3:$H$593,GCA!G$3:G$593,"",0,1)="","",_xlfn.XLOOKUP($U354,GCA!$H$3:$H$593,GCA!G$3:G$593,"",0,1))</f>
        <v>5118.0349999999999</v>
      </c>
    </row>
    <row r="355" spans="1:24" ht="13.2">
      <c r="A355" s="49"/>
      <c r="B355" s="49"/>
      <c r="C355" s="48"/>
      <c r="D355" s="49"/>
      <c r="E355" s="50"/>
      <c r="F355" s="26" t="s">
        <v>821</v>
      </c>
      <c r="G355" s="26" t="s">
        <v>822</v>
      </c>
      <c r="H355" s="27">
        <f t="shared" si="464"/>
        <v>11002.21</v>
      </c>
      <c r="I355" s="27">
        <f t="shared" si="465"/>
        <v>11541.764999999999</v>
      </c>
      <c r="J355" s="27">
        <f t="shared" si="466"/>
        <v>13080.014999999999</v>
      </c>
      <c r="K355" s="27">
        <f t="shared" si="467"/>
        <v>11874.663333333332</v>
      </c>
      <c r="L355" s="65"/>
      <c r="M355" s="67">
        <f t="shared" si="468"/>
        <v>0</v>
      </c>
      <c r="N355" s="65" t="str">
        <f t="shared" si="449"/>
        <v/>
      </c>
      <c r="O355" s="65" t="str">
        <f t="shared" ref="O355:P355" si="493">N355</f>
        <v/>
      </c>
      <c r="P355" s="65" t="str">
        <f t="shared" si="493"/>
        <v/>
      </c>
      <c r="Q355" s="38"/>
      <c r="R355" s="3" t="str">
        <f t="shared" si="472"/>
        <v>Tiruvannamalai</v>
      </c>
      <c r="S355" s="3" t="str">
        <f t="shared" si="453"/>
        <v>Vandavasi</v>
      </c>
      <c r="T355" s="3" t="str">
        <f t="shared" si="454"/>
        <v>Thellar</v>
      </c>
      <c r="U355" s="3" t="str">
        <f t="shared" si="455"/>
        <v>Tiruvannamalai_Vandavasi_Thellar</v>
      </c>
      <c r="V355" s="3">
        <f>IF(_xlfn.XLOOKUP($U355,GCA!$H$3:$H$593,GCA!E$3:E$593,"",0,1)="","",_xlfn.XLOOKUP($U355,GCA!$H$3:$H$593,GCA!E$3:E$593,"",0,1))</f>
        <v>11002.21</v>
      </c>
      <c r="W355" s="3">
        <f>IF(_xlfn.XLOOKUP($U355,GCA!$H$3:$H$593,GCA!F$3:F$593,"",0,1)="","",_xlfn.XLOOKUP($U355,GCA!$H$3:$H$593,GCA!F$3:F$593,"",0,1))</f>
        <v>11541.764999999999</v>
      </c>
      <c r="X355" s="3">
        <f>IF(_xlfn.XLOOKUP($U355,GCA!$H$3:$H$593,GCA!G$3:G$593,"",0,1)="","",_xlfn.XLOOKUP($U355,GCA!$H$3:$H$593,GCA!G$3:G$593,"",0,1))</f>
        <v>13080.014999999999</v>
      </c>
    </row>
    <row r="356" spans="1:24" ht="13.2">
      <c r="A356" s="49"/>
      <c r="B356" s="49"/>
      <c r="C356" s="48"/>
      <c r="D356" s="49"/>
      <c r="E356" s="50"/>
      <c r="F356" s="26" t="s">
        <v>821</v>
      </c>
      <c r="G356" s="26" t="s">
        <v>821</v>
      </c>
      <c r="H356" s="27">
        <f t="shared" si="464"/>
        <v>12564.49</v>
      </c>
      <c r="I356" s="27">
        <f t="shared" si="465"/>
        <v>12050.48</v>
      </c>
      <c r="J356" s="27">
        <f t="shared" si="466"/>
        <v>12381.95</v>
      </c>
      <c r="K356" s="27">
        <f t="shared" si="467"/>
        <v>12332.306666666665</v>
      </c>
      <c r="L356" s="65"/>
      <c r="M356" s="67">
        <f t="shared" si="468"/>
        <v>0</v>
      </c>
      <c r="N356" s="65" t="str">
        <f t="shared" si="449"/>
        <v/>
      </c>
      <c r="O356" s="65" t="str">
        <f t="shared" ref="O356:P356" si="494">N356</f>
        <v/>
      </c>
      <c r="P356" s="65" t="str">
        <f t="shared" si="494"/>
        <v/>
      </c>
      <c r="Q356" s="38"/>
      <c r="R356" s="3" t="str">
        <f t="shared" si="472"/>
        <v>Tiruvannamalai</v>
      </c>
      <c r="S356" s="3" t="str">
        <f t="shared" si="453"/>
        <v>Vandavasi</v>
      </c>
      <c r="T356" s="3" t="str">
        <f t="shared" si="454"/>
        <v>Vandavasi</v>
      </c>
      <c r="U356" s="3" t="str">
        <f t="shared" si="455"/>
        <v>Tiruvannamalai_Vandavasi_Vandavasi</v>
      </c>
      <c r="V356" s="3">
        <f>IF(_xlfn.XLOOKUP($U356,GCA!$H$3:$H$593,GCA!E$3:E$593,"",0,1)="","",_xlfn.XLOOKUP($U356,GCA!$H$3:$H$593,GCA!E$3:E$593,"",0,1))</f>
        <v>12564.49</v>
      </c>
      <c r="W356" s="3">
        <f>IF(_xlfn.XLOOKUP($U356,GCA!$H$3:$H$593,GCA!F$3:F$593,"",0,1)="","",_xlfn.XLOOKUP($U356,GCA!$H$3:$H$593,GCA!F$3:F$593,"",0,1))</f>
        <v>12050.48</v>
      </c>
      <c r="X356" s="3">
        <f>IF(_xlfn.XLOOKUP($U356,GCA!$H$3:$H$593,GCA!G$3:G$593,"",0,1)="","",_xlfn.XLOOKUP($U356,GCA!$H$3:$H$593,GCA!G$3:G$593,"",0,1))</f>
        <v>12381.95</v>
      </c>
    </row>
    <row r="357" spans="1:24" ht="13.2">
      <c r="A357" s="49"/>
      <c r="B357" s="49"/>
      <c r="C357" s="48"/>
      <c r="D357" s="49"/>
      <c r="E357" s="50"/>
      <c r="F357" s="26" t="s">
        <v>823</v>
      </c>
      <c r="G357" s="26" t="s">
        <v>823</v>
      </c>
      <c r="H357" s="27">
        <f t="shared" si="464"/>
        <v>18159.7</v>
      </c>
      <c r="I357" s="27">
        <f t="shared" si="465"/>
        <v>17853.5</v>
      </c>
      <c r="J357" s="27">
        <f t="shared" si="466"/>
        <v>19083.11</v>
      </c>
      <c r="K357" s="27">
        <f t="shared" si="467"/>
        <v>18365.436666666665</v>
      </c>
      <c r="L357" s="65"/>
      <c r="M357" s="67">
        <f t="shared" si="468"/>
        <v>0</v>
      </c>
      <c r="N357" s="65" t="str">
        <f t="shared" si="449"/>
        <v/>
      </c>
      <c r="O357" s="65" t="str">
        <f t="shared" ref="O357:P357" si="495">N357</f>
        <v/>
      </c>
      <c r="P357" s="65" t="str">
        <f t="shared" si="495"/>
        <v/>
      </c>
      <c r="Q357" s="38"/>
      <c r="R357" s="3" t="str">
        <f t="shared" si="472"/>
        <v>Tiruvannamalai</v>
      </c>
      <c r="S357" s="3" t="str">
        <f t="shared" si="453"/>
        <v>Vembakkam</v>
      </c>
      <c r="T357" s="3" t="str">
        <f t="shared" si="454"/>
        <v>Vembakkam</v>
      </c>
      <c r="U357" s="3" t="str">
        <f t="shared" si="455"/>
        <v>Tiruvannamalai_Vembakkam_Vembakkam</v>
      </c>
      <c r="V357" s="3">
        <f>IF(_xlfn.XLOOKUP($U357,GCA!$H$3:$H$593,GCA!E$3:E$593,"",0,1)="","",_xlfn.XLOOKUP($U357,GCA!$H$3:$H$593,GCA!E$3:E$593,"",0,1))</f>
        <v>18159.7</v>
      </c>
      <c r="W357" s="3">
        <f>IF(_xlfn.XLOOKUP($U357,GCA!$H$3:$H$593,GCA!F$3:F$593,"",0,1)="","",_xlfn.XLOOKUP($U357,GCA!$H$3:$H$593,GCA!F$3:F$593,"",0,1))</f>
        <v>17853.5</v>
      </c>
      <c r="X357" s="3">
        <f>IF(_xlfn.XLOOKUP($U357,GCA!$H$3:$H$593,GCA!G$3:G$593,"",0,1)="","",_xlfn.XLOOKUP($U357,GCA!$H$3:$H$593,GCA!G$3:G$593,"",0,1))</f>
        <v>19083.11</v>
      </c>
    </row>
    <row r="358" spans="1:24" ht="13.2">
      <c r="A358" s="49"/>
      <c r="B358" s="49"/>
      <c r="C358" s="48"/>
      <c r="D358" s="49"/>
      <c r="E358" s="47" t="s">
        <v>564</v>
      </c>
      <c r="F358" s="47"/>
      <c r="G358" s="47"/>
      <c r="H358" s="29">
        <f t="shared" ref="H358:P358" si="496">SUM(H333:H357)</f>
        <v>335373.67599999992</v>
      </c>
      <c r="I358" s="29">
        <f t="shared" si="496"/>
        <v>344745.57999999996</v>
      </c>
      <c r="J358" s="29">
        <f t="shared" si="496"/>
        <v>339780.22</v>
      </c>
      <c r="K358" s="29">
        <f t="shared" si="496"/>
        <v>339966.49199999997</v>
      </c>
      <c r="L358" s="29">
        <f t="shared" si="496"/>
        <v>339966.49200000003</v>
      </c>
      <c r="M358" s="30">
        <f t="shared" si="496"/>
        <v>14.269765604556063</v>
      </c>
      <c r="N358" s="31">
        <f t="shared" si="496"/>
        <v>15</v>
      </c>
      <c r="O358" s="31">
        <f t="shared" si="496"/>
        <v>15</v>
      </c>
      <c r="P358" s="31">
        <f t="shared" si="496"/>
        <v>15</v>
      </c>
      <c r="Q358" s="38"/>
      <c r="R358" s="3" t="str">
        <f t="shared" si="472"/>
        <v>Tiruvannamalai</v>
      </c>
      <c r="S358" s="3">
        <f t="shared" si="453"/>
        <v>0</v>
      </c>
      <c r="T358" s="3">
        <f t="shared" si="454"/>
        <v>0</v>
      </c>
      <c r="U358" s="3" t="str">
        <f t="shared" si="455"/>
        <v>Tiruvannamalai_0_0</v>
      </c>
      <c r="V358" s="3" t="str">
        <f>IF(_xlfn.XLOOKUP($U358,GCA!$H$3:$H$593,GCA!E$3:E$593,"",0,1)="","",_xlfn.XLOOKUP($U358,GCA!$H$3:$H$593,GCA!E$3:E$593,"",0,1))</f>
        <v/>
      </c>
      <c r="W358" s="3" t="str">
        <f>IF(_xlfn.XLOOKUP($U358,GCA!$H$3:$H$593,GCA!F$3:F$593,"",0,1)="","",_xlfn.XLOOKUP($U358,GCA!$H$3:$H$593,GCA!F$3:F$593,"",0,1))</f>
        <v/>
      </c>
      <c r="X358" s="3" t="str">
        <f>IF(_xlfn.XLOOKUP($U358,GCA!$H$3:$H$593,GCA!G$3:G$593,"",0,1)="","",_xlfn.XLOOKUP($U358,GCA!$H$3:$H$593,GCA!G$3:G$593,"",0,1))</f>
        <v/>
      </c>
    </row>
    <row r="359" spans="1:24" ht="13.2">
      <c r="A359" s="49"/>
      <c r="B359" s="49"/>
      <c r="C359" s="48" t="s">
        <v>490</v>
      </c>
      <c r="D359" s="49" t="s">
        <v>545</v>
      </c>
      <c r="E359" s="50">
        <v>1</v>
      </c>
      <c r="F359" s="26" t="s">
        <v>824</v>
      </c>
      <c r="G359" s="26" t="s">
        <v>824</v>
      </c>
      <c r="H359" s="27">
        <f t="shared" ref="H359:H369" si="497">V359</f>
        <v>8269.4500000000007</v>
      </c>
      <c r="I359" s="27">
        <f t="shared" ref="I359:I369" si="498">W359</f>
        <v>8280.1200000000008</v>
      </c>
      <c r="J359" s="27">
        <f t="shared" ref="J359:J369" si="499">X359</f>
        <v>6949.8050000000003</v>
      </c>
      <c r="K359" s="27">
        <f t="shared" ref="K359:K369" si="500">IFERROR(AVERAGE(H359:J359),"")</f>
        <v>7833.125</v>
      </c>
      <c r="L359" s="65">
        <f>SUM(K359:K369)</f>
        <v>74310.686666666661</v>
      </c>
      <c r="M359" s="67">
        <f t="shared" ref="M359:M369" si="501">L359*$L$643/$L$642</f>
        <v>3.1191194002935521</v>
      </c>
      <c r="N359" s="65">
        <f t="shared" si="449"/>
        <v>3</v>
      </c>
      <c r="O359" s="65">
        <f t="shared" ref="O359:P359" si="502">N359</f>
        <v>3</v>
      </c>
      <c r="P359" s="65">
        <f t="shared" si="502"/>
        <v>3</v>
      </c>
      <c r="Q359" s="38"/>
      <c r="R359" s="3" t="str">
        <f t="shared" si="470"/>
        <v>Ranipet</v>
      </c>
      <c r="S359" s="3" t="str">
        <f t="shared" si="453"/>
        <v>Arakonam</v>
      </c>
      <c r="T359" s="3" t="str">
        <f t="shared" si="454"/>
        <v>Arakonam</v>
      </c>
      <c r="U359" s="3" t="str">
        <f t="shared" si="455"/>
        <v>Ranipet_Arakonam_Arakonam</v>
      </c>
      <c r="V359" s="3">
        <f>IF(_xlfn.XLOOKUP($U359,GCA!$H$3:$H$593,GCA!E$3:E$593,"",0,1)="","",_xlfn.XLOOKUP($U359,GCA!$H$3:$H$593,GCA!E$3:E$593,"",0,1))</f>
        <v>8269.4500000000007</v>
      </c>
      <c r="W359" s="3">
        <f>IF(_xlfn.XLOOKUP($U359,GCA!$H$3:$H$593,GCA!F$3:F$593,"",0,1)="","",_xlfn.XLOOKUP($U359,GCA!$H$3:$H$593,GCA!F$3:F$593,"",0,1))</f>
        <v>8280.1200000000008</v>
      </c>
      <c r="X359" s="3">
        <f>IF(_xlfn.XLOOKUP($U359,GCA!$H$3:$H$593,GCA!G$3:G$593,"",0,1)="","",_xlfn.XLOOKUP($U359,GCA!$H$3:$H$593,GCA!G$3:G$593,"",0,1))</f>
        <v>6949.8050000000003</v>
      </c>
    </row>
    <row r="360" spans="1:24" ht="13.2">
      <c r="A360" s="49"/>
      <c r="B360" s="49"/>
      <c r="C360" s="48"/>
      <c r="D360" s="49"/>
      <c r="E360" s="50"/>
      <c r="F360" s="26" t="s">
        <v>824</v>
      </c>
      <c r="G360" s="26" t="s">
        <v>825</v>
      </c>
      <c r="H360" s="27">
        <f t="shared" si="497"/>
        <v>3832.0549999999998</v>
      </c>
      <c r="I360" s="27">
        <f t="shared" si="498"/>
        <v>3909.1149999999998</v>
      </c>
      <c r="J360" s="27">
        <f t="shared" si="499"/>
        <v>3647.7550000000001</v>
      </c>
      <c r="K360" s="27">
        <f t="shared" si="500"/>
        <v>3796.3083333333329</v>
      </c>
      <c r="L360" s="65"/>
      <c r="M360" s="67">
        <f t="shared" si="501"/>
        <v>0</v>
      </c>
      <c r="N360" s="65" t="str">
        <f t="shared" si="449"/>
        <v/>
      </c>
      <c r="O360" s="65" t="str">
        <f t="shared" ref="O360:P360" si="503">N360</f>
        <v/>
      </c>
      <c r="P360" s="65" t="str">
        <f t="shared" si="503"/>
        <v/>
      </c>
      <c r="Q360" s="38"/>
      <c r="R360" s="3" t="str">
        <f t="shared" ref="R360:R370" si="504">R359</f>
        <v>Ranipet</v>
      </c>
      <c r="S360" s="3" t="str">
        <f t="shared" si="453"/>
        <v>Arakonam</v>
      </c>
      <c r="T360" s="3" t="str">
        <f t="shared" si="454"/>
        <v>Nemeli</v>
      </c>
      <c r="U360" s="3" t="str">
        <f t="shared" si="455"/>
        <v>Ranipet_Arakonam_Nemeli</v>
      </c>
      <c r="V360" s="3">
        <f>IF(_xlfn.XLOOKUP($U360,GCA!$H$3:$H$593,GCA!E$3:E$593,"",0,1)="","",_xlfn.XLOOKUP($U360,GCA!$H$3:$H$593,GCA!E$3:E$593,"",0,1))</f>
        <v>3832.0549999999998</v>
      </c>
      <c r="W360" s="3">
        <f>IF(_xlfn.XLOOKUP($U360,GCA!$H$3:$H$593,GCA!F$3:F$593,"",0,1)="","",_xlfn.XLOOKUP($U360,GCA!$H$3:$H$593,GCA!F$3:F$593,"",0,1))</f>
        <v>3909.1149999999998</v>
      </c>
      <c r="X360" s="3">
        <f>IF(_xlfn.XLOOKUP($U360,GCA!$H$3:$H$593,GCA!G$3:G$593,"",0,1)="","",_xlfn.XLOOKUP($U360,GCA!$H$3:$H$593,GCA!G$3:G$593,"",0,1))</f>
        <v>3647.7550000000001</v>
      </c>
    </row>
    <row r="361" spans="1:24" ht="13.2">
      <c r="A361" s="49"/>
      <c r="B361" s="49"/>
      <c r="C361" s="48"/>
      <c r="D361" s="49"/>
      <c r="E361" s="50"/>
      <c r="F361" s="26" t="s">
        <v>826</v>
      </c>
      <c r="G361" s="26" t="s">
        <v>826</v>
      </c>
      <c r="H361" s="27">
        <f t="shared" si="497"/>
        <v>4810.42</v>
      </c>
      <c r="I361" s="27">
        <f t="shared" si="498"/>
        <v>4504.1850000000004</v>
      </c>
      <c r="J361" s="27">
        <f t="shared" si="499"/>
        <v>4115.8100000000004</v>
      </c>
      <c r="K361" s="27">
        <f t="shared" si="500"/>
        <v>4476.8050000000003</v>
      </c>
      <c r="L361" s="65"/>
      <c r="M361" s="67">
        <f t="shared" si="501"/>
        <v>0</v>
      </c>
      <c r="N361" s="65" t="str">
        <f t="shared" si="449"/>
        <v/>
      </c>
      <c r="O361" s="65" t="str">
        <f t="shared" ref="O361:P361" si="505">N361</f>
        <v/>
      </c>
      <c r="P361" s="65" t="str">
        <f t="shared" si="505"/>
        <v/>
      </c>
      <c r="Q361" s="38"/>
      <c r="R361" s="3" t="str">
        <f t="shared" si="504"/>
        <v>Ranipet</v>
      </c>
      <c r="S361" s="3" t="str">
        <f t="shared" si="453"/>
        <v>Arcot</v>
      </c>
      <c r="T361" s="3" t="str">
        <f t="shared" si="454"/>
        <v>Arcot</v>
      </c>
      <c r="U361" s="3" t="str">
        <f t="shared" si="455"/>
        <v>Ranipet_Arcot_Arcot</v>
      </c>
      <c r="V361" s="3">
        <f>IF(_xlfn.XLOOKUP($U361,GCA!$H$3:$H$593,GCA!E$3:E$593,"",0,1)="","",_xlfn.XLOOKUP($U361,GCA!$H$3:$H$593,GCA!E$3:E$593,"",0,1))</f>
        <v>4810.42</v>
      </c>
      <c r="W361" s="3">
        <f>IF(_xlfn.XLOOKUP($U361,GCA!$H$3:$H$593,GCA!F$3:F$593,"",0,1)="","",_xlfn.XLOOKUP($U361,GCA!$H$3:$H$593,GCA!F$3:F$593,"",0,1))</f>
        <v>4504.1850000000004</v>
      </c>
      <c r="X361" s="3">
        <f>IF(_xlfn.XLOOKUP($U361,GCA!$H$3:$H$593,GCA!G$3:G$593,"",0,1)="","",_xlfn.XLOOKUP($U361,GCA!$H$3:$H$593,GCA!G$3:G$593,"",0,1))</f>
        <v>4115.8100000000004</v>
      </c>
    </row>
    <row r="362" spans="1:24" ht="13.2">
      <c r="A362" s="49"/>
      <c r="B362" s="49"/>
      <c r="C362" s="48"/>
      <c r="D362" s="49"/>
      <c r="E362" s="50"/>
      <c r="F362" s="26" t="s">
        <v>826</v>
      </c>
      <c r="G362" s="26" t="s">
        <v>827</v>
      </c>
      <c r="H362" s="27">
        <f t="shared" si="497"/>
        <v>5062.3</v>
      </c>
      <c r="I362" s="27">
        <f t="shared" si="498"/>
        <v>4209.6499999999996</v>
      </c>
      <c r="J362" s="27">
        <f t="shared" si="499"/>
        <v>4763.08</v>
      </c>
      <c r="K362" s="27">
        <f t="shared" si="500"/>
        <v>4678.3433333333332</v>
      </c>
      <c r="L362" s="65"/>
      <c r="M362" s="67">
        <f t="shared" si="501"/>
        <v>0</v>
      </c>
      <c r="N362" s="65" t="str">
        <f t="shared" si="449"/>
        <v/>
      </c>
      <c r="O362" s="65" t="str">
        <f t="shared" ref="O362:P362" si="506">N362</f>
        <v/>
      </c>
      <c r="P362" s="65" t="str">
        <f t="shared" si="506"/>
        <v/>
      </c>
      <c r="Q362" s="38"/>
      <c r="R362" s="3" t="str">
        <f t="shared" si="504"/>
        <v>Ranipet</v>
      </c>
      <c r="S362" s="3" t="str">
        <f t="shared" si="453"/>
        <v>Arcot</v>
      </c>
      <c r="T362" s="3" t="str">
        <f t="shared" si="454"/>
        <v>Thimiri</v>
      </c>
      <c r="U362" s="3" t="str">
        <f t="shared" si="455"/>
        <v>Ranipet_Arcot_Thimiri</v>
      </c>
      <c r="V362" s="3">
        <f>IF(_xlfn.XLOOKUP($U362,GCA!$H$3:$H$593,GCA!E$3:E$593,"",0,1)="","",_xlfn.XLOOKUP($U362,GCA!$H$3:$H$593,GCA!E$3:E$593,"",0,1))</f>
        <v>5062.3</v>
      </c>
      <c r="W362" s="3">
        <f>IF(_xlfn.XLOOKUP($U362,GCA!$H$3:$H$593,GCA!F$3:F$593,"",0,1)="","",_xlfn.XLOOKUP($U362,GCA!$H$3:$H$593,GCA!F$3:F$593,"",0,1))</f>
        <v>4209.6499999999996</v>
      </c>
      <c r="X362" s="3">
        <f>IF(_xlfn.XLOOKUP($U362,GCA!$H$3:$H$593,GCA!G$3:G$593,"",0,1)="","",_xlfn.XLOOKUP($U362,GCA!$H$3:$H$593,GCA!G$3:G$593,"",0,1))</f>
        <v>4763.08</v>
      </c>
    </row>
    <row r="363" spans="1:24" ht="13.2">
      <c r="A363" s="49"/>
      <c r="B363" s="49"/>
      <c r="C363" s="48"/>
      <c r="D363" s="49"/>
      <c r="E363" s="50"/>
      <c r="F363" s="26" t="s">
        <v>828</v>
      </c>
      <c r="G363" s="26" t="s">
        <v>827</v>
      </c>
      <c r="H363" s="27">
        <f t="shared" si="497"/>
        <v>12930.39</v>
      </c>
      <c r="I363" s="27">
        <f t="shared" si="498"/>
        <v>11122.16</v>
      </c>
      <c r="J363" s="27">
        <f t="shared" si="499"/>
        <v>9455.2099999999991</v>
      </c>
      <c r="K363" s="27">
        <f t="shared" si="500"/>
        <v>11169.253333333332</v>
      </c>
      <c r="L363" s="65"/>
      <c r="M363" s="67">
        <f t="shared" si="501"/>
        <v>0</v>
      </c>
      <c r="N363" s="65" t="str">
        <f t="shared" si="449"/>
        <v/>
      </c>
      <c r="O363" s="65" t="str">
        <f t="shared" ref="O363:P363" si="507">N363</f>
        <v/>
      </c>
      <c r="P363" s="65" t="str">
        <f t="shared" si="507"/>
        <v/>
      </c>
      <c r="Q363" s="38"/>
      <c r="R363" s="3" t="str">
        <f t="shared" si="504"/>
        <v>Ranipet</v>
      </c>
      <c r="S363" s="3" t="str">
        <f t="shared" si="453"/>
        <v>Kalavai</v>
      </c>
      <c r="T363" s="3" t="str">
        <f t="shared" si="454"/>
        <v>Thimiri</v>
      </c>
      <c r="U363" s="3" t="str">
        <f t="shared" si="455"/>
        <v>Ranipet_Kalavai_Thimiri</v>
      </c>
      <c r="V363" s="3">
        <f>IF(_xlfn.XLOOKUP($U363,GCA!$H$3:$H$593,GCA!E$3:E$593,"",0,1)="","",_xlfn.XLOOKUP($U363,GCA!$H$3:$H$593,GCA!E$3:E$593,"",0,1))</f>
        <v>12930.39</v>
      </c>
      <c r="W363" s="3">
        <f>IF(_xlfn.XLOOKUP($U363,GCA!$H$3:$H$593,GCA!F$3:F$593,"",0,1)="","",_xlfn.XLOOKUP($U363,GCA!$H$3:$H$593,GCA!F$3:F$593,"",0,1))</f>
        <v>11122.16</v>
      </c>
      <c r="X363" s="3">
        <f>IF(_xlfn.XLOOKUP($U363,GCA!$H$3:$H$593,GCA!G$3:G$593,"",0,1)="","",_xlfn.XLOOKUP($U363,GCA!$H$3:$H$593,GCA!G$3:G$593,"",0,1))</f>
        <v>9455.2099999999991</v>
      </c>
    </row>
    <row r="364" spans="1:24" ht="13.2">
      <c r="A364" s="49"/>
      <c r="B364" s="49"/>
      <c r="C364" s="48"/>
      <c r="D364" s="49"/>
      <c r="E364" s="50"/>
      <c r="F364" s="26" t="s">
        <v>825</v>
      </c>
      <c r="G364" s="26" t="s">
        <v>829</v>
      </c>
      <c r="H364" s="27">
        <f t="shared" si="497"/>
        <v>7710.56</v>
      </c>
      <c r="I364" s="27">
        <f t="shared" si="498"/>
        <v>7394.25</v>
      </c>
      <c r="J364" s="27">
        <f t="shared" si="499"/>
        <v>7044.37</v>
      </c>
      <c r="K364" s="27">
        <f t="shared" si="500"/>
        <v>7383.06</v>
      </c>
      <c r="L364" s="65"/>
      <c r="M364" s="67">
        <f t="shared" si="501"/>
        <v>0</v>
      </c>
      <c r="N364" s="65" t="str">
        <f t="shared" si="449"/>
        <v/>
      </c>
      <c r="O364" s="65" t="str">
        <f t="shared" ref="O364:P364" si="508">N364</f>
        <v/>
      </c>
      <c r="P364" s="65" t="str">
        <f t="shared" si="508"/>
        <v/>
      </c>
      <c r="Q364" s="38"/>
      <c r="R364" s="3" t="str">
        <f t="shared" si="504"/>
        <v>Ranipet</v>
      </c>
      <c r="S364" s="3" t="str">
        <f t="shared" si="453"/>
        <v>Nemeli</v>
      </c>
      <c r="T364" s="3" t="str">
        <f t="shared" si="454"/>
        <v>Kaveripakkam</v>
      </c>
      <c r="U364" s="3" t="str">
        <f t="shared" si="455"/>
        <v>Ranipet_Nemeli_Kaveripakkam</v>
      </c>
      <c r="V364" s="3">
        <f>IF(_xlfn.XLOOKUP($U364,GCA!$H$3:$H$593,GCA!E$3:E$593,"",0,1)="","",_xlfn.XLOOKUP($U364,GCA!$H$3:$H$593,GCA!E$3:E$593,"",0,1))</f>
        <v>7710.56</v>
      </c>
      <c r="W364" s="3">
        <f>IF(_xlfn.XLOOKUP($U364,GCA!$H$3:$H$593,GCA!F$3:F$593,"",0,1)="","",_xlfn.XLOOKUP($U364,GCA!$H$3:$H$593,GCA!F$3:F$593,"",0,1))</f>
        <v>7394.25</v>
      </c>
      <c r="X364" s="3">
        <f>IF(_xlfn.XLOOKUP($U364,GCA!$H$3:$H$593,GCA!G$3:G$593,"",0,1)="","",_xlfn.XLOOKUP($U364,GCA!$H$3:$H$593,GCA!G$3:G$593,"",0,1))</f>
        <v>7044.37</v>
      </c>
    </row>
    <row r="365" spans="1:24" ht="13.2">
      <c r="A365" s="49"/>
      <c r="B365" s="49"/>
      <c r="C365" s="48"/>
      <c r="D365" s="49"/>
      <c r="E365" s="50"/>
      <c r="F365" s="26" t="s">
        <v>825</v>
      </c>
      <c r="G365" s="26" t="s">
        <v>825</v>
      </c>
      <c r="H365" s="27">
        <f t="shared" si="497"/>
        <v>13105.135</v>
      </c>
      <c r="I365" s="27">
        <f t="shared" si="498"/>
        <v>12779.665000000001</v>
      </c>
      <c r="J365" s="27">
        <f t="shared" si="499"/>
        <v>12033.965</v>
      </c>
      <c r="K365" s="27">
        <f t="shared" si="500"/>
        <v>12639.588333333333</v>
      </c>
      <c r="L365" s="65"/>
      <c r="M365" s="67">
        <f t="shared" si="501"/>
        <v>0</v>
      </c>
      <c r="N365" s="65" t="str">
        <f t="shared" si="449"/>
        <v/>
      </c>
      <c r="O365" s="65" t="str">
        <f t="shared" ref="O365:P365" si="509">N365</f>
        <v/>
      </c>
      <c r="P365" s="65" t="str">
        <f t="shared" si="509"/>
        <v/>
      </c>
      <c r="Q365" s="38"/>
      <c r="R365" s="3" t="str">
        <f t="shared" si="504"/>
        <v>Ranipet</v>
      </c>
      <c r="S365" s="3" t="str">
        <f t="shared" si="453"/>
        <v>Nemeli</v>
      </c>
      <c r="T365" s="3" t="str">
        <f t="shared" si="454"/>
        <v>Nemeli</v>
      </c>
      <c r="U365" s="3" t="str">
        <f t="shared" si="455"/>
        <v>Ranipet_Nemeli_Nemeli</v>
      </c>
      <c r="V365" s="3">
        <f>IF(_xlfn.XLOOKUP($U365,GCA!$H$3:$H$593,GCA!E$3:E$593,"",0,1)="","",_xlfn.XLOOKUP($U365,GCA!$H$3:$H$593,GCA!E$3:E$593,"",0,1))</f>
        <v>13105.135</v>
      </c>
      <c r="W365" s="3">
        <f>IF(_xlfn.XLOOKUP($U365,GCA!$H$3:$H$593,GCA!F$3:F$593,"",0,1)="","",_xlfn.XLOOKUP($U365,GCA!$H$3:$H$593,GCA!F$3:F$593,"",0,1))</f>
        <v>12779.665000000001</v>
      </c>
      <c r="X365" s="3">
        <f>IF(_xlfn.XLOOKUP($U365,GCA!$H$3:$H$593,GCA!G$3:G$593,"",0,1)="","",_xlfn.XLOOKUP($U365,GCA!$H$3:$H$593,GCA!G$3:G$593,"",0,1))</f>
        <v>12033.965</v>
      </c>
    </row>
    <row r="366" spans="1:24" ht="13.2">
      <c r="A366" s="49"/>
      <c r="B366" s="49"/>
      <c r="C366" s="48"/>
      <c r="D366" s="49"/>
      <c r="E366" s="50"/>
      <c r="F366" s="26" t="s">
        <v>830</v>
      </c>
      <c r="G366" s="26" t="s">
        <v>829</v>
      </c>
      <c r="H366" s="27">
        <f t="shared" si="497"/>
        <v>1374.2</v>
      </c>
      <c r="I366" s="27">
        <f t="shared" si="498"/>
        <v>1306.7</v>
      </c>
      <c r="J366" s="27">
        <f t="shared" si="499"/>
        <v>1379.22</v>
      </c>
      <c r="K366" s="27">
        <f t="shared" si="500"/>
        <v>1353.3733333333332</v>
      </c>
      <c r="L366" s="65"/>
      <c r="M366" s="67">
        <f t="shared" si="501"/>
        <v>0</v>
      </c>
      <c r="N366" s="65" t="str">
        <f t="shared" si="449"/>
        <v/>
      </c>
      <c r="O366" s="65" t="str">
        <f t="shared" ref="O366:P366" si="510">N366</f>
        <v/>
      </c>
      <c r="P366" s="65" t="str">
        <f t="shared" si="510"/>
        <v/>
      </c>
      <c r="Q366" s="38"/>
      <c r="R366" s="3" t="str">
        <f t="shared" si="504"/>
        <v>Ranipet</v>
      </c>
      <c r="S366" s="3" t="str">
        <f t="shared" si="453"/>
        <v>Sholinghur</v>
      </c>
      <c r="T366" s="3" t="str">
        <f t="shared" si="454"/>
        <v>Kaveripakkam</v>
      </c>
      <c r="U366" s="3" t="str">
        <f t="shared" si="455"/>
        <v>Ranipet_Sholinghur_Kaveripakkam</v>
      </c>
      <c r="V366" s="3">
        <f>IF(_xlfn.XLOOKUP($U366,GCA!$H$3:$H$593,GCA!E$3:E$593,"",0,1)="","",_xlfn.XLOOKUP($U366,GCA!$H$3:$H$593,GCA!E$3:E$593,"",0,1))</f>
        <v>1374.2</v>
      </c>
      <c r="W366" s="3">
        <f>IF(_xlfn.XLOOKUP($U366,GCA!$H$3:$H$593,GCA!F$3:F$593,"",0,1)="","",_xlfn.XLOOKUP($U366,GCA!$H$3:$H$593,GCA!F$3:F$593,"",0,1))</f>
        <v>1306.7</v>
      </c>
      <c r="X366" s="3">
        <f>IF(_xlfn.XLOOKUP($U366,GCA!$H$3:$H$593,GCA!G$3:G$593,"",0,1)="","",_xlfn.XLOOKUP($U366,GCA!$H$3:$H$593,GCA!G$3:G$593,"",0,1))</f>
        <v>1379.22</v>
      </c>
    </row>
    <row r="367" spans="1:24" ht="13.2">
      <c r="A367" s="49"/>
      <c r="B367" s="49"/>
      <c r="C367" s="48"/>
      <c r="D367" s="49"/>
      <c r="E367" s="50"/>
      <c r="F367" s="26" t="s">
        <v>830</v>
      </c>
      <c r="G367" s="26" t="s">
        <v>831</v>
      </c>
      <c r="H367" s="27">
        <f t="shared" si="497"/>
        <v>12556.8</v>
      </c>
      <c r="I367" s="27">
        <f t="shared" si="498"/>
        <v>12370.15</v>
      </c>
      <c r="J367" s="27">
        <f t="shared" si="499"/>
        <v>11680.184999999999</v>
      </c>
      <c r="K367" s="27">
        <f t="shared" si="500"/>
        <v>12202.378333333332</v>
      </c>
      <c r="L367" s="65"/>
      <c r="M367" s="67">
        <f t="shared" si="501"/>
        <v>0</v>
      </c>
      <c r="N367" s="65" t="str">
        <f t="shared" si="449"/>
        <v/>
      </c>
      <c r="O367" s="65" t="str">
        <f t="shared" ref="O367:P367" si="511">N367</f>
        <v/>
      </c>
      <c r="P367" s="65" t="str">
        <f t="shared" si="511"/>
        <v/>
      </c>
      <c r="Q367" s="38"/>
      <c r="R367" s="3" t="str">
        <f t="shared" si="504"/>
        <v>Ranipet</v>
      </c>
      <c r="S367" s="3" t="str">
        <f t="shared" si="453"/>
        <v>Sholinghur</v>
      </c>
      <c r="T367" s="3" t="str">
        <f t="shared" si="454"/>
        <v>Sholingar</v>
      </c>
      <c r="U367" s="3" t="str">
        <f t="shared" si="455"/>
        <v>Ranipet_Sholinghur_Sholingar</v>
      </c>
      <c r="V367" s="3">
        <f>IF(_xlfn.XLOOKUP($U367,GCA!$H$3:$H$593,GCA!E$3:E$593,"",0,1)="","",_xlfn.XLOOKUP($U367,GCA!$H$3:$H$593,GCA!E$3:E$593,"",0,1))</f>
        <v>12556.8</v>
      </c>
      <c r="W367" s="3">
        <f>IF(_xlfn.XLOOKUP($U367,GCA!$H$3:$H$593,GCA!F$3:F$593,"",0,1)="","",_xlfn.XLOOKUP($U367,GCA!$H$3:$H$593,GCA!F$3:F$593,"",0,1))</f>
        <v>12370.15</v>
      </c>
      <c r="X367" s="3">
        <f>IF(_xlfn.XLOOKUP($U367,GCA!$H$3:$H$593,GCA!G$3:G$593,"",0,1)="","",_xlfn.XLOOKUP($U367,GCA!$H$3:$H$593,GCA!G$3:G$593,"",0,1))</f>
        <v>11680.184999999999</v>
      </c>
    </row>
    <row r="368" spans="1:24" ht="13.2">
      <c r="A368" s="49"/>
      <c r="B368" s="49"/>
      <c r="C368" s="48"/>
      <c r="D368" s="49"/>
      <c r="E368" s="50"/>
      <c r="F368" s="26" t="s">
        <v>832</v>
      </c>
      <c r="G368" s="26" t="s">
        <v>826</v>
      </c>
      <c r="H368" s="27">
        <f t="shared" si="497"/>
        <v>2587.15</v>
      </c>
      <c r="I368" s="27">
        <f t="shared" si="498"/>
        <v>2502.7600000000002</v>
      </c>
      <c r="J368" s="27">
        <f t="shared" si="499"/>
        <v>2227.0500000000002</v>
      </c>
      <c r="K368" s="27">
        <f t="shared" si="500"/>
        <v>2438.9866666666667</v>
      </c>
      <c r="L368" s="65"/>
      <c r="M368" s="67">
        <f t="shared" si="501"/>
        <v>0</v>
      </c>
      <c r="N368" s="65" t="str">
        <f t="shared" si="449"/>
        <v/>
      </c>
      <c r="O368" s="65" t="str">
        <f t="shared" ref="O368:P368" si="512">N368</f>
        <v/>
      </c>
      <c r="P368" s="65" t="str">
        <f t="shared" si="512"/>
        <v/>
      </c>
      <c r="Q368" s="38"/>
      <c r="R368" s="3" t="str">
        <f t="shared" si="504"/>
        <v>Ranipet</v>
      </c>
      <c r="S368" s="3" t="str">
        <f t="shared" si="453"/>
        <v>Walajah</v>
      </c>
      <c r="T368" s="3" t="str">
        <f t="shared" si="454"/>
        <v>Arcot</v>
      </c>
      <c r="U368" s="3" t="str">
        <f t="shared" si="455"/>
        <v>Ranipet_Walajah_Arcot</v>
      </c>
      <c r="V368" s="3">
        <f>IF(_xlfn.XLOOKUP($U368,GCA!$H$3:$H$593,GCA!E$3:E$593,"",0,1)="","",_xlfn.XLOOKUP($U368,GCA!$H$3:$H$593,GCA!E$3:E$593,"",0,1))</f>
        <v>2587.15</v>
      </c>
      <c r="W368" s="3">
        <f>IF(_xlfn.XLOOKUP($U368,GCA!$H$3:$H$593,GCA!F$3:F$593,"",0,1)="","",_xlfn.XLOOKUP($U368,GCA!$H$3:$H$593,GCA!F$3:F$593,"",0,1))</f>
        <v>2502.7600000000002</v>
      </c>
      <c r="X368" s="3">
        <f>IF(_xlfn.XLOOKUP($U368,GCA!$H$3:$H$593,GCA!G$3:G$593,"",0,1)="","",_xlfn.XLOOKUP($U368,GCA!$H$3:$H$593,GCA!G$3:G$593,"",0,1))</f>
        <v>2227.0500000000002</v>
      </c>
    </row>
    <row r="369" spans="1:24" ht="13.2">
      <c r="A369" s="49"/>
      <c r="B369" s="49"/>
      <c r="C369" s="48"/>
      <c r="D369" s="49"/>
      <c r="E369" s="50"/>
      <c r="F369" s="26" t="s">
        <v>832</v>
      </c>
      <c r="G369" s="26" t="s">
        <v>832</v>
      </c>
      <c r="H369" s="27">
        <f t="shared" si="497"/>
        <v>6843.3</v>
      </c>
      <c r="I369" s="27">
        <f t="shared" si="498"/>
        <v>6051.21</v>
      </c>
      <c r="J369" s="27">
        <f t="shared" si="499"/>
        <v>6123.8850000000002</v>
      </c>
      <c r="K369" s="27">
        <f t="shared" si="500"/>
        <v>6339.4650000000001</v>
      </c>
      <c r="L369" s="65"/>
      <c r="M369" s="67">
        <f t="shared" si="501"/>
        <v>0</v>
      </c>
      <c r="N369" s="65" t="str">
        <f t="shared" si="449"/>
        <v/>
      </c>
      <c r="O369" s="65" t="str">
        <f t="shared" ref="O369:P369" si="513">N369</f>
        <v/>
      </c>
      <c r="P369" s="65" t="str">
        <f t="shared" si="513"/>
        <v/>
      </c>
      <c r="Q369" s="38"/>
      <c r="R369" s="3" t="str">
        <f t="shared" si="504"/>
        <v>Ranipet</v>
      </c>
      <c r="S369" s="3" t="str">
        <f t="shared" si="453"/>
        <v>Walajah</v>
      </c>
      <c r="T369" s="3" t="str">
        <f t="shared" si="454"/>
        <v>Walajah</v>
      </c>
      <c r="U369" s="3" t="str">
        <f t="shared" si="455"/>
        <v>Ranipet_Walajah_Walajah</v>
      </c>
      <c r="V369" s="3">
        <f>IF(_xlfn.XLOOKUP($U369,GCA!$H$3:$H$593,GCA!E$3:E$593,"",0,1)="","",_xlfn.XLOOKUP($U369,GCA!$H$3:$H$593,GCA!E$3:E$593,"",0,1))</f>
        <v>6843.3</v>
      </c>
      <c r="W369" s="3">
        <f>IF(_xlfn.XLOOKUP($U369,GCA!$H$3:$H$593,GCA!F$3:F$593,"",0,1)="","",_xlfn.XLOOKUP($U369,GCA!$H$3:$H$593,GCA!F$3:F$593,"",0,1))</f>
        <v>6051.21</v>
      </c>
      <c r="X369" s="3">
        <f>IF(_xlfn.XLOOKUP($U369,GCA!$H$3:$H$593,GCA!G$3:G$593,"",0,1)="","",_xlfn.XLOOKUP($U369,GCA!$H$3:$H$593,GCA!G$3:G$593,"",0,1))</f>
        <v>6123.8850000000002</v>
      </c>
    </row>
    <row r="370" spans="1:24" ht="13.2">
      <c r="A370" s="49"/>
      <c r="B370" s="49"/>
      <c r="C370" s="48"/>
      <c r="D370" s="49"/>
      <c r="E370" s="47" t="s">
        <v>564</v>
      </c>
      <c r="F370" s="47"/>
      <c r="G370" s="47"/>
      <c r="H370" s="29">
        <f t="shared" ref="H370:P370" si="514">SUM(H359:H369)</f>
        <v>79081.759999999995</v>
      </c>
      <c r="I370" s="29">
        <f t="shared" si="514"/>
        <v>74429.964999999997</v>
      </c>
      <c r="J370" s="29">
        <f t="shared" si="514"/>
        <v>69420.335000000006</v>
      </c>
      <c r="K370" s="29">
        <f t="shared" si="514"/>
        <v>74310.686666666661</v>
      </c>
      <c r="L370" s="29">
        <f t="shared" si="514"/>
        <v>74310.686666666661</v>
      </c>
      <c r="M370" s="30">
        <f t="shared" si="514"/>
        <v>3.1191194002935521</v>
      </c>
      <c r="N370" s="31">
        <f t="shared" si="514"/>
        <v>3</v>
      </c>
      <c r="O370" s="31">
        <f t="shared" si="514"/>
        <v>3</v>
      </c>
      <c r="P370" s="31">
        <f t="shared" si="514"/>
        <v>3</v>
      </c>
      <c r="Q370" s="38"/>
      <c r="R370" s="3" t="str">
        <f t="shared" si="504"/>
        <v>Ranipet</v>
      </c>
      <c r="S370" s="3">
        <f t="shared" si="453"/>
        <v>0</v>
      </c>
      <c r="T370" s="3">
        <f t="shared" si="454"/>
        <v>0</v>
      </c>
      <c r="U370" s="3" t="str">
        <f t="shared" si="455"/>
        <v>Ranipet_0_0</v>
      </c>
      <c r="V370" s="3" t="str">
        <f>IF(_xlfn.XLOOKUP($U370,GCA!$H$3:$H$593,GCA!E$3:E$593,"",0,1)="","",_xlfn.XLOOKUP($U370,GCA!$H$3:$H$593,GCA!E$3:E$593,"",0,1))</f>
        <v/>
      </c>
      <c r="W370" s="3" t="str">
        <f>IF(_xlfn.XLOOKUP($U370,GCA!$H$3:$H$593,GCA!F$3:F$593,"",0,1)="","",_xlfn.XLOOKUP($U370,GCA!$H$3:$H$593,GCA!F$3:F$593,"",0,1))</f>
        <v/>
      </c>
      <c r="X370" s="3" t="str">
        <f>IF(_xlfn.XLOOKUP($U370,GCA!$H$3:$H$593,GCA!G$3:G$593,"",0,1)="","",_xlfn.XLOOKUP($U370,GCA!$H$3:$H$593,GCA!G$3:G$593,"",0,1))</f>
        <v/>
      </c>
    </row>
    <row r="371" spans="1:24" ht="13.2">
      <c r="A371" s="49"/>
      <c r="B371" s="49"/>
      <c r="C371" s="54" t="s">
        <v>521</v>
      </c>
      <c r="D371" s="54"/>
      <c r="E371" s="54"/>
      <c r="F371" s="54"/>
      <c r="G371" s="54"/>
      <c r="H371" s="32">
        <f>SUM(H370,H358,H332)</f>
        <v>481877.28599999996</v>
      </c>
      <c r="I371" s="32">
        <f t="shared" ref="I371:P371" si="515">SUM(I370,I358,I332)</f>
        <v>484473.44999999995</v>
      </c>
      <c r="J371" s="32">
        <f t="shared" si="515"/>
        <v>473957.45500000002</v>
      </c>
      <c r="K371" s="32">
        <f t="shared" si="515"/>
        <v>480102.73033333325</v>
      </c>
      <c r="L371" s="32">
        <f t="shared" si="515"/>
        <v>480102.73033333337</v>
      </c>
      <c r="M371" s="46">
        <f t="shared" si="515"/>
        <v>20.151849047417457</v>
      </c>
      <c r="N371" s="32">
        <f t="shared" si="515"/>
        <v>21</v>
      </c>
      <c r="O371" s="32">
        <f t="shared" si="515"/>
        <v>21</v>
      </c>
      <c r="P371" s="32">
        <f t="shared" si="515"/>
        <v>21</v>
      </c>
      <c r="Q371" s="38"/>
      <c r="R371" s="3" t="str">
        <f t="shared" si="470"/>
        <v>SRO TOTAL</v>
      </c>
      <c r="S371" s="3">
        <f t="shared" si="453"/>
        <v>0</v>
      </c>
      <c r="T371" s="3">
        <f t="shared" si="454"/>
        <v>0</v>
      </c>
      <c r="U371" s="3" t="str">
        <f t="shared" si="455"/>
        <v>SRO TOTAL_0_0</v>
      </c>
      <c r="V371" s="3" t="str">
        <f>IF(_xlfn.XLOOKUP($U371,GCA!$H$3:$H$593,GCA!E$3:E$593,"",0,1)="","",_xlfn.XLOOKUP($U371,GCA!$H$3:$H$593,GCA!E$3:E$593,"",0,1))</f>
        <v/>
      </c>
      <c r="W371" s="3" t="str">
        <f>IF(_xlfn.XLOOKUP($U371,GCA!$H$3:$H$593,GCA!F$3:F$593,"",0,1)="","",_xlfn.XLOOKUP($U371,GCA!$H$3:$H$593,GCA!F$3:F$593,"",0,1))</f>
        <v/>
      </c>
      <c r="X371" s="3" t="str">
        <f>IF(_xlfn.XLOOKUP($U371,GCA!$H$3:$H$593,GCA!G$3:G$593,"",0,1)="","",_xlfn.XLOOKUP($U371,GCA!$H$3:$H$593,GCA!G$3:G$593,"",0,1))</f>
        <v/>
      </c>
    </row>
    <row r="372" spans="1:24" ht="13.2">
      <c r="A372" s="49"/>
      <c r="B372" s="55" t="s">
        <v>522</v>
      </c>
      <c r="C372" s="55"/>
      <c r="D372" s="55"/>
      <c r="E372" s="55"/>
      <c r="F372" s="55"/>
      <c r="G372" s="55"/>
      <c r="H372" s="43">
        <f t="shared" ref="H372:P372" si="516">SUM(H371,H322,H253)</f>
        <v>1728297.7989999999</v>
      </c>
      <c r="I372" s="43">
        <f t="shared" si="516"/>
        <v>1694689.3149999999</v>
      </c>
      <c r="J372" s="43">
        <f t="shared" si="516"/>
        <v>1694984.2460000003</v>
      </c>
      <c r="K372" s="43">
        <f t="shared" si="516"/>
        <v>1705990.4533333336</v>
      </c>
      <c r="L372" s="43">
        <f t="shared" si="516"/>
        <v>1705990.4533333336</v>
      </c>
      <c r="M372" s="44">
        <f t="shared" si="516"/>
        <v>71.607303853572148</v>
      </c>
      <c r="N372" s="45">
        <f t="shared" si="516"/>
        <v>72</v>
      </c>
      <c r="O372" s="45">
        <f t="shared" si="516"/>
        <v>72</v>
      </c>
      <c r="P372" s="45">
        <f t="shared" si="516"/>
        <v>72</v>
      </c>
      <c r="Q372" s="38"/>
      <c r="R372" s="3" t="str">
        <f>R371</f>
        <v>SRO TOTAL</v>
      </c>
      <c r="S372" s="3">
        <f t="shared" si="453"/>
        <v>0</v>
      </c>
      <c r="T372" s="3">
        <f t="shared" si="454"/>
        <v>0</v>
      </c>
      <c r="U372" s="3" t="str">
        <f t="shared" si="455"/>
        <v>SRO TOTAL_0_0</v>
      </c>
      <c r="V372" s="3" t="str">
        <f>IF(_xlfn.XLOOKUP($U372,GCA!$H$3:$H$593,GCA!E$3:E$593,"",0,1)="","",_xlfn.XLOOKUP($U372,GCA!$H$3:$H$593,GCA!E$3:E$593,"",0,1))</f>
        <v/>
      </c>
      <c r="W372" s="3" t="str">
        <f>IF(_xlfn.XLOOKUP($U372,GCA!$H$3:$H$593,GCA!F$3:F$593,"",0,1)="","",_xlfn.XLOOKUP($U372,GCA!$H$3:$H$593,GCA!F$3:F$593,"",0,1))</f>
        <v/>
      </c>
      <c r="X372" s="3" t="str">
        <f>IF(_xlfn.XLOOKUP($U372,GCA!$H$3:$H$593,GCA!G$3:G$593,"",0,1)="","",_xlfn.XLOOKUP($U372,GCA!$H$3:$H$593,GCA!G$3:G$593,"",0,1))</f>
        <v/>
      </c>
    </row>
    <row r="373" spans="1:24" ht="13.2">
      <c r="A373" s="49" t="s">
        <v>418</v>
      </c>
      <c r="B373" s="49" t="s">
        <v>418</v>
      </c>
      <c r="C373" s="48" t="s">
        <v>239</v>
      </c>
      <c r="D373" s="49" t="s">
        <v>547</v>
      </c>
      <c r="E373" s="50">
        <v>1</v>
      </c>
      <c r="F373" s="26" t="s">
        <v>841</v>
      </c>
      <c r="G373" s="26" t="s">
        <v>841</v>
      </c>
      <c r="H373" s="27">
        <f t="shared" ref="H373:H389" si="517">V373</f>
        <v>13541.58</v>
      </c>
      <c r="I373" s="27">
        <f t="shared" ref="I373:I389" si="518">W373</f>
        <v>13856.844999999999</v>
      </c>
      <c r="J373" s="27">
        <f t="shared" ref="J373:J389" si="519">X373</f>
        <v>13812.62</v>
      </c>
      <c r="K373" s="27">
        <f t="shared" ref="K373:K389" si="520">IFERROR(AVERAGE(H373:J373),"")</f>
        <v>13737.014999999999</v>
      </c>
      <c r="L373" s="65">
        <f>SUM(K373:K377)</f>
        <v>58933.468666666668</v>
      </c>
      <c r="M373" s="67">
        <f t="shared" ref="M373:M389" si="521">L373*$L$643/$L$642</f>
        <v>2.4736755060459972</v>
      </c>
      <c r="N373" s="65">
        <f t="shared" si="449"/>
        <v>2</v>
      </c>
      <c r="O373" s="65">
        <f t="shared" ref="O373:P373" si="522">N373</f>
        <v>2</v>
      </c>
      <c r="P373" s="65">
        <f t="shared" si="522"/>
        <v>2</v>
      </c>
      <c r="Q373" s="38"/>
      <c r="R373" s="3" t="str">
        <f t="shared" si="470"/>
        <v>Dindigul</v>
      </c>
      <c r="S373" s="3" t="str">
        <f t="shared" si="453"/>
        <v>Athoor</v>
      </c>
      <c r="T373" s="3" t="str">
        <f t="shared" si="454"/>
        <v>Athoor</v>
      </c>
      <c r="U373" s="3" t="str">
        <f t="shared" si="455"/>
        <v>Dindigul_Athoor_Athoor</v>
      </c>
      <c r="V373" s="3">
        <f>IF(_xlfn.XLOOKUP($U373,GCA!$H$3:$H$593,GCA!E$3:E$593,"",0,1)="","",_xlfn.XLOOKUP($U373,GCA!$H$3:$H$593,GCA!E$3:E$593,"",0,1))</f>
        <v>13541.58</v>
      </c>
      <c r="W373" s="3">
        <f>IF(_xlfn.XLOOKUP($U373,GCA!$H$3:$H$593,GCA!F$3:F$593,"",0,1)="","",_xlfn.XLOOKUP($U373,GCA!$H$3:$H$593,GCA!F$3:F$593,"",0,1))</f>
        <v>13856.844999999999</v>
      </c>
      <c r="X373" s="3">
        <f>IF(_xlfn.XLOOKUP($U373,GCA!$H$3:$H$593,GCA!G$3:G$593,"",0,1)="","",_xlfn.XLOOKUP($U373,GCA!$H$3:$H$593,GCA!G$3:G$593,"",0,1))</f>
        <v>13812.62</v>
      </c>
    </row>
    <row r="374" spans="1:24" ht="13.2">
      <c r="A374" s="49"/>
      <c r="B374" s="49"/>
      <c r="C374" s="48"/>
      <c r="D374" s="49"/>
      <c r="E374" s="50"/>
      <c r="F374" s="26" t="s">
        <v>842</v>
      </c>
      <c r="G374" s="26" t="s">
        <v>239</v>
      </c>
      <c r="H374" s="27">
        <f t="shared" si="517"/>
        <v>5299.0550000000003</v>
      </c>
      <c r="I374" s="27">
        <f t="shared" si="518"/>
        <v>5201</v>
      </c>
      <c r="J374" s="27">
        <f t="shared" si="519"/>
        <v>5358.8450000000003</v>
      </c>
      <c r="K374" s="27">
        <f t="shared" si="520"/>
        <v>5286.3</v>
      </c>
      <c r="L374" s="65"/>
      <c r="M374" s="67">
        <f t="shared" si="521"/>
        <v>0</v>
      </c>
      <c r="N374" s="65" t="str">
        <f t="shared" si="449"/>
        <v/>
      </c>
      <c r="O374" s="65" t="str">
        <f t="shared" ref="O374:P374" si="523">N374</f>
        <v/>
      </c>
      <c r="P374" s="65" t="str">
        <f t="shared" si="523"/>
        <v/>
      </c>
      <c r="Q374" s="38"/>
      <c r="R374" s="3" t="str">
        <f t="shared" ref="R374:R390" si="524">R373</f>
        <v>Dindigul</v>
      </c>
      <c r="S374" s="3" t="str">
        <f t="shared" si="453"/>
        <v>Dindigul East</v>
      </c>
      <c r="T374" s="3" t="str">
        <f t="shared" si="454"/>
        <v>Dindigul</v>
      </c>
      <c r="U374" s="3" t="str">
        <f t="shared" si="455"/>
        <v>Dindigul_Dindigul East_Dindigul</v>
      </c>
      <c r="V374" s="3">
        <f>IF(_xlfn.XLOOKUP($U374,GCA!$H$3:$H$593,GCA!E$3:E$593,"",0,1)="","",_xlfn.XLOOKUP($U374,GCA!$H$3:$H$593,GCA!E$3:E$593,"",0,1))</f>
        <v>5299.0550000000003</v>
      </c>
      <c r="W374" s="3">
        <f>IF(_xlfn.XLOOKUP($U374,GCA!$H$3:$H$593,GCA!F$3:F$593,"",0,1)="","",_xlfn.XLOOKUP($U374,GCA!$H$3:$H$593,GCA!F$3:F$593,"",0,1))</f>
        <v>5201</v>
      </c>
      <c r="X374" s="3">
        <f>IF(_xlfn.XLOOKUP($U374,GCA!$H$3:$H$593,GCA!G$3:G$593,"",0,1)="","",_xlfn.XLOOKUP($U374,GCA!$H$3:$H$593,GCA!G$3:G$593,"",0,1))</f>
        <v>5358.8450000000003</v>
      </c>
    </row>
    <row r="375" spans="1:24" ht="13.2">
      <c r="A375" s="49"/>
      <c r="B375" s="49"/>
      <c r="C375" s="48"/>
      <c r="D375" s="49"/>
      <c r="E375" s="50"/>
      <c r="F375" s="26" t="s">
        <v>842</v>
      </c>
      <c r="G375" s="26" t="s">
        <v>843</v>
      </c>
      <c r="H375" s="27">
        <f t="shared" si="517"/>
        <v>17163.64</v>
      </c>
      <c r="I375" s="27">
        <f t="shared" si="518"/>
        <v>17334.005000000001</v>
      </c>
      <c r="J375" s="27">
        <f t="shared" si="519"/>
        <v>17890.994999999999</v>
      </c>
      <c r="K375" s="27">
        <f t="shared" si="520"/>
        <v>17462.88</v>
      </c>
      <c r="L375" s="65"/>
      <c r="M375" s="67">
        <f t="shared" si="521"/>
        <v>0</v>
      </c>
      <c r="N375" s="65" t="str">
        <f t="shared" si="449"/>
        <v/>
      </c>
      <c r="O375" s="65" t="str">
        <f t="shared" ref="O375:P375" si="525">N375</f>
        <v/>
      </c>
      <c r="P375" s="65" t="str">
        <f t="shared" si="525"/>
        <v/>
      </c>
      <c r="Q375" s="38"/>
      <c r="R375" s="3" t="str">
        <f t="shared" si="524"/>
        <v>Dindigul</v>
      </c>
      <c r="S375" s="3" t="str">
        <f t="shared" si="453"/>
        <v>Dindigul East</v>
      </c>
      <c r="T375" s="3" t="str">
        <f t="shared" si="454"/>
        <v>Sanarpatti</v>
      </c>
      <c r="U375" s="3" t="str">
        <f t="shared" si="455"/>
        <v>Dindigul_Dindigul East_Sanarpatti</v>
      </c>
      <c r="V375" s="3">
        <f>IF(_xlfn.XLOOKUP($U375,GCA!$H$3:$H$593,GCA!E$3:E$593,"",0,1)="","",_xlfn.XLOOKUP($U375,GCA!$H$3:$H$593,GCA!E$3:E$593,"",0,1))</f>
        <v>17163.64</v>
      </c>
      <c r="W375" s="3">
        <f>IF(_xlfn.XLOOKUP($U375,GCA!$H$3:$H$593,GCA!F$3:F$593,"",0,1)="","",_xlfn.XLOOKUP($U375,GCA!$H$3:$H$593,GCA!F$3:F$593,"",0,1))</f>
        <v>17334.005000000001</v>
      </c>
      <c r="X375" s="3">
        <f>IF(_xlfn.XLOOKUP($U375,GCA!$H$3:$H$593,GCA!G$3:G$593,"",0,1)="","",_xlfn.XLOOKUP($U375,GCA!$H$3:$H$593,GCA!G$3:G$593,"",0,1))</f>
        <v>17890.994999999999</v>
      </c>
    </row>
    <row r="376" spans="1:24" ht="13.2">
      <c r="A376" s="49"/>
      <c r="B376" s="49"/>
      <c r="C376" s="48"/>
      <c r="D376" s="49"/>
      <c r="E376" s="50"/>
      <c r="F376" s="26" t="s">
        <v>844</v>
      </c>
      <c r="G376" s="26" t="s">
        <v>239</v>
      </c>
      <c r="H376" s="27">
        <f t="shared" si="517"/>
        <v>3846.1950000000002</v>
      </c>
      <c r="I376" s="27">
        <f t="shared" si="518"/>
        <v>3826.078</v>
      </c>
      <c r="J376" s="27">
        <f t="shared" si="519"/>
        <v>3977.4650000000001</v>
      </c>
      <c r="K376" s="27">
        <f t="shared" si="520"/>
        <v>3883.2460000000005</v>
      </c>
      <c r="L376" s="65"/>
      <c r="M376" s="67">
        <f t="shared" si="521"/>
        <v>0</v>
      </c>
      <c r="N376" s="65" t="str">
        <f t="shared" ref="N376:N467" si="526">IF(M376&gt;=2, ROUND(M376,0), IF(M376&gt;1.1,2,""))</f>
        <v/>
      </c>
      <c r="O376" s="65" t="str">
        <f t="shared" ref="O376:P376" si="527">N376</f>
        <v/>
      </c>
      <c r="P376" s="65" t="str">
        <f t="shared" si="527"/>
        <v/>
      </c>
      <c r="Q376" s="38"/>
      <c r="R376" s="3" t="str">
        <f t="shared" si="524"/>
        <v>Dindigul</v>
      </c>
      <c r="S376" s="3" t="str">
        <f t="shared" si="453"/>
        <v>Dindigul West</v>
      </c>
      <c r="T376" s="3" t="str">
        <f t="shared" si="454"/>
        <v>Dindigul</v>
      </c>
      <c r="U376" s="3" t="str">
        <f t="shared" si="455"/>
        <v>Dindigul_Dindigul West_Dindigul</v>
      </c>
      <c r="V376" s="3">
        <f>IF(_xlfn.XLOOKUP($U376,GCA!$H$3:$H$593,GCA!E$3:E$593,"",0,1)="","",_xlfn.XLOOKUP($U376,GCA!$H$3:$H$593,GCA!E$3:E$593,"",0,1))</f>
        <v>3846.1950000000002</v>
      </c>
      <c r="W376" s="3">
        <f>IF(_xlfn.XLOOKUP($U376,GCA!$H$3:$H$593,GCA!F$3:F$593,"",0,1)="","",_xlfn.XLOOKUP($U376,GCA!$H$3:$H$593,GCA!F$3:F$593,"",0,1))</f>
        <v>3826.078</v>
      </c>
      <c r="X376" s="3">
        <f>IF(_xlfn.XLOOKUP($U376,GCA!$H$3:$H$593,GCA!G$3:G$593,"",0,1)="","",_xlfn.XLOOKUP($U376,GCA!$H$3:$H$593,GCA!G$3:G$593,"",0,1))</f>
        <v>3977.4650000000001</v>
      </c>
    </row>
    <row r="377" spans="1:24" ht="13.2">
      <c r="A377" s="49"/>
      <c r="B377" s="49"/>
      <c r="C377" s="48"/>
      <c r="D377" s="49"/>
      <c r="E377" s="50"/>
      <c r="F377" s="26" t="s">
        <v>844</v>
      </c>
      <c r="G377" s="26" t="s">
        <v>845</v>
      </c>
      <c r="H377" s="27">
        <f t="shared" si="517"/>
        <v>18578.321</v>
      </c>
      <c r="I377" s="27">
        <f t="shared" si="518"/>
        <v>18691.080999999998</v>
      </c>
      <c r="J377" s="27">
        <f t="shared" si="519"/>
        <v>18422.681</v>
      </c>
      <c r="K377" s="27">
        <f t="shared" si="520"/>
        <v>18564.027666666665</v>
      </c>
      <c r="L377" s="65"/>
      <c r="M377" s="67">
        <f t="shared" si="521"/>
        <v>0</v>
      </c>
      <c r="N377" s="65" t="str">
        <f t="shared" si="526"/>
        <v/>
      </c>
      <c r="O377" s="65" t="str">
        <f t="shared" ref="O377:P377" si="528">N377</f>
        <v/>
      </c>
      <c r="P377" s="65" t="str">
        <f t="shared" si="528"/>
        <v/>
      </c>
      <c r="Q377" s="38"/>
      <c r="R377" s="3" t="str">
        <f t="shared" si="524"/>
        <v>Dindigul</v>
      </c>
      <c r="S377" s="3" t="str">
        <f t="shared" ref="S377:S468" si="529">F377</f>
        <v>Dindigul West</v>
      </c>
      <c r="T377" s="3" t="str">
        <f t="shared" ref="T377:T468" si="530">G377</f>
        <v>Reddiarchatram</v>
      </c>
      <c r="U377" s="3" t="str">
        <f t="shared" ref="U377:U468" si="531">CONCATENATE(R377,"_",S377,"_",T377)</f>
        <v>Dindigul_Dindigul West_Reddiarchatram</v>
      </c>
      <c r="V377" s="3">
        <f>IF(_xlfn.XLOOKUP($U377,GCA!$H$3:$H$593,GCA!E$3:E$593,"",0,1)="","",_xlfn.XLOOKUP($U377,GCA!$H$3:$H$593,GCA!E$3:E$593,"",0,1))</f>
        <v>18578.321</v>
      </c>
      <c r="W377" s="3">
        <f>IF(_xlfn.XLOOKUP($U377,GCA!$H$3:$H$593,GCA!F$3:F$593,"",0,1)="","",_xlfn.XLOOKUP($U377,GCA!$H$3:$H$593,GCA!F$3:F$593,"",0,1))</f>
        <v>18691.080999999998</v>
      </c>
      <c r="X377" s="3">
        <f>IF(_xlfn.XLOOKUP($U377,GCA!$H$3:$H$593,GCA!G$3:G$593,"",0,1)="","",_xlfn.XLOOKUP($U377,GCA!$H$3:$H$593,GCA!G$3:G$593,"",0,1))</f>
        <v>18422.681</v>
      </c>
    </row>
    <row r="378" spans="1:24" ht="13.2">
      <c r="A378" s="49"/>
      <c r="B378" s="49"/>
      <c r="C378" s="48"/>
      <c r="D378" s="49"/>
      <c r="E378" s="50">
        <v>2</v>
      </c>
      <c r="F378" s="26" t="s">
        <v>846</v>
      </c>
      <c r="G378" s="26" t="s">
        <v>846</v>
      </c>
      <c r="H378" s="27">
        <f t="shared" si="517"/>
        <v>8779.3649999999998</v>
      </c>
      <c r="I378" s="27">
        <f t="shared" si="518"/>
        <v>9645.41</v>
      </c>
      <c r="J378" s="27">
        <f t="shared" si="519"/>
        <v>10301.853999999999</v>
      </c>
      <c r="K378" s="27">
        <f t="shared" si="520"/>
        <v>9575.5429999999997</v>
      </c>
      <c r="L378" s="65">
        <f>SUM(K378:K381)</f>
        <v>50238.713999999993</v>
      </c>
      <c r="M378" s="67">
        <f t="shared" si="521"/>
        <v>2.1087215649897906</v>
      </c>
      <c r="N378" s="65">
        <f t="shared" si="526"/>
        <v>2</v>
      </c>
      <c r="O378" s="65">
        <f t="shared" ref="O378:P378" si="532">N378</f>
        <v>2</v>
      </c>
      <c r="P378" s="65">
        <f t="shared" si="532"/>
        <v>2</v>
      </c>
      <c r="Q378" s="38"/>
      <c r="R378" s="3" t="str">
        <f t="shared" si="524"/>
        <v>Dindigul</v>
      </c>
      <c r="S378" s="3" t="str">
        <f t="shared" si="529"/>
        <v>Guziliamparai</v>
      </c>
      <c r="T378" s="3" t="str">
        <f t="shared" si="530"/>
        <v>Guziliamparai</v>
      </c>
      <c r="U378" s="3" t="str">
        <f t="shared" si="531"/>
        <v>Dindigul_Guziliamparai_Guziliamparai</v>
      </c>
      <c r="V378" s="3">
        <f>IF(_xlfn.XLOOKUP($U378,GCA!$H$3:$H$593,GCA!E$3:E$593,"",0,1)="","",_xlfn.XLOOKUP($U378,GCA!$H$3:$H$593,GCA!E$3:E$593,"",0,1))</f>
        <v>8779.3649999999998</v>
      </c>
      <c r="W378" s="3">
        <f>IF(_xlfn.XLOOKUP($U378,GCA!$H$3:$H$593,GCA!F$3:F$593,"",0,1)="","",_xlfn.XLOOKUP($U378,GCA!$H$3:$H$593,GCA!F$3:F$593,"",0,1))</f>
        <v>9645.41</v>
      </c>
      <c r="X378" s="3">
        <f>IF(_xlfn.XLOOKUP($U378,GCA!$H$3:$H$593,GCA!G$3:G$593,"",0,1)="","",_xlfn.XLOOKUP($U378,GCA!$H$3:$H$593,GCA!G$3:G$593,"",0,1))</f>
        <v>10301.853999999999</v>
      </c>
    </row>
    <row r="379" spans="1:24" ht="13.2">
      <c r="A379" s="49"/>
      <c r="B379" s="49"/>
      <c r="C379" s="48"/>
      <c r="D379" s="49"/>
      <c r="E379" s="50"/>
      <c r="F379" s="26" t="s">
        <v>846</v>
      </c>
      <c r="G379" s="26" t="s">
        <v>847</v>
      </c>
      <c r="H379" s="27">
        <f t="shared" si="517"/>
        <v>2363.61</v>
      </c>
      <c r="I379" s="27">
        <f t="shared" si="518"/>
        <v>1978.67</v>
      </c>
      <c r="J379" s="27">
        <f t="shared" si="519"/>
        <v>2329.5949999999998</v>
      </c>
      <c r="K379" s="27">
        <f t="shared" si="520"/>
        <v>2223.9583333333335</v>
      </c>
      <c r="L379" s="65"/>
      <c r="M379" s="67">
        <f t="shared" si="521"/>
        <v>0</v>
      </c>
      <c r="N379" s="65" t="str">
        <f t="shared" si="526"/>
        <v/>
      </c>
      <c r="O379" s="65" t="str">
        <f t="shared" ref="O379:P379" si="533">N379</f>
        <v/>
      </c>
      <c r="P379" s="65" t="str">
        <f t="shared" si="533"/>
        <v/>
      </c>
      <c r="Q379" s="38"/>
      <c r="R379" s="3" t="str">
        <f t="shared" si="524"/>
        <v>Dindigul</v>
      </c>
      <c r="S379" s="3" t="str">
        <f t="shared" si="529"/>
        <v>Guziliamparai</v>
      </c>
      <c r="T379" s="3" t="str">
        <f t="shared" si="530"/>
        <v>Vedasandur</v>
      </c>
      <c r="U379" s="3" t="str">
        <f t="shared" si="531"/>
        <v>Dindigul_Guziliamparai_Vedasandur</v>
      </c>
      <c r="V379" s="3">
        <f>IF(_xlfn.XLOOKUP($U379,GCA!$H$3:$H$593,GCA!E$3:E$593,"",0,1)="","",_xlfn.XLOOKUP($U379,GCA!$H$3:$H$593,GCA!E$3:E$593,"",0,1))</f>
        <v>2363.61</v>
      </c>
      <c r="W379" s="3">
        <f>IF(_xlfn.XLOOKUP($U379,GCA!$H$3:$H$593,GCA!F$3:F$593,"",0,1)="","",_xlfn.XLOOKUP($U379,GCA!$H$3:$H$593,GCA!F$3:F$593,"",0,1))</f>
        <v>1978.67</v>
      </c>
      <c r="X379" s="3">
        <f>IF(_xlfn.XLOOKUP($U379,GCA!$H$3:$H$593,GCA!G$3:G$593,"",0,1)="","",_xlfn.XLOOKUP($U379,GCA!$H$3:$H$593,GCA!G$3:G$593,"",0,1))</f>
        <v>2329.5949999999998</v>
      </c>
    </row>
    <row r="380" spans="1:24" ht="13.2">
      <c r="A380" s="49"/>
      <c r="B380" s="49"/>
      <c r="C380" s="48"/>
      <c r="D380" s="49"/>
      <c r="E380" s="50"/>
      <c r="F380" s="26" t="s">
        <v>848</v>
      </c>
      <c r="G380" s="26" t="s">
        <v>849</v>
      </c>
      <c r="H380" s="27">
        <f t="shared" si="517"/>
        <v>19162.994999999999</v>
      </c>
      <c r="I380" s="27">
        <f t="shared" si="518"/>
        <v>19107.044999999998</v>
      </c>
      <c r="J380" s="27">
        <f t="shared" si="519"/>
        <v>18945.883000000002</v>
      </c>
      <c r="K380" s="27">
        <f t="shared" si="520"/>
        <v>19071.974333333332</v>
      </c>
      <c r="L380" s="65"/>
      <c r="M380" s="67">
        <f t="shared" si="521"/>
        <v>0</v>
      </c>
      <c r="N380" s="65" t="str">
        <f t="shared" si="526"/>
        <v/>
      </c>
      <c r="O380" s="65" t="str">
        <f t="shared" ref="O380:P380" si="534">N380</f>
        <v/>
      </c>
      <c r="P380" s="65" t="str">
        <f t="shared" si="534"/>
        <v/>
      </c>
      <c r="Q380" s="38"/>
      <c r="R380" s="3" t="str">
        <f t="shared" si="524"/>
        <v>Dindigul</v>
      </c>
      <c r="S380" s="3" t="str">
        <f t="shared" si="529"/>
        <v>Kodaikanal</v>
      </c>
      <c r="T380" s="3" t="str">
        <f t="shared" si="530"/>
        <v>Kodaikkanal</v>
      </c>
      <c r="U380" s="3" t="str">
        <f t="shared" si="531"/>
        <v>Dindigul_Kodaikanal_Kodaikkanal</v>
      </c>
      <c r="V380" s="3">
        <f>IF(_xlfn.XLOOKUP($U380,GCA!$H$3:$H$593,GCA!E$3:E$593,"",0,1)="","",_xlfn.XLOOKUP($U380,GCA!$H$3:$H$593,GCA!E$3:E$593,"",0,1))</f>
        <v>19162.994999999999</v>
      </c>
      <c r="W380" s="3">
        <f>IF(_xlfn.XLOOKUP($U380,GCA!$H$3:$H$593,GCA!F$3:F$593,"",0,1)="","",_xlfn.XLOOKUP($U380,GCA!$H$3:$H$593,GCA!F$3:F$593,"",0,1))</f>
        <v>19107.044999999998</v>
      </c>
      <c r="X380" s="3">
        <f>IF(_xlfn.XLOOKUP($U380,GCA!$H$3:$H$593,GCA!G$3:G$593,"",0,1)="","",_xlfn.XLOOKUP($U380,GCA!$H$3:$H$593,GCA!G$3:G$593,"",0,1))</f>
        <v>18945.883000000002</v>
      </c>
    </row>
    <row r="381" spans="1:24" ht="13.2">
      <c r="A381" s="49"/>
      <c r="B381" s="49"/>
      <c r="C381" s="48"/>
      <c r="D381" s="49"/>
      <c r="E381" s="50"/>
      <c r="F381" s="26" t="s">
        <v>850</v>
      </c>
      <c r="G381" s="26" t="s">
        <v>850</v>
      </c>
      <c r="H381" s="27">
        <f t="shared" si="517"/>
        <v>19351.825000000001</v>
      </c>
      <c r="I381" s="27">
        <f t="shared" si="518"/>
        <v>19348.957999999999</v>
      </c>
      <c r="J381" s="27">
        <f t="shared" si="519"/>
        <v>19400.932000000001</v>
      </c>
      <c r="K381" s="27">
        <f t="shared" si="520"/>
        <v>19367.238333333331</v>
      </c>
      <c r="L381" s="65"/>
      <c r="M381" s="67">
        <f t="shared" si="521"/>
        <v>0</v>
      </c>
      <c r="N381" s="65" t="str">
        <f t="shared" si="526"/>
        <v/>
      </c>
      <c r="O381" s="65" t="str">
        <f t="shared" ref="O381:P381" si="535">N381</f>
        <v/>
      </c>
      <c r="P381" s="65" t="str">
        <f t="shared" si="535"/>
        <v/>
      </c>
      <c r="Q381" s="38"/>
      <c r="R381" s="3" t="str">
        <f t="shared" si="524"/>
        <v>Dindigul</v>
      </c>
      <c r="S381" s="3" t="str">
        <f t="shared" si="529"/>
        <v>Natham</v>
      </c>
      <c r="T381" s="3" t="str">
        <f t="shared" si="530"/>
        <v>Natham</v>
      </c>
      <c r="U381" s="3" t="str">
        <f t="shared" si="531"/>
        <v>Dindigul_Natham_Natham</v>
      </c>
      <c r="V381" s="3">
        <f>IF(_xlfn.XLOOKUP($U381,GCA!$H$3:$H$593,GCA!E$3:E$593,"",0,1)="","",_xlfn.XLOOKUP($U381,GCA!$H$3:$H$593,GCA!E$3:E$593,"",0,1))</f>
        <v>19351.825000000001</v>
      </c>
      <c r="W381" s="3">
        <f>IF(_xlfn.XLOOKUP($U381,GCA!$H$3:$H$593,GCA!F$3:F$593,"",0,1)="","",_xlfn.XLOOKUP($U381,GCA!$H$3:$H$593,GCA!F$3:F$593,"",0,1))</f>
        <v>19348.957999999999</v>
      </c>
      <c r="X381" s="3">
        <f>IF(_xlfn.XLOOKUP($U381,GCA!$H$3:$H$593,GCA!G$3:G$593,"",0,1)="","",_xlfn.XLOOKUP($U381,GCA!$H$3:$H$593,GCA!G$3:G$593,"",0,1))</f>
        <v>19400.932000000001</v>
      </c>
    </row>
    <row r="382" spans="1:24" ht="13.2">
      <c r="A382" s="49"/>
      <c r="B382" s="49"/>
      <c r="C382" s="48"/>
      <c r="D382" s="49"/>
      <c r="E382" s="50">
        <v>3</v>
      </c>
      <c r="F382" s="26" t="s">
        <v>851</v>
      </c>
      <c r="G382" s="26" t="s">
        <v>852</v>
      </c>
      <c r="H382" s="27">
        <f t="shared" si="517"/>
        <v>6990.0450000000001</v>
      </c>
      <c r="I382" s="27">
        <f t="shared" si="518"/>
        <v>6776.4449999999997</v>
      </c>
      <c r="J382" s="27">
        <f t="shared" si="519"/>
        <v>6511.1049999999996</v>
      </c>
      <c r="K382" s="27">
        <f t="shared" si="520"/>
        <v>6759.1983333333337</v>
      </c>
      <c r="L382" s="65">
        <f>SUM(K382:K385)</f>
        <v>55093.425999999992</v>
      </c>
      <c r="M382" s="67">
        <f t="shared" si="521"/>
        <v>2.3124934188277431</v>
      </c>
      <c r="N382" s="65">
        <f t="shared" si="526"/>
        <v>2</v>
      </c>
      <c r="O382" s="65">
        <f t="shared" ref="O382:P382" si="536">N382</f>
        <v>2</v>
      </c>
      <c r="P382" s="65">
        <f t="shared" si="536"/>
        <v>2</v>
      </c>
      <c r="Q382" s="38"/>
      <c r="R382" s="3" t="str">
        <f t="shared" si="524"/>
        <v>Dindigul</v>
      </c>
      <c r="S382" s="3" t="str">
        <f t="shared" si="529"/>
        <v>Nilakottai</v>
      </c>
      <c r="T382" s="3" t="str">
        <f t="shared" si="530"/>
        <v>Batalgundu</v>
      </c>
      <c r="U382" s="3" t="str">
        <f t="shared" si="531"/>
        <v>Dindigul_Nilakottai_Batalgundu</v>
      </c>
      <c r="V382" s="3">
        <f>IF(_xlfn.XLOOKUP($U382,GCA!$H$3:$H$593,GCA!E$3:E$593,"",0,1)="","",_xlfn.XLOOKUP($U382,GCA!$H$3:$H$593,GCA!E$3:E$593,"",0,1))</f>
        <v>6990.0450000000001</v>
      </c>
      <c r="W382" s="3">
        <f>IF(_xlfn.XLOOKUP($U382,GCA!$H$3:$H$593,GCA!F$3:F$593,"",0,1)="","",_xlfn.XLOOKUP($U382,GCA!$H$3:$H$593,GCA!F$3:F$593,"",0,1))</f>
        <v>6776.4449999999997</v>
      </c>
      <c r="X382" s="3">
        <f>IF(_xlfn.XLOOKUP($U382,GCA!$H$3:$H$593,GCA!G$3:G$593,"",0,1)="","",_xlfn.XLOOKUP($U382,GCA!$H$3:$H$593,GCA!G$3:G$593,"",0,1))</f>
        <v>6511.1049999999996</v>
      </c>
    </row>
    <row r="383" spans="1:24" ht="13.2">
      <c r="A383" s="49"/>
      <c r="B383" s="49"/>
      <c r="C383" s="48"/>
      <c r="D383" s="49"/>
      <c r="E383" s="50"/>
      <c r="F383" s="26" t="s">
        <v>851</v>
      </c>
      <c r="G383" s="26" t="s">
        <v>851</v>
      </c>
      <c r="H383" s="27">
        <f t="shared" si="517"/>
        <v>10125.27</v>
      </c>
      <c r="I383" s="27">
        <f t="shared" si="518"/>
        <v>9792.36</v>
      </c>
      <c r="J383" s="27">
        <f t="shared" si="519"/>
        <v>10184.379999999999</v>
      </c>
      <c r="K383" s="27">
        <f t="shared" si="520"/>
        <v>10034.003333333334</v>
      </c>
      <c r="L383" s="65"/>
      <c r="M383" s="67">
        <f t="shared" si="521"/>
        <v>0</v>
      </c>
      <c r="N383" s="65" t="str">
        <f t="shared" si="526"/>
        <v/>
      </c>
      <c r="O383" s="65" t="str">
        <f t="shared" ref="O383:P383" si="537">N383</f>
        <v/>
      </c>
      <c r="P383" s="65" t="str">
        <f t="shared" si="537"/>
        <v/>
      </c>
      <c r="Q383" s="38"/>
      <c r="R383" s="3" t="str">
        <f t="shared" si="524"/>
        <v>Dindigul</v>
      </c>
      <c r="S383" s="3" t="str">
        <f t="shared" si="529"/>
        <v>Nilakottai</v>
      </c>
      <c r="T383" s="3" t="str">
        <f t="shared" si="530"/>
        <v>Nilakottai</v>
      </c>
      <c r="U383" s="3" t="str">
        <f t="shared" si="531"/>
        <v>Dindigul_Nilakottai_Nilakottai</v>
      </c>
      <c r="V383" s="3">
        <f>IF(_xlfn.XLOOKUP($U383,GCA!$H$3:$H$593,GCA!E$3:E$593,"",0,1)="","",_xlfn.XLOOKUP($U383,GCA!$H$3:$H$593,GCA!E$3:E$593,"",0,1))</f>
        <v>10125.27</v>
      </c>
      <c r="W383" s="3">
        <f>IF(_xlfn.XLOOKUP($U383,GCA!$H$3:$H$593,GCA!F$3:F$593,"",0,1)="","",_xlfn.XLOOKUP($U383,GCA!$H$3:$H$593,GCA!F$3:F$593,"",0,1))</f>
        <v>9792.36</v>
      </c>
      <c r="X383" s="3">
        <f>IF(_xlfn.XLOOKUP($U383,GCA!$H$3:$H$593,GCA!G$3:G$593,"",0,1)="","",_xlfn.XLOOKUP($U383,GCA!$H$3:$H$593,GCA!G$3:G$593,"",0,1))</f>
        <v>10184.379999999999</v>
      </c>
    </row>
    <row r="384" spans="1:24" ht="13.2">
      <c r="A384" s="49"/>
      <c r="B384" s="49"/>
      <c r="C384" s="48"/>
      <c r="D384" s="49"/>
      <c r="E384" s="50"/>
      <c r="F384" s="26" t="s">
        <v>853</v>
      </c>
      <c r="G384" s="26" t="s">
        <v>854</v>
      </c>
      <c r="H384" s="27">
        <f t="shared" si="517"/>
        <v>19033.535</v>
      </c>
      <c r="I384" s="27">
        <f t="shared" si="518"/>
        <v>21323.083999999999</v>
      </c>
      <c r="J384" s="27">
        <f t="shared" si="519"/>
        <v>21439.149000000001</v>
      </c>
      <c r="K384" s="27">
        <f t="shared" si="520"/>
        <v>20598.589333333333</v>
      </c>
      <c r="L384" s="65"/>
      <c r="M384" s="67">
        <f t="shared" si="521"/>
        <v>0</v>
      </c>
      <c r="N384" s="65" t="str">
        <f t="shared" si="526"/>
        <v/>
      </c>
      <c r="O384" s="65" t="str">
        <f t="shared" ref="O384:P384" si="538">N384</f>
        <v/>
      </c>
      <c r="P384" s="65" t="str">
        <f t="shared" si="538"/>
        <v/>
      </c>
      <c r="Q384" s="38"/>
      <c r="R384" s="3" t="str">
        <f t="shared" si="524"/>
        <v>Dindigul</v>
      </c>
      <c r="S384" s="3" t="str">
        <f t="shared" si="529"/>
        <v>Odanchathram</v>
      </c>
      <c r="T384" s="3" t="str">
        <f t="shared" si="530"/>
        <v>Oddanchathram</v>
      </c>
      <c r="U384" s="3" t="str">
        <f t="shared" si="531"/>
        <v>Dindigul_Odanchathram_Oddanchathram</v>
      </c>
      <c r="V384" s="3">
        <f>IF(_xlfn.XLOOKUP($U384,GCA!$H$3:$H$593,GCA!E$3:E$593,"",0,1)="","",_xlfn.XLOOKUP($U384,GCA!$H$3:$H$593,GCA!E$3:E$593,"",0,1))</f>
        <v>19033.535</v>
      </c>
      <c r="W384" s="3">
        <f>IF(_xlfn.XLOOKUP($U384,GCA!$H$3:$H$593,GCA!F$3:F$593,"",0,1)="","",_xlfn.XLOOKUP($U384,GCA!$H$3:$H$593,GCA!F$3:F$593,"",0,1))</f>
        <v>21323.083999999999</v>
      </c>
      <c r="X384" s="3">
        <f>IF(_xlfn.XLOOKUP($U384,GCA!$H$3:$H$593,GCA!G$3:G$593,"",0,1)="","",_xlfn.XLOOKUP($U384,GCA!$H$3:$H$593,GCA!G$3:G$593,"",0,1))</f>
        <v>21439.149000000001</v>
      </c>
    </row>
    <row r="385" spans="1:24" ht="13.2">
      <c r="A385" s="49"/>
      <c r="B385" s="49"/>
      <c r="C385" s="48"/>
      <c r="D385" s="49"/>
      <c r="E385" s="50"/>
      <c r="F385" s="26" t="s">
        <v>853</v>
      </c>
      <c r="G385" s="26" t="s">
        <v>855</v>
      </c>
      <c r="H385" s="27">
        <f t="shared" si="517"/>
        <v>17599.395</v>
      </c>
      <c r="I385" s="27">
        <f t="shared" si="518"/>
        <v>17803.165000000001</v>
      </c>
      <c r="J385" s="27">
        <f t="shared" si="519"/>
        <v>17702.345000000001</v>
      </c>
      <c r="K385" s="27">
        <f t="shared" si="520"/>
        <v>17701.634999999998</v>
      </c>
      <c r="L385" s="65"/>
      <c r="M385" s="67">
        <f t="shared" si="521"/>
        <v>0</v>
      </c>
      <c r="N385" s="65" t="str">
        <f t="shared" si="526"/>
        <v/>
      </c>
      <c r="O385" s="65" t="str">
        <f t="shared" ref="O385:P385" si="539">N385</f>
        <v/>
      </c>
      <c r="P385" s="65" t="str">
        <f t="shared" si="539"/>
        <v/>
      </c>
      <c r="Q385" s="38"/>
      <c r="R385" s="3" t="str">
        <f t="shared" si="524"/>
        <v>Dindigul</v>
      </c>
      <c r="S385" s="3" t="str">
        <f t="shared" si="529"/>
        <v>Odanchathram</v>
      </c>
      <c r="T385" s="3" t="str">
        <f t="shared" si="530"/>
        <v>Thoppampatti</v>
      </c>
      <c r="U385" s="3" t="str">
        <f t="shared" si="531"/>
        <v>Dindigul_Odanchathram_Thoppampatti</v>
      </c>
      <c r="V385" s="3">
        <f>IF(_xlfn.XLOOKUP($U385,GCA!$H$3:$H$593,GCA!E$3:E$593,"",0,1)="","",_xlfn.XLOOKUP($U385,GCA!$H$3:$H$593,GCA!E$3:E$593,"",0,1))</f>
        <v>17599.395</v>
      </c>
      <c r="W385" s="3">
        <f>IF(_xlfn.XLOOKUP($U385,GCA!$H$3:$H$593,GCA!F$3:F$593,"",0,1)="","",_xlfn.XLOOKUP($U385,GCA!$H$3:$H$593,GCA!F$3:F$593,"",0,1))</f>
        <v>17803.165000000001</v>
      </c>
      <c r="X385" s="3">
        <f>IF(_xlfn.XLOOKUP($U385,GCA!$H$3:$H$593,GCA!G$3:G$593,"",0,1)="","",_xlfn.XLOOKUP($U385,GCA!$H$3:$H$593,GCA!G$3:G$593,"",0,1))</f>
        <v>17702.345000000001</v>
      </c>
    </row>
    <row r="386" spans="1:24" ht="13.2">
      <c r="A386" s="49"/>
      <c r="B386" s="49"/>
      <c r="C386" s="48"/>
      <c r="D386" s="49"/>
      <c r="E386" s="50">
        <v>4</v>
      </c>
      <c r="F386" s="26" t="s">
        <v>856</v>
      </c>
      <c r="G386" s="26" t="s">
        <v>856</v>
      </c>
      <c r="H386" s="27">
        <f t="shared" si="517"/>
        <v>24157.988000000001</v>
      </c>
      <c r="I386" s="27">
        <f t="shared" si="518"/>
        <v>23919.809000000001</v>
      </c>
      <c r="J386" s="27">
        <f t="shared" si="519"/>
        <v>24257.805</v>
      </c>
      <c r="K386" s="27">
        <f t="shared" si="520"/>
        <v>24111.867333333339</v>
      </c>
      <c r="L386" s="65">
        <f>SUM(K386:K389)</f>
        <v>60313.504000000008</v>
      </c>
      <c r="M386" s="67">
        <f t="shared" si="521"/>
        <v>2.5316011581207674</v>
      </c>
      <c r="N386" s="65">
        <f t="shared" si="526"/>
        <v>3</v>
      </c>
      <c r="O386" s="65">
        <f t="shared" ref="O386:P386" si="540">N386</f>
        <v>3</v>
      </c>
      <c r="P386" s="65">
        <f t="shared" si="540"/>
        <v>3</v>
      </c>
      <c r="Q386" s="38"/>
      <c r="R386" s="3" t="str">
        <f t="shared" si="524"/>
        <v>Dindigul</v>
      </c>
      <c r="S386" s="3" t="str">
        <f t="shared" si="529"/>
        <v>Palani</v>
      </c>
      <c r="T386" s="3" t="str">
        <f t="shared" si="530"/>
        <v>Palani</v>
      </c>
      <c r="U386" s="3" t="str">
        <f t="shared" si="531"/>
        <v>Dindigul_Palani_Palani</v>
      </c>
      <c r="V386" s="3">
        <f>IF(_xlfn.XLOOKUP($U386,GCA!$H$3:$H$593,GCA!E$3:E$593,"",0,1)="","",_xlfn.XLOOKUP($U386,GCA!$H$3:$H$593,GCA!E$3:E$593,"",0,1))</f>
        <v>24157.988000000001</v>
      </c>
      <c r="W386" s="3">
        <f>IF(_xlfn.XLOOKUP($U386,GCA!$H$3:$H$593,GCA!F$3:F$593,"",0,1)="","",_xlfn.XLOOKUP($U386,GCA!$H$3:$H$593,GCA!F$3:F$593,"",0,1))</f>
        <v>23919.809000000001</v>
      </c>
      <c r="X386" s="3">
        <f>IF(_xlfn.XLOOKUP($U386,GCA!$H$3:$H$593,GCA!G$3:G$593,"",0,1)="","",_xlfn.XLOOKUP($U386,GCA!$H$3:$H$593,GCA!G$3:G$593,"",0,1))</f>
        <v>24257.805</v>
      </c>
    </row>
    <row r="387" spans="1:24" ht="13.2">
      <c r="A387" s="49"/>
      <c r="B387" s="49"/>
      <c r="C387" s="48"/>
      <c r="D387" s="49"/>
      <c r="E387" s="50"/>
      <c r="F387" s="26" t="s">
        <v>856</v>
      </c>
      <c r="G387" s="26" t="s">
        <v>855</v>
      </c>
      <c r="H387" s="27">
        <f t="shared" si="517"/>
        <v>17931.77</v>
      </c>
      <c r="I387" s="27">
        <f t="shared" si="518"/>
        <v>17447.72</v>
      </c>
      <c r="J387" s="27">
        <f t="shared" si="519"/>
        <v>17976.21</v>
      </c>
      <c r="K387" s="27">
        <f t="shared" si="520"/>
        <v>17785.233333333334</v>
      </c>
      <c r="L387" s="65"/>
      <c r="M387" s="67">
        <f t="shared" si="521"/>
        <v>0</v>
      </c>
      <c r="N387" s="65" t="str">
        <f t="shared" si="526"/>
        <v/>
      </c>
      <c r="O387" s="65" t="str">
        <f t="shared" ref="O387:P387" si="541">N387</f>
        <v/>
      </c>
      <c r="P387" s="65" t="str">
        <f t="shared" si="541"/>
        <v/>
      </c>
      <c r="Q387" s="38"/>
      <c r="R387" s="3" t="str">
        <f t="shared" si="524"/>
        <v>Dindigul</v>
      </c>
      <c r="S387" s="3" t="str">
        <f t="shared" si="529"/>
        <v>Palani</v>
      </c>
      <c r="T387" s="3" t="str">
        <f t="shared" si="530"/>
        <v>Thoppampatti</v>
      </c>
      <c r="U387" s="3" t="str">
        <f t="shared" si="531"/>
        <v>Dindigul_Palani_Thoppampatti</v>
      </c>
      <c r="V387" s="3">
        <f>IF(_xlfn.XLOOKUP($U387,GCA!$H$3:$H$593,GCA!E$3:E$593,"",0,1)="","",_xlfn.XLOOKUP($U387,GCA!$H$3:$H$593,GCA!E$3:E$593,"",0,1))</f>
        <v>17931.77</v>
      </c>
      <c r="W387" s="3">
        <f>IF(_xlfn.XLOOKUP($U387,GCA!$H$3:$H$593,GCA!F$3:F$593,"",0,1)="","",_xlfn.XLOOKUP($U387,GCA!$H$3:$H$593,GCA!F$3:F$593,"",0,1))</f>
        <v>17447.72</v>
      </c>
      <c r="X387" s="3">
        <f>IF(_xlfn.XLOOKUP($U387,GCA!$H$3:$H$593,GCA!G$3:G$593,"",0,1)="","",_xlfn.XLOOKUP($U387,GCA!$H$3:$H$593,GCA!G$3:G$593,"",0,1))</f>
        <v>17976.21</v>
      </c>
    </row>
    <row r="388" spans="1:24" ht="13.2">
      <c r="A388" s="49"/>
      <c r="B388" s="49"/>
      <c r="C388" s="48"/>
      <c r="D388" s="49"/>
      <c r="E388" s="50"/>
      <c r="F388" s="26" t="s">
        <v>847</v>
      </c>
      <c r="G388" s="26" t="s">
        <v>857</v>
      </c>
      <c r="H388" s="27">
        <f t="shared" si="517"/>
        <v>9708.4699999999993</v>
      </c>
      <c r="I388" s="27">
        <f t="shared" si="518"/>
        <v>10217.264999999999</v>
      </c>
      <c r="J388" s="27">
        <f t="shared" si="519"/>
        <v>10434.075000000001</v>
      </c>
      <c r="K388" s="27">
        <f t="shared" si="520"/>
        <v>10119.936666666666</v>
      </c>
      <c r="L388" s="65"/>
      <c r="M388" s="67">
        <f t="shared" si="521"/>
        <v>0</v>
      </c>
      <c r="N388" s="65" t="str">
        <f t="shared" si="526"/>
        <v/>
      </c>
      <c r="O388" s="65" t="str">
        <f t="shared" ref="O388:P388" si="542">N388</f>
        <v/>
      </c>
      <c r="P388" s="65" t="str">
        <f t="shared" si="542"/>
        <v/>
      </c>
      <c r="Q388" s="38"/>
      <c r="R388" s="3" t="str">
        <f t="shared" si="524"/>
        <v>Dindigul</v>
      </c>
      <c r="S388" s="3" t="str">
        <f t="shared" si="529"/>
        <v>Vedasandur</v>
      </c>
      <c r="T388" s="3" t="str">
        <f t="shared" si="530"/>
        <v>Vadamadurai</v>
      </c>
      <c r="U388" s="3" t="str">
        <f t="shared" si="531"/>
        <v>Dindigul_Vedasandur_Vadamadurai</v>
      </c>
      <c r="V388" s="3">
        <f>IF(_xlfn.XLOOKUP($U388,GCA!$H$3:$H$593,GCA!E$3:E$593,"",0,1)="","",_xlfn.XLOOKUP($U388,GCA!$H$3:$H$593,GCA!E$3:E$593,"",0,1))</f>
        <v>9708.4699999999993</v>
      </c>
      <c r="W388" s="3">
        <f>IF(_xlfn.XLOOKUP($U388,GCA!$H$3:$H$593,GCA!F$3:F$593,"",0,1)="","",_xlfn.XLOOKUP($U388,GCA!$H$3:$H$593,GCA!F$3:F$593,"",0,1))</f>
        <v>10217.264999999999</v>
      </c>
      <c r="X388" s="3">
        <f>IF(_xlfn.XLOOKUP($U388,GCA!$H$3:$H$593,GCA!G$3:G$593,"",0,1)="","",_xlfn.XLOOKUP($U388,GCA!$H$3:$H$593,GCA!G$3:G$593,"",0,1))</f>
        <v>10434.075000000001</v>
      </c>
    </row>
    <row r="389" spans="1:24" ht="13.2">
      <c r="A389" s="49"/>
      <c r="B389" s="49"/>
      <c r="C389" s="48"/>
      <c r="D389" s="49"/>
      <c r="E389" s="50"/>
      <c r="F389" s="26" t="s">
        <v>847</v>
      </c>
      <c r="G389" s="26" t="s">
        <v>847</v>
      </c>
      <c r="H389" s="27">
        <f t="shared" si="517"/>
        <v>8919.14</v>
      </c>
      <c r="I389" s="27">
        <f t="shared" si="518"/>
        <v>7934.57</v>
      </c>
      <c r="J389" s="27">
        <f t="shared" si="519"/>
        <v>8035.69</v>
      </c>
      <c r="K389" s="27">
        <f t="shared" si="520"/>
        <v>8296.4666666666653</v>
      </c>
      <c r="L389" s="65"/>
      <c r="M389" s="67">
        <f t="shared" si="521"/>
        <v>0</v>
      </c>
      <c r="N389" s="65" t="str">
        <f t="shared" si="526"/>
        <v/>
      </c>
      <c r="O389" s="65" t="str">
        <f t="shared" ref="O389:P389" si="543">N389</f>
        <v/>
      </c>
      <c r="P389" s="65" t="str">
        <f t="shared" si="543"/>
        <v/>
      </c>
      <c r="Q389" s="38"/>
      <c r="R389" s="3" t="str">
        <f t="shared" si="524"/>
        <v>Dindigul</v>
      </c>
      <c r="S389" s="3" t="str">
        <f t="shared" si="529"/>
        <v>Vedasandur</v>
      </c>
      <c r="T389" s="3" t="str">
        <f t="shared" si="530"/>
        <v>Vedasandur</v>
      </c>
      <c r="U389" s="3" t="str">
        <f t="shared" si="531"/>
        <v>Dindigul_Vedasandur_Vedasandur</v>
      </c>
      <c r="V389" s="3">
        <f>IF(_xlfn.XLOOKUP($U389,GCA!$H$3:$H$593,GCA!E$3:E$593,"",0,1)="","",_xlfn.XLOOKUP($U389,GCA!$H$3:$H$593,GCA!E$3:E$593,"",0,1))</f>
        <v>8919.14</v>
      </c>
      <c r="W389" s="3">
        <f>IF(_xlfn.XLOOKUP($U389,GCA!$H$3:$H$593,GCA!F$3:F$593,"",0,1)="","",_xlfn.XLOOKUP($U389,GCA!$H$3:$H$593,GCA!F$3:F$593,"",0,1))</f>
        <v>7934.57</v>
      </c>
      <c r="X389" s="3">
        <f>IF(_xlfn.XLOOKUP($U389,GCA!$H$3:$H$593,GCA!G$3:G$593,"",0,1)="","",_xlfn.XLOOKUP($U389,GCA!$H$3:$H$593,GCA!G$3:G$593,"",0,1))</f>
        <v>8035.69</v>
      </c>
    </row>
    <row r="390" spans="1:24" ht="13.2">
      <c r="A390" s="49"/>
      <c r="B390" s="49"/>
      <c r="C390" s="48"/>
      <c r="D390" s="49"/>
      <c r="E390" s="47" t="s">
        <v>564</v>
      </c>
      <c r="F390" s="47"/>
      <c r="G390" s="47"/>
      <c r="H390" s="29">
        <f t="shared" ref="H390:P390" si="544">SUM(H373:H389)</f>
        <v>222552.19899999996</v>
      </c>
      <c r="I390" s="29">
        <f t="shared" si="544"/>
        <v>224203.51</v>
      </c>
      <c r="J390" s="29">
        <f t="shared" si="544"/>
        <v>226981.62899999999</v>
      </c>
      <c r="K390" s="29">
        <f t="shared" si="544"/>
        <v>224579.11266666668</v>
      </c>
      <c r="L390" s="29">
        <f t="shared" si="544"/>
        <v>224579.11266666668</v>
      </c>
      <c r="M390" s="30">
        <f t="shared" si="544"/>
        <v>9.4264916479842977</v>
      </c>
      <c r="N390" s="31">
        <f t="shared" si="544"/>
        <v>9</v>
      </c>
      <c r="O390" s="31">
        <f t="shared" si="544"/>
        <v>9</v>
      </c>
      <c r="P390" s="31">
        <f t="shared" si="544"/>
        <v>9</v>
      </c>
      <c r="Q390" s="38"/>
      <c r="R390" s="3" t="str">
        <f t="shared" si="524"/>
        <v>Dindigul</v>
      </c>
      <c r="S390" s="3">
        <f t="shared" si="529"/>
        <v>0</v>
      </c>
      <c r="T390" s="3">
        <f t="shared" si="530"/>
        <v>0</v>
      </c>
      <c r="U390" s="3" t="str">
        <f t="shared" si="531"/>
        <v>Dindigul_0_0</v>
      </c>
      <c r="V390" s="3" t="str">
        <f>IF(_xlfn.XLOOKUP($U390,GCA!$H$3:$H$593,GCA!E$3:E$593,"",0,1)="","",_xlfn.XLOOKUP($U390,GCA!$H$3:$H$593,GCA!E$3:E$593,"",0,1))</f>
        <v/>
      </c>
      <c r="W390" s="3" t="str">
        <f>IF(_xlfn.XLOOKUP($U390,GCA!$H$3:$H$593,GCA!F$3:F$593,"",0,1)="","",_xlfn.XLOOKUP($U390,GCA!$H$3:$H$593,GCA!F$3:F$593,"",0,1))</f>
        <v/>
      </c>
      <c r="X390" s="3" t="str">
        <f>IF(_xlfn.XLOOKUP($U390,GCA!$H$3:$H$593,GCA!G$3:G$593,"",0,1)="","",_xlfn.XLOOKUP($U390,GCA!$H$3:$H$593,GCA!G$3:G$593,"",0,1))</f>
        <v/>
      </c>
    </row>
    <row r="391" spans="1:24" ht="13.2">
      <c r="A391" s="49"/>
      <c r="B391" s="49"/>
      <c r="C391" s="48" t="s">
        <v>247</v>
      </c>
      <c r="D391" s="49" t="s">
        <v>551</v>
      </c>
      <c r="E391" s="50">
        <v>1</v>
      </c>
      <c r="F391" s="26" t="s">
        <v>968</v>
      </c>
      <c r="G391" s="26" t="s">
        <v>968</v>
      </c>
      <c r="H391" s="27">
        <f t="shared" ref="H391:H415" si="545">V391</f>
        <v>13739.362999999999</v>
      </c>
      <c r="I391" s="27">
        <f t="shared" ref="I391:I415" si="546">W391</f>
        <v>14095.355</v>
      </c>
      <c r="J391" s="27">
        <f t="shared" ref="J391:J415" si="547">X391</f>
        <v>14144.828</v>
      </c>
      <c r="K391" s="27">
        <f t="shared" ref="K391:K415" si="548">IFERROR(AVERAGE(H391:J391),"")</f>
        <v>13993.182000000001</v>
      </c>
      <c r="L391" s="65">
        <f>SUM(K391:K397)</f>
        <v>60014.549333333336</v>
      </c>
      <c r="M391" s="67">
        <f t="shared" ref="M391:M415" si="549">L391*$L$643/$L$642</f>
        <v>2.5190528243287371</v>
      </c>
      <c r="N391" s="65">
        <f>IF(M391&gt;=2, ROUND(M391,0), IF(M391&gt;1.1,2,""))</f>
        <v>3</v>
      </c>
      <c r="O391" s="65">
        <f t="shared" ref="O391:O415" si="550">N391</f>
        <v>3</v>
      </c>
      <c r="P391" s="65">
        <f t="shared" ref="P391:P415" si="551">O391</f>
        <v>3</v>
      </c>
      <c r="Q391" s="38"/>
      <c r="R391" s="3" t="str">
        <f t="shared" ref="R391" si="552">C391</f>
        <v>Sivagangai</v>
      </c>
      <c r="S391" s="3" t="str">
        <f t="shared" si="529"/>
        <v>Devakottai</v>
      </c>
      <c r="T391" s="3" t="str">
        <f t="shared" si="530"/>
        <v>Devakottai</v>
      </c>
      <c r="U391" s="3" t="str">
        <f t="shared" si="531"/>
        <v>Sivagangai_Devakottai_Devakottai</v>
      </c>
      <c r="V391" s="3">
        <f>IF(_xlfn.XLOOKUP($U391,GCA!$H$3:$H$593,GCA!E$3:E$593,"",0,1)="","",_xlfn.XLOOKUP($U391,GCA!$H$3:$H$593,GCA!E$3:E$593,"",0,1))</f>
        <v>13739.362999999999</v>
      </c>
      <c r="W391" s="3">
        <f>IF(_xlfn.XLOOKUP($U391,GCA!$H$3:$H$593,GCA!F$3:F$593,"",0,1)="","",_xlfn.XLOOKUP($U391,GCA!$H$3:$H$593,GCA!F$3:F$593,"",0,1))</f>
        <v>14095.355</v>
      </c>
      <c r="X391" s="3">
        <f>IF(_xlfn.XLOOKUP($U391,GCA!$H$3:$H$593,GCA!G$3:G$593,"",0,1)="","",_xlfn.XLOOKUP($U391,GCA!$H$3:$H$593,GCA!G$3:G$593,"",0,1))</f>
        <v>14144.828</v>
      </c>
    </row>
    <row r="392" spans="1:24" ht="13.2">
      <c r="A392" s="49"/>
      <c r="B392" s="49"/>
      <c r="C392" s="48"/>
      <c r="D392" s="49"/>
      <c r="E392" s="50"/>
      <c r="F392" s="26" t="s">
        <v>968</v>
      </c>
      <c r="G392" s="26" t="s">
        <v>969</v>
      </c>
      <c r="H392" s="27">
        <f t="shared" si="545"/>
        <v>7323.8950000000004</v>
      </c>
      <c r="I392" s="27">
        <f t="shared" si="546"/>
        <v>7292.375</v>
      </c>
      <c r="J392" s="27">
        <f t="shared" si="547"/>
        <v>7337.835</v>
      </c>
      <c r="K392" s="27">
        <f t="shared" si="548"/>
        <v>7318.0349999999999</v>
      </c>
      <c r="L392" s="65"/>
      <c r="M392" s="67">
        <f t="shared" si="549"/>
        <v>0</v>
      </c>
      <c r="N392" s="65" t="str">
        <f t="shared" ref="N392:N415" si="553">IF(M392&gt;=2, ROUND(M392,0), IF(M392&gt;1.1,2,""))</f>
        <v/>
      </c>
      <c r="O392" s="65" t="str">
        <f t="shared" si="550"/>
        <v/>
      </c>
      <c r="P392" s="65" t="str">
        <f t="shared" si="551"/>
        <v/>
      </c>
      <c r="Q392" s="38"/>
      <c r="R392" s="3" t="str">
        <f t="shared" ref="R392:R416" si="554">R391</f>
        <v>Sivagangai</v>
      </c>
      <c r="S392" s="3" t="str">
        <f t="shared" si="529"/>
        <v>Devakottai</v>
      </c>
      <c r="T392" s="3" t="str">
        <f t="shared" si="530"/>
        <v>Kannangudi</v>
      </c>
      <c r="U392" s="3" t="str">
        <f t="shared" si="531"/>
        <v>Sivagangai_Devakottai_Kannangudi</v>
      </c>
      <c r="V392" s="3">
        <f>IF(_xlfn.XLOOKUP($U392,GCA!$H$3:$H$593,GCA!E$3:E$593,"",0,1)="","",_xlfn.XLOOKUP($U392,GCA!$H$3:$H$593,GCA!E$3:E$593,"",0,1))</f>
        <v>7323.8950000000004</v>
      </c>
      <c r="W392" s="3">
        <f>IF(_xlfn.XLOOKUP($U392,GCA!$H$3:$H$593,GCA!F$3:F$593,"",0,1)="","",_xlfn.XLOOKUP($U392,GCA!$H$3:$H$593,GCA!F$3:F$593,"",0,1))</f>
        <v>7292.375</v>
      </c>
      <c r="X392" s="3">
        <f>IF(_xlfn.XLOOKUP($U392,GCA!$H$3:$H$593,GCA!G$3:G$593,"",0,1)="","",_xlfn.XLOOKUP($U392,GCA!$H$3:$H$593,GCA!G$3:G$593,"",0,1))</f>
        <v>7337.835</v>
      </c>
    </row>
    <row r="393" spans="1:24" ht="13.2">
      <c r="A393" s="49"/>
      <c r="B393" s="49"/>
      <c r="C393" s="48"/>
      <c r="D393" s="49"/>
      <c r="E393" s="50"/>
      <c r="F393" s="26" t="s">
        <v>970</v>
      </c>
      <c r="G393" s="26" t="s">
        <v>970</v>
      </c>
      <c r="H393" s="27">
        <f t="shared" si="545"/>
        <v>22210.008000000002</v>
      </c>
      <c r="I393" s="27">
        <f t="shared" si="546"/>
        <v>22075.054</v>
      </c>
      <c r="J393" s="27">
        <f t="shared" si="547"/>
        <v>21963.969000000001</v>
      </c>
      <c r="K393" s="27">
        <f t="shared" si="548"/>
        <v>22083.010333333335</v>
      </c>
      <c r="L393" s="65"/>
      <c r="M393" s="67">
        <f t="shared" si="549"/>
        <v>0</v>
      </c>
      <c r="N393" s="65" t="str">
        <f t="shared" si="553"/>
        <v/>
      </c>
      <c r="O393" s="65" t="str">
        <f t="shared" si="550"/>
        <v/>
      </c>
      <c r="P393" s="65" t="str">
        <f t="shared" si="551"/>
        <v/>
      </c>
      <c r="Q393" s="38"/>
      <c r="R393" s="3" t="str">
        <f t="shared" si="554"/>
        <v>Sivagangai</v>
      </c>
      <c r="S393" s="3" t="str">
        <f t="shared" si="529"/>
        <v>Ilayangudi</v>
      </c>
      <c r="T393" s="3" t="str">
        <f t="shared" si="530"/>
        <v>Ilayangudi</v>
      </c>
      <c r="U393" s="3" t="str">
        <f t="shared" si="531"/>
        <v>Sivagangai_Ilayangudi_Ilayangudi</v>
      </c>
      <c r="V393" s="3">
        <f>IF(_xlfn.XLOOKUP($U393,GCA!$H$3:$H$593,GCA!E$3:E$593,"",0,1)="","",_xlfn.XLOOKUP($U393,GCA!$H$3:$H$593,GCA!E$3:E$593,"",0,1))</f>
        <v>22210.008000000002</v>
      </c>
      <c r="W393" s="3">
        <f>IF(_xlfn.XLOOKUP($U393,GCA!$H$3:$H$593,GCA!F$3:F$593,"",0,1)="","",_xlfn.XLOOKUP($U393,GCA!$H$3:$H$593,GCA!F$3:F$593,"",0,1))</f>
        <v>22075.054</v>
      </c>
      <c r="X393" s="3">
        <f>IF(_xlfn.XLOOKUP($U393,GCA!$H$3:$H$593,GCA!G$3:G$593,"",0,1)="","",_xlfn.XLOOKUP($U393,GCA!$H$3:$H$593,GCA!G$3:G$593,"",0,1))</f>
        <v>21963.969000000001</v>
      </c>
    </row>
    <row r="394" spans="1:24" ht="13.2">
      <c r="A394" s="49"/>
      <c r="B394" s="49"/>
      <c r="C394" s="48"/>
      <c r="D394" s="49"/>
      <c r="E394" s="50"/>
      <c r="F394" s="26" t="s">
        <v>971</v>
      </c>
      <c r="G394" s="26" t="s">
        <v>970</v>
      </c>
      <c r="H394" s="27">
        <f t="shared" si="545"/>
        <v>353.21499999999997</v>
      </c>
      <c r="I394" s="27">
        <f t="shared" si="546"/>
        <v>358.92</v>
      </c>
      <c r="J394" s="27">
        <f t="shared" si="547"/>
        <v>363.05500000000001</v>
      </c>
      <c r="K394" s="27">
        <f t="shared" si="548"/>
        <v>358.3966666666667</v>
      </c>
      <c r="L394" s="65"/>
      <c r="M394" s="67">
        <f t="shared" si="549"/>
        <v>0</v>
      </c>
      <c r="N394" s="65" t="str">
        <f t="shared" si="553"/>
        <v/>
      </c>
      <c r="O394" s="65" t="str">
        <f t="shared" si="550"/>
        <v/>
      </c>
      <c r="P394" s="65" t="str">
        <f t="shared" si="551"/>
        <v/>
      </c>
      <c r="Q394" s="38"/>
      <c r="R394" s="3" t="str">
        <f t="shared" si="554"/>
        <v>Sivagangai</v>
      </c>
      <c r="S394" s="3" t="str">
        <f t="shared" si="529"/>
        <v>Kalayarkoil</v>
      </c>
      <c r="T394" s="3" t="str">
        <f t="shared" si="530"/>
        <v>Ilayangudi</v>
      </c>
      <c r="U394" s="3" t="str">
        <f t="shared" si="531"/>
        <v>Sivagangai_Kalayarkoil_Ilayangudi</v>
      </c>
      <c r="V394" s="3">
        <f>IF(_xlfn.XLOOKUP($U394,GCA!$H$3:$H$593,GCA!E$3:E$593,"",0,1)="","",_xlfn.XLOOKUP($U394,GCA!$H$3:$H$593,GCA!E$3:E$593,"",0,1))</f>
        <v>353.21499999999997</v>
      </c>
      <c r="W394" s="3">
        <f>IF(_xlfn.XLOOKUP($U394,GCA!$H$3:$H$593,GCA!F$3:F$593,"",0,1)="","",_xlfn.XLOOKUP($U394,GCA!$H$3:$H$593,GCA!F$3:F$593,"",0,1))</f>
        <v>358.92</v>
      </c>
      <c r="X394" s="3">
        <f>IF(_xlfn.XLOOKUP($U394,GCA!$H$3:$H$593,GCA!G$3:G$593,"",0,1)="","",_xlfn.XLOOKUP($U394,GCA!$H$3:$H$593,GCA!G$3:G$593,"",0,1))</f>
        <v>363.05500000000001</v>
      </c>
    </row>
    <row r="395" spans="1:24" ht="13.2">
      <c r="A395" s="49"/>
      <c r="B395" s="49"/>
      <c r="C395" s="48"/>
      <c r="D395" s="49"/>
      <c r="E395" s="50"/>
      <c r="F395" s="26" t="s">
        <v>971</v>
      </c>
      <c r="G395" s="26" t="s">
        <v>971</v>
      </c>
      <c r="H395" s="27">
        <f t="shared" si="545"/>
        <v>15599.15</v>
      </c>
      <c r="I395" s="27">
        <f t="shared" si="546"/>
        <v>15569.045</v>
      </c>
      <c r="J395" s="27">
        <f t="shared" si="547"/>
        <v>15639.116</v>
      </c>
      <c r="K395" s="27">
        <f t="shared" si="548"/>
        <v>15602.437</v>
      </c>
      <c r="L395" s="65"/>
      <c r="M395" s="67">
        <f t="shared" si="549"/>
        <v>0</v>
      </c>
      <c r="N395" s="65" t="str">
        <f t="shared" si="553"/>
        <v/>
      </c>
      <c r="O395" s="65" t="str">
        <f t="shared" si="550"/>
        <v/>
      </c>
      <c r="P395" s="65" t="str">
        <f t="shared" si="551"/>
        <v/>
      </c>
      <c r="Q395" s="38"/>
      <c r="R395" s="3" t="str">
        <f t="shared" si="554"/>
        <v>Sivagangai</v>
      </c>
      <c r="S395" s="3" t="str">
        <f t="shared" si="529"/>
        <v>Kalayarkoil</v>
      </c>
      <c r="T395" s="3" t="str">
        <f t="shared" si="530"/>
        <v>Kalayarkoil</v>
      </c>
      <c r="U395" s="3" t="str">
        <f t="shared" si="531"/>
        <v>Sivagangai_Kalayarkoil_Kalayarkoil</v>
      </c>
      <c r="V395" s="3">
        <f>IF(_xlfn.XLOOKUP($U395,GCA!$H$3:$H$593,GCA!E$3:E$593,"",0,1)="","",_xlfn.XLOOKUP($U395,GCA!$H$3:$H$593,GCA!E$3:E$593,"",0,1))</f>
        <v>15599.15</v>
      </c>
      <c r="W395" s="3">
        <f>IF(_xlfn.XLOOKUP($U395,GCA!$H$3:$H$593,GCA!F$3:F$593,"",0,1)="","",_xlfn.XLOOKUP($U395,GCA!$H$3:$H$593,GCA!F$3:F$593,"",0,1))</f>
        <v>15569.045</v>
      </c>
      <c r="X395" s="3">
        <f>IF(_xlfn.XLOOKUP($U395,GCA!$H$3:$H$593,GCA!G$3:G$593,"",0,1)="","",_xlfn.XLOOKUP($U395,GCA!$H$3:$H$593,GCA!G$3:G$593,"",0,1))</f>
        <v>15639.116</v>
      </c>
    </row>
    <row r="396" spans="1:24" ht="13.2">
      <c r="A396" s="49"/>
      <c r="B396" s="49"/>
      <c r="C396" s="48"/>
      <c r="D396" s="49"/>
      <c r="E396" s="50"/>
      <c r="F396" s="26" t="s">
        <v>971</v>
      </c>
      <c r="G396" s="26" t="s">
        <v>972</v>
      </c>
      <c r="H396" s="27">
        <f t="shared" si="545"/>
        <v>199.01499999999999</v>
      </c>
      <c r="I396" s="27">
        <f t="shared" si="546"/>
        <v>202.72</v>
      </c>
      <c r="J396" s="27">
        <f t="shared" si="547"/>
        <v>217.73</v>
      </c>
      <c r="K396" s="27">
        <f t="shared" si="548"/>
        <v>206.48833333333334</v>
      </c>
      <c r="L396" s="65"/>
      <c r="M396" s="67">
        <f t="shared" si="549"/>
        <v>0</v>
      </c>
      <c r="N396" s="65" t="str">
        <f t="shared" si="553"/>
        <v/>
      </c>
      <c r="O396" s="65" t="str">
        <f t="shared" si="550"/>
        <v/>
      </c>
      <c r="P396" s="65" t="str">
        <f t="shared" si="551"/>
        <v/>
      </c>
      <c r="Q396" s="38"/>
      <c r="R396" s="3" t="str">
        <f t="shared" si="554"/>
        <v>Sivagangai</v>
      </c>
      <c r="S396" s="3" t="str">
        <f t="shared" si="529"/>
        <v>Kalayarkoil</v>
      </c>
      <c r="T396" s="3" t="str">
        <f t="shared" si="530"/>
        <v>Kallal</v>
      </c>
      <c r="U396" s="3" t="str">
        <f t="shared" si="531"/>
        <v>Sivagangai_Kalayarkoil_Kallal</v>
      </c>
      <c r="V396" s="3">
        <f>IF(_xlfn.XLOOKUP($U396,GCA!$H$3:$H$593,GCA!E$3:E$593,"",0,1)="","",_xlfn.XLOOKUP($U396,GCA!$H$3:$H$593,GCA!E$3:E$593,"",0,1))</f>
        <v>199.01499999999999</v>
      </c>
      <c r="W396" s="3">
        <f>IF(_xlfn.XLOOKUP($U396,GCA!$H$3:$H$593,GCA!F$3:F$593,"",0,1)="","",_xlfn.XLOOKUP($U396,GCA!$H$3:$H$593,GCA!F$3:F$593,"",0,1))</f>
        <v>202.72</v>
      </c>
      <c r="X396" s="3">
        <f>IF(_xlfn.XLOOKUP($U396,GCA!$H$3:$H$593,GCA!G$3:G$593,"",0,1)="","",_xlfn.XLOOKUP($U396,GCA!$H$3:$H$593,GCA!G$3:G$593,"",0,1))</f>
        <v>217.73</v>
      </c>
    </row>
    <row r="397" spans="1:24" ht="13.2">
      <c r="A397" s="49"/>
      <c r="B397" s="49"/>
      <c r="C397" s="48"/>
      <c r="D397" s="49"/>
      <c r="E397" s="50"/>
      <c r="F397" s="26" t="s">
        <v>971</v>
      </c>
      <c r="G397" s="26" t="s">
        <v>973</v>
      </c>
      <c r="H397" s="27">
        <f t="shared" si="545"/>
        <v>456.73</v>
      </c>
      <c r="I397" s="27">
        <f t="shared" si="546"/>
        <v>451.76499999999999</v>
      </c>
      <c r="J397" s="27">
        <f t="shared" si="547"/>
        <v>450.505</v>
      </c>
      <c r="K397" s="27">
        <f t="shared" si="548"/>
        <v>453</v>
      </c>
      <c r="L397" s="65"/>
      <c r="M397" s="67">
        <f t="shared" si="549"/>
        <v>0</v>
      </c>
      <c r="N397" s="65" t="str">
        <f t="shared" si="553"/>
        <v/>
      </c>
      <c r="O397" s="65" t="str">
        <f t="shared" si="550"/>
        <v/>
      </c>
      <c r="P397" s="65" t="str">
        <f t="shared" si="551"/>
        <v/>
      </c>
      <c r="Q397" s="38"/>
      <c r="R397" s="3" t="str">
        <f t="shared" si="554"/>
        <v>Sivagangai</v>
      </c>
      <c r="S397" s="3" t="str">
        <f t="shared" si="529"/>
        <v>Kalayarkoil</v>
      </c>
      <c r="T397" s="3" t="str">
        <f t="shared" si="530"/>
        <v>Manamadurai</v>
      </c>
      <c r="U397" s="3" t="str">
        <f t="shared" si="531"/>
        <v>Sivagangai_Kalayarkoil_Manamadurai</v>
      </c>
      <c r="V397" s="3">
        <f>IF(_xlfn.XLOOKUP($U397,GCA!$H$3:$H$593,GCA!E$3:E$593,"",0,1)="","",_xlfn.XLOOKUP($U397,GCA!$H$3:$H$593,GCA!E$3:E$593,"",0,1))</f>
        <v>456.73</v>
      </c>
      <c r="W397" s="3">
        <f>IF(_xlfn.XLOOKUP($U397,GCA!$H$3:$H$593,GCA!F$3:F$593,"",0,1)="","",_xlfn.XLOOKUP($U397,GCA!$H$3:$H$593,GCA!F$3:F$593,"",0,1))</f>
        <v>451.76499999999999</v>
      </c>
      <c r="X397" s="3">
        <f>IF(_xlfn.XLOOKUP($U397,GCA!$H$3:$H$593,GCA!G$3:G$593,"",0,1)="","",_xlfn.XLOOKUP($U397,GCA!$H$3:$H$593,GCA!G$3:G$593,"",0,1))</f>
        <v>450.505</v>
      </c>
    </row>
    <row r="398" spans="1:24" ht="13.2">
      <c r="A398" s="49"/>
      <c r="B398" s="49"/>
      <c r="C398" s="48"/>
      <c r="D398" s="49"/>
      <c r="E398" s="50">
        <v>2</v>
      </c>
      <c r="F398" s="26" t="s">
        <v>974</v>
      </c>
      <c r="G398" s="26" t="s">
        <v>971</v>
      </c>
      <c r="H398" s="27">
        <f t="shared" si="545"/>
        <v>40.121000000000002</v>
      </c>
      <c r="I398" s="27">
        <f t="shared" si="546"/>
        <v>60.17</v>
      </c>
      <c r="J398" s="27">
        <f t="shared" si="547"/>
        <v>70.814999999999998</v>
      </c>
      <c r="K398" s="27">
        <f t="shared" si="548"/>
        <v>57.035333333333334</v>
      </c>
      <c r="L398" s="65">
        <f>SUM(K398:K415)</f>
        <v>49204.270666666671</v>
      </c>
      <c r="M398" s="67">
        <f t="shared" si="549"/>
        <v>2.0653018037920834</v>
      </c>
      <c r="N398" s="65">
        <f t="shared" si="553"/>
        <v>2</v>
      </c>
      <c r="O398" s="65">
        <f t="shared" si="550"/>
        <v>2</v>
      </c>
      <c r="P398" s="65">
        <f t="shared" si="551"/>
        <v>2</v>
      </c>
      <c r="Q398" s="38"/>
      <c r="R398" s="3" t="str">
        <f t="shared" si="554"/>
        <v>Sivagangai</v>
      </c>
      <c r="S398" s="3" t="str">
        <f t="shared" si="529"/>
        <v>Karaikudi</v>
      </c>
      <c r="T398" s="3" t="str">
        <f t="shared" si="530"/>
        <v>Kalayarkoil</v>
      </c>
      <c r="U398" s="3" t="str">
        <f t="shared" si="531"/>
        <v>Sivagangai_Karaikudi_Kalayarkoil</v>
      </c>
      <c r="V398" s="3">
        <f>IF(_xlfn.XLOOKUP($U398,GCA!$H$3:$H$593,GCA!E$3:E$593,"",0,1)="","",_xlfn.XLOOKUP($U398,GCA!$H$3:$H$593,GCA!E$3:E$593,"",0,1))</f>
        <v>40.121000000000002</v>
      </c>
      <c r="W398" s="3">
        <f>IF(_xlfn.XLOOKUP($U398,GCA!$H$3:$H$593,GCA!F$3:F$593,"",0,1)="","",_xlfn.XLOOKUP($U398,GCA!$H$3:$H$593,GCA!F$3:F$593,"",0,1))</f>
        <v>60.17</v>
      </c>
      <c r="X398" s="3">
        <f>IF(_xlfn.XLOOKUP($U398,GCA!$H$3:$H$593,GCA!G$3:G$593,"",0,1)="","",_xlfn.XLOOKUP($U398,GCA!$H$3:$H$593,GCA!G$3:G$593,"",0,1))</f>
        <v>70.814999999999998</v>
      </c>
    </row>
    <row r="399" spans="1:24" ht="13.2">
      <c r="A399" s="49"/>
      <c r="B399" s="49"/>
      <c r="C399" s="48"/>
      <c r="D399" s="49"/>
      <c r="E399" s="50"/>
      <c r="F399" s="26" t="s">
        <v>974</v>
      </c>
      <c r="G399" s="26" t="s">
        <v>972</v>
      </c>
      <c r="H399" s="27">
        <f t="shared" si="545"/>
        <v>3538.8</v>
      </c>
      <c r="I399" s="27">
        <f t="shared" si="546"/>
        <v>3503.99</v>
      </c>
      <c r="J399" s="27">
        <f t="shared" si="547"/>
        <v>3426.3150000000001</v>
      </c>
      <c r="K399" s="27">
        <f t="shared" si="548"/>
        <v>3489.7016666666664</v>
      </c>
      <c r="L399" s="65"/>
      <c r="M399" s="67">
        <f t="shared" si="549"/>
        <v>0</v>
      </c>
      <c r="N399" s="65" t="str">
        <f t="shared" si="553"/>
        <v/>
      </c>
      <c r="O399" s="65" t="str">
        <f t="shared" si="550"/>
        <v/>
      </c>
      <c r="P399" s="65" t="str">
        <f t="shared" si="551"/>
        <v/>
      </c>
      <c r="Q399" s="38"/>
      <c r="R399" s="3" t="str">
        <f t="shared" si="554"/>
        <v>Sivagangai</v>
      </c>
      <c r="S399" s="3" t="str">
        <f t="shared" si="529"/>
        <v>Karaikudi</v>
      </c>
      <c r="T399" s="3" t="str">
        <f t="shared" si="530"/>
        <v>Kallal</v>
      </c>
      <c r="U399" s="3" t="str">
        <f t="shared" si="531"/>
        <v>Sivagangai_Karaikudi_Kallal</v>
      </c>
      <c r="V399" s="3">
        <f>IF(_xlfn.XLOOKUP($U399,GCA!$H$3:$H$593,GCA!E$3:E$593,"",0,1)="","",_xlfn.XLOOKUP($U399,GCA!$H$3:$H$593,GCA!E$3:E$593,"",0,1))</f>
        <v>3538.8</v>
      </c>
      <c r="W399" s="3">
        <f>IF(_xlfn.XLOOKUP($U399,GCA!$H$3:$H$593,GCA!F$3:F$593,"",0,1)="","",_xlfn.XLOOKUP($U399,GCA!$H$3:$H$593,GCA!F$3:F$593,"",0,1))</f>
        <v>3503.99</v>
      </c>
      <c r="X399" s="3">
        <f>IF(_xlfn.XLOOKUP($U399,GCA!$H$3:$H$593,GCA!G$3:G$593,"",0,1)="","",_xlfn.XLOOKUP($U399,GCA!$H$3:$H$593,GCA!G$3:G$593,"",0,1))</f>
        <v>3426.3150000000001</v>
      </c>
    </row>
    <row r="400" spans="1:24" ht="13.2">
      <c r="A400" s="49"/>
      <c r="B400" s="49"/>
      <c r="C400" s="48"/>
      <c r="D400" s="49"/>
      <c r="E400" s="50"/>
      <c r="F400" s="26" t="s">
        <v>974</v>
      </c>
      <c r="G400" s="26" t="s">
        <v>975</v>
      </c>
      <c r="H400" s="27">
        <f t="shared" si="545"/>
        <v>6239.24</v>
      </c>
      <c r="I400" s="27">
        <f t="shared" si="546"/>
        <v>6698.3149999999996</v>
      </c>
      <c r="J400" s="27">
        <f t="shared" si="547"/>
        <v>6838.6949999999997</v>
      </c>
      <c r="K400" s="27">
        <f t="shared" si="548"/>
        <v>6592.083333333333</v>
      </c>
      <c r="L400" s="65"/>
      <c r="M400" s="67">
        <f t="shared" si="549"/>
        <v>0</v>
      </c>
      <c r="N400" s="65" t="str">
        <f t="shared" si="553"/>
        <v/>
      </c>
      <c r="O400" s="65" t="str">
        <f t="shared" si="550"/>
        <v/>
      </c>
      <c r="P400" s="65" t="str">
        <f t="shared" si="551"/>
        <v/>
      </c>
      <c r="Q400" s="38"/>
      <c r="R400" s="3" t="str">
        <f t="shared" si="554"/>
        <v>Sivagangai</v>
      </c>
      <c r="S400" s="3" t="str">
        <f t="shared" si="529"/>
        <v>Karaikudi</v>
      </c>
      <c r="T400" s="3" t="str">
        <f t="shared" si="530"/>
        <v>Sakkottai</v>
      </c>
      <c r="U400" s="3" t="str">
        <f t="shared" si="531"/>
        <v>Sivagangai_Karaikudi_Sakkottai</v>
      </c>
      <c r="V400" s="3">
        <f>IF(_xlfn.XLOOKUP($U400,GCA!$H$3:$H$593,GCA!E$3:E$593,"",0,1)="","",_xlfn.XLOOKUP($U400,GCA!$H$3:$H$593,GCA!E$3:E$593,"",0,1))</f>
        <v>6239.24</v>
      </c>
      <c r="W400" s="3">
        <f>IF(_xlfn.XLOOKUP($U400,GCA!$H$3:$H$593,GCA!F$3:F$593,"",0,1)="","",_xlfn.XLOOKUP($U400,GCA!$H$3:$H$593,GCA!F$3:F$593,"",0,1))</f>
        <v>6698.3149999999996</v>
      </c>
      <c r="X400" s="3">
        <f>IF(_xlfn.XLOOKUP($U400,GCA!$H$3:$H$593,GCA!G$3:G$593,"",0,1)="","",_xlfn.XLOOKUP($U400,GCA!$H$3:$H$593,GCA!G$3:G$593,"",0,1))</f>
        <v>6838.6949999999997</v>
      </c>
    </row>
    <row r="401" spans="1:24" ht="13.2">
      <c r="A401" s="49"/>
      <c r="B401" s="49"/>
      <c r="C401" s="48"/>
      <c r="D401" s="49"/>
      <c r="E401" s="50"/>
      <c r="F401" s="26" t="s">
        <v>973</v>
      </c>
      <c r="G401" s="26" t="s">
        <v>970</v>
      </c>
      <c r="H401" s="27">
        <f t="shared" si="545"/>
        <v>508.63</v>
      </c>
      <c r="I401" s="27">
        <f t="shared" si="546"/>
        <v>512.38499999999999</v>
      </c>
      <c r="J401" s="27">
        <f t="shared" si="547"/>
        <v>535.57000000000005</v>
      </c>
      <c r="K401" s="27">
        <f t="shared" si="548"/>
        <v>518.86166666666668</v>
      </c>
      <c r="L401" s="65"/>
      <c r="M401" s="67">
        <f t="shared" si="549"/>
        <v>0</v>
      </c>
      <c r="N401" s="65" t="str">
        <f t="shared" si="553"/>
        <v/>
      </c>
      <c r="O401" s="65" t="str">
        <f t="shared" si="550"/>
        <v/>
      </c>
      <c r="P401" s="65" t="str">
        <f t="shared" si="551"/>
        <v/>
      </c>
      <c r="Q401" s="38"/>
      <c r="R401" s="3" t="str">
        <f t="shared" si="554"/>
        <v>Sivagangai</v>
      </c>
      <c r="S401" s="3" t="str">
        <f t="shared" si="529"/>
        <v>Manamadurai</v>
      </c>
      <c r="T401" s="3" t="str">
        <f t="shared" si="530"/>
        <v>Ilayangudi</v>
      </c>
      <c r="U401" s="3" t="str">
        <f t="shared" si="531"/>
        <v>Sivagangai_Manamadurai_Ilayangudi</v>
      </c>
      <c r="V401" s="3">
        <f>IF(_xlfn.XLOOKUP($U401,GCA!$H$3:$H$593,GCA!E$3:E$593,"",0,1)="","",_xlfn.XLOOKUP($U401,GCA!$H$3:$H$593,GCA!E$3:E$593,"",0,1))</f>
        <v>508.63</v>
      </c>
      <c r="W401" s="3">
        <f>IF(_xlfn.XLOOKUP($U401,GCA!$H$3:$H$593,GCA!F$3:F$593,"",0,1)="","",_xlfn.XLOOKUP($U401,GCA!$H$3:$H$593,GCA!F$3:F$593,"",0,1))</f>
        <v>512.38499999999999</v>
      </c>
      <c r="X401" s="3">
        <f>IF(_xlfn.XLOOKUP($U401,GCA!$H$3:$H$593,GCA!G$3:G$593,"",0,1)="","",_xlfn.XLOOKUP($U401,GCA!$H$3:$H$593,GCA!G$3:G$593,"",0,1))</f>
        <v>535.57000000000005</v>
      </c>
    </row>
    <row r="402" spans="1:24" ht="13.2">
      <c r="A402" s="49"/>
      <c r="B402" s="49"/>
      <c r="C402" s="48"/>
      <c r="D402" s="49"/>
      <c r="E402" s="50"/>
      <c r="F402" s="26" t="s">
        <v>973</v>
      </c>
      <c r="G402" s="26" t="s">
        <v>973</v>
      </c>
      <c r="H402" s="27">
        <f t="shared" si="545"/>
        <v>7415.9650000000001</v>
      </c>
      <c r="I402" s="27">
        <f t="shared" si="546"/>
        <v>7234.4</v>
      </c>
      <c r="J402" s="27">
        <f t="shared" si="547"/>
        <v>6960.53</v>
      </c>
      <c r="K402" s="27">
        <f t="shared" si="548"/>
        <v>7203.6316666666671</v>
      </c>
      <c r="L402" s="65"/>
      <c r="M402" s="67">
        <f t="shared" si="549"/>
        <v>0</v>
      </c>
      <c r="N402" s="65" t="str">
        <f t="shared" si="553"/>
        <v/>
      </c>
      <c r="O402" s="65" t="str">
        <f t="shared" si="550"/>
        <v/>
      </c>
      <c r="P402" s="65" t="str">
        <f t="shared" si="551"/>
        <v/>
      </c>
      <c r="Q402" s="38"/>
      <c r="R402" s="3" t="str">
        <f t="shared" si="554"/>
        <v>Sivagangai</v>
      </c>
      <c r="S402" s="3" t="str">
        <f t="shared" si="529"/>
        <v>Manamadurai</v>
      </c>
      <c r="T402" s="3" t="str">
        <f t="shared" si="530"/>
        <v>Manamadurai</v>
      </c>
      <c r="U402" s="3" t="str">
        <f t="shared" si="531"/>
        <v>Sivagangai_Manamadurai_Manamadurai</v>
      </c>
      <c r="V402" s="3">
        <f>IF(_xlfn.XLOOKUP($U402,GCA!$H$3:$H$593,GCA!E$3:E$593,"",0,1)="","",_xlfn.XLOOKUP($U402,GCA!$H$3:$H$593,GCA!E$3:E$593,"",0,1))</f>
        <v>7415.9650000000001</v>
      </c>
      <c r="W402" s="3">
        <f>IF(_xlfn.XLOOKUP($U402,GCA!$H$3:$H$593,GCA!F$3:F$593,"",0,1)="","",_xlfn.XLOOKUP($U402,GCA!$H$3:$H$593,GCA!F$3:F$593,"",0,1))</f>
        <v>7234.4</v>
      </c>
      <c r="X402" s="3">
        <f>IF(_xlfn.XLOOKUP($U402,GCA!$H$3:$H$593,GCA!G$3:G$593,"",0,1)="","",_xlfn.XLOOKUP($U402,GCA!$H$3:$H$593,GCA!G$3:G$593,"",0,1))</f>
        <v>6960.53</v>
      </c>
    </row>
    <row r="403" spans="1:24" ht="13.2">
      <c r="A403" s="49"/>
      <c r="B403" s="49"/>
      <c r="C403" s="48"/>
      <c r="D403" s="49"/>
      <c r="E403" s="50"/>
      <c r="F403" s="26" t="s">
        <v>973</v>
      </c>
      <c r="G403" s="26" t="s">
        <v>976</v>
      </c>
      <c r="H403" s="27">
        <f t="shared" si="545"/>
        <v>414.88</v>
      </c>
      <c r="I403" s="27">
        <f t="shared" si="546"/>
        <v>451.67500000000001</v>
      </c>
      <c r="J403" s="27">
        <f t="shared" si="547"/>
        <v>410.85500000000002</v>
      </c>
      <c r="K403" s="27">
        <f t="shared" si="548"/>
        <v>425.80333333333334</v>
      </c>
      <c r="L403" s="65"/>
      <c r="M403" s="67">
        <f t="shared" si="549"/>
        <v>0</v>
      </c>
      <c r="N403" s="65" t="str">
        <f t="shared" si="553"/>
        <v/>
      </c>
      <c r="O403" s="65" t="str">
        <f t="shared" si="550"/>
        <v/>
      </c>
      <c r="P403" s="65" t="str">
        <f t="shared" si="551"/>
        <v/>
      </c>
      <c r="Q403" s="38"/>
      <c r="R403" s="3" t="str">
        <f t="shared" si="554"/>
        <v>Sivagangai</v>
      </c>
      <c r="S403" s="3" t="str">
        <f t="shared" si="529"/>
        <v>Manamadurai</v>
      </c>
      <c r="T403" s="3" t="str">
        <f t="shared" si="530"/>
        <v>Thiruppuvanam</v>
      </c>
      <c r="U403" s="3" t="str">
        <f t="shared" si="531"/>
        <v>Sivagangai_Manamadurai_Thiruppuvanam</v>
      </c>
      <c r="V403" s="3">
        <f>IF(_xlfn.XLOOKUP($U403,GCA!$H$3:$H$593,GCA!E$3:E$593,"",0,1)="","",_xlfn.XLOOKUP($U403,GCA!$H$3:$H$593,GCA!E$3:E$593,"",0,1))</f>
        <v>414.88</v>
      </c>
      <c r="W403" s="3">
        <f>IF(_xlfn.XLOOKUP($U403,GCA!$H$3:$H$593,GCA!F$3:F$593,"",0,1)="","",_xlfn.XLOOKUP($U403,GCA!$H$3:$H$593,GCA!F$3:F$593,"",0,1))</f>
        <v>451.67500000000001</v>
      </c>
      <c r="X403" s="3">
        <f>IF(_xlfn.XLOOKUP($U403,GCA!$H$3:$H$593,GCA!G$3:G$593,"",0,1)="","",_xlfn.XLOOKUP($U403,GCA!$H$3:$H$593,GCA!G$3:G$593,"",0,1))</f>
        <v>410.85500000000002</v>
      </c>
    </row>
    <row r="404" spans="1:24" ht="13.2">
      <c r="A404" s="49"/>
      <c r="B404" s="49"/>
      <c r="C404" s="48"/>
      <c r="D404" s="49"/>
      <c r="E404" s="50"/>
      <c r="F404" s="26" t="s">
        <v>977</v>
      </c>
      <c r="G404" s="26" t="s">
        <v>978</v>
      </c>
      <c r="H404" s="27">
        <f t="shared" si="545"/>
        <v>4426.67</v>
      </c>
      <c r="I404" s="27">
        <f t="shared" si="546"/>
        <v>4388.5600000000004</v>
      </c>
      <c r="J404" s="27">
        <f t="shared" si="547"/>
        <v>4215.835</v>
      </c>
      <c r="K404" s="27">
        <f t="shared" si="548"/>
        <v>4343.6883333333326</v>
      </c>
      <c r="L404" s="65"/>
      <c r="M404" s="67">
        <f t="shared" si="549"/>
        <v>0</v>
      </c>
      <c r="N404" s="65" t="str">
        <f t="shared" si="553"/>
        <v/>
      </c>
      <c r="O404" s="65" t="str">
        <f t="shared" si="550"/>
        <v/>
      </c>
      <c r="P404" s="65" t="str">
        <f t="shared" si="551"/>
        <v/>
      </c>
      <c r="Q404" s="38"/>
      <c r="R404" s="3" t="str">
        <f t="shared" si="554"/>
        <v>Sivagangai</v>
      </c>
      <c r="S404" s="3" t="str">
        <f t="shared" si="529"/>
        <v>Singampunari</v>
      </c>
      <c r="T404" s="3" t="str">
        <f t="shared" si="530"/>
        <v>S.Pudhur</v>
      </c>
      <c r="U404" s="3" t="str">
        <f t="shared" si="531"/>
        <v>Sivagangai_Singampunari_S.Pudhur</v>
      </c>
      <c r="V404" s="3">
        <f>IF(_xlfn.XLOOKUP($U404,GCA!$H$3:$H$593,GCA!E$3:E$593,"",0,1)="","",_xlfn.XLOOKUP($U404,GCA!$H$3:$H$593,GCA!E$3:E$593,"",0,1))</f>
        <v>4426.67</v>
      </c>
      <c r="W404" s="3">
        <f>IF(_xlfn.XLOOKUP($U404,GCA!$H$3:$H$593,GCA!F$3:F$593,"",0,1)="","",_xlfn.XLOOKUP($U404,GCA!$H$3:$H$593,GCA!F$3:F$593,"",0,1))</f>
        <v>4388.5600000000004</v>
      </c>
      <c r="X404" s="3">
        <f>IF(_xlfn.XLOOKUP($U404,GCA!$H$3:$H$593,GCA!G$3:G$593,"",0,1)="","",_xlfn.XLOOKUP($U404,GCA!$H$3:$H$593,GCA!G$3:G$593,"",0,1))</f>
        <v>4215.835</v>
      </c>
    </row>
    <row r="405" spans="1:24" ht="13.2">
      <c r="A405" s="49"/>
      <c r="B405" s="49"/>
      <c r="C405" s="48"/>
      <c r="D405" s="49"/>
      <c r="E405" s="50"/>
      <c r="F405" s="26" t="s">
        <v>977</v>
      </c>
      <c r="G405" s="26" t="s">
        <v>977</v>
      </c>
      <c r="H405" s="27">
        <f t="shared" si="545"/>
        <v>4830.9799999999996</v>
      </c>
      <c r="I405" s="27">
        <f t="shared" si="546"/>
        <v>3883.9949999999999</v>
      </c>
      <c r="J405" s="27">
        <f t="shared" si="547"/>
        <v>4683.67</v>
      </c>
      <c r="K405" s="27">
        <f t="shared" si="548"/>
        <v>4466.2149999999992</v>
      </c>
      <c r="L405" s="65"/>
      <c r="M405" s="67">
        <f t="shared" si="549"/>
        <v>0</v>
      </c>
      <c r="N405" s="65" t="str">
        <f t="shared" si="553"/>
        <v/>
      </c>
      <c r="O405" s="65" t="str">
        <f t="shared" si="550"/>
        <v/>
      </c>
      <c r="P405" s="65" t="str">
        <f t="shared" si="551"/>
        <v/>
      </c>
      <c r="Q405" s="38"/>
      <c r="R405" s="3" t="str">
        <f t="shared" si="554"/>
        <v>Sivagangai</v>
      </c>
      <c r="S405" s="3" t="str">
        <f t="shared" si="529"/>
        <v>Singampunari</v>
      </c>
      <c r="T405" s="3" t="str">
        <f t="shared" si="530"/>
        <v>Singampunari</v>
      </c>
      <c r="U405" s="3" t="str">
        <f t="shared" si="531"/>
        <v>Sivagangai_Singampunari_Singampunari</v>
      </c>
      <c r="V405" s="3">
        <f>IF(_xlfn.XLOOKUP($U405,GCA!$H$3:$H$593,GCA!E$3:E$593,"",0,1)="","",_xlfn.XLOOKUP($U405,GCA!$H$3:$H$593,GCA!E$3:E$593,"",0,1))</f>
        <v>4830.9799999999996</v>
      </c>
      <c r="W405" s="3">
        <f>IF(_xlfn.XLOOKUP($U405,GCA!$H$3:$H$593,GCA!F$3:F$593,"",0,1)="","",_xlfn.XLOOKUP($U405,GCA!$H$3:$H$593,GCA!F$3:F$593,"",0,1))</f>
        <v>3883.9949999999999</v>
      </c>
      <c r="X405" s="3">
        <f>IF(_xlfn.XLOOKUP($U405,GCA!$H$3:$H$593,GCA!G$3:G$593,"",0,1)="","",_xlfn.XLOOKUP($U405,GCA!$H$3:$H$593,GCA!G$3:G$593,"",0,1))</f>
        <v>4683.67</v>
      </c>
    </row>
    <row r="406" spans="1:24" ht="13.2">
      <c r="A406" s="49"/>
      <c r="B406" s="49"/>
      <c r="C406" s="48"/>
      <c r="D406" s="49"/>
      <c r="E406" s="50"/>
      <c r="F406" s="26" t="s">
        <v>247</v>
      </c>
      <c r="G406" s="26" t="s">
        <v>971</v>
      </c>
      <c r="H406" s="27">
        <f t="shared" si="545"/>
        <v>1168.3820000000001</v>
      </c>
      <c r="I406" s="27">
        <f t="shared" si="546"/>
        <v>1026.8399999999999</v>
      </c>
      <c r="J406" s="27">
        <f t="shared" si="547"/>
        <v>1192.27</v>
      </c>
      <c r="K406" s="27">
        <f t="shared" si="548"/>
        <v>1129.164</v>
      </c>
      <c r="L406" s="65"/>
      <c r="M406" s="67">
        <f t="shared" si="549"/>
        <v>0</v>
      </c>
      <c r="N406" s="65" t="str">
        <f t="shared" si="553"/>
        <v/>
      </c>
      <c r="O406" s="65" t="str">
        <f t="shared" si="550"/>
        <v/>
      </c>
      <c r="P406" s="65" t="str">
        <f t="shared" si="551"/>
        <v/>
      </c>
      <c r="Q406" s="38"/>
      <c r="R406" s="3" t="str">
        <f t="shared" si="554"/>
        <v>Sivagangai</v>
      </c>
      <c r="S406" s="3" t="str">
        <f t="shared" si="529"/>
        <v>Sivagangai</v>
      </c>
      <c r="T406" s="3" t="str">
        <f t="shared" si="530"/>
        <v>Kalayarkoil</v>
      </c>
      <c r="U406" s="3" t="str">
        <f t="shared" si="531"/>
        <v>Sivagangai_Sivagangai_Kalayarkoil</v>
      </c>
      <c r="V406" s="3">
        <f>IF(_xlfn.XLOOKUP($U406,GCA!$H$3:$H$593,GCA!E$3:E$593,"",0,1)="","",_xlfn.XLOOKUP($U406,GCA!$H$3:$H$593,GCA!E$3:E$593,"",0,1))</f>
        <v>1168.3820000000001</v>
      </c>
      <c r="W406" s="3">
        <f>IF(_xlfn.XLOOKUP($U406,GCA!$H$3:$H$593,GCA!F$3:F$593,"",0,1)="","",_xlfn.XLOOKUP($U406,GCA!$H$3:$H$593,GCA!F$3:F$593,"",0,1))</f>
        <v>1026.8399999999999</v>
      </c>
      <c r="X406" s="3">
        <f>IF(_xlfn.XLOOKUP($U406,GCA!$H$3:$H$593,GCA!G$3:G$593,"",0,1)="","",_xlfn.XLOOKUP($U406,GCA!$H$3:$H$593,GCA!G$3:G$593,"",0,1))</f>
        <v>1192.27</v>
      </c>
    </row>
    <row r="407" spans="1:24" ht="13.2">
      <c r="A407" s="49"/>
      <c r="B407" s="49"/>
      <c r="C407" s="48"/>
      <c r="D407" s="49"/>
      <c r="E407" s="50"/>
      <c r="F407" s="26" t="s">
        <v>247</v>
      </c>
      <c r="G407" s="26" t="s">
        <v>972</v>
      </c>
      <c r="H407" s="27">
        <f t="shared" si="545"/>
        <v>65.66</v>
      </c>
      <c r="I407" s="27">
        <f t="shared" si="546"/>
        <v>64.59</v>
      </c>
      <c r="J407" s="27">
        <f t="shared" si="547"/>
        <v>126.27</v>
      </c>
      <c r="K407" s="27">
        <f t="shared" si="548"/>
        <v>85.506666666666661</v>
      </c>
      <c r="L407" s="65"/>
      <c r="M407" s="67">
        <f t="shared" si="549"/>
        <v>0</v>
      </c>
      <c r="N407" s="65" t="str">
        <f t="shared" si="553"/>
        <v/>
      </c>
      <c r="O407" s="65" t="str">
        <f t="shared" si="550"/>
        <v/>
      </c>
      <c r="P407" s="65" t="str">
        <f t="shared" si="551"/>
        <v/>
      </c>
      <c r="Q407" s="38"/>
      <c r="R407" s="3" t="str">
        <f t="shared" si="554"/>
        <v>Sivagangai</v>
      </c>
      <c r="S407" s="3" t="str">
        <f t="shared" si="529"/>
        <v>Sivagangai</v>
      </c>
      <c r="T407" s="3" t="str">
        <f t="shared" si="530"/>
        <v>Kallal</v>
      </c>
      <c r="U407" s="3" t="str">
        <f t="shared" si="531"/>
        <v>Sivagangai_Sivagangai_Kallal</v>
      </c>
      <c r="V407" s="3">
        <f>IF(_xlfn.XLOOKUP($U407,GCA!$H$3:$H$593,GCA!E$3:E$593,"",0,1)="","",_xlfn.XLOOKUP($U407,GCA!$H$3:$H$593,GCA!E$3:E$593,"",0,1))</f>
        <v>65.66</v>
      </c>
      <c r="W407" s="3">
        <f>IF(_xlfn.XLOOKUP($U407,GCA!$H$3:$H$593,GCA!F$3:F$593,"",0,1)="","",_xlfn.XLOOKUP($U407,GCA!$H$3:$H$593,GCA!F$3:F$593,"",0,1))</f>
        <v>64.59</v>
      </c>
      <c r="X407" s="3">
        <f>IF(_xlfn.XLOOKUP($U407,GCA!$H$3:$H$593,GCA!G$3:G$593,"",0,1)="","",_xlfn.XLOOKUP($U407,GCA!$H$3:$H$593,GCA!G$3:G$593,"",0,1))</f>
        <v>126.27</v>
      </c>
    </row>
    <row r="408" spans="1:24" ht="13.2">
      <c r="A408" s="49"/>
      <c r="B408" s="49"/>
      <c r="C408" s="48"/>
      <c r="D408" s="49"/>
      <c r="E408" s="50"/>
      <c r="F408" s="26" t="s">
        <v>247</v>
      </c>
      <c r="G408" s="26" t="s">
        <v>973</v>
      </c>
      <c r="H408" s="27">
        <f t="shared" si="545"/>
        <v>1037.375</v>
      </c>
      <c r="I408" s="27">
        <f t="shared" si="546"/>
        <v>976.88499999999999</v>
      </c>
      <c r="J408" s="27">
        <f t="shared" si="547"/>
        <v>1003.54</v>
      </c>
      <c r="K408" s="27">
        <f t="shared" si="548"/>
        <v>1005.9333333333334</v>
      </c>
      <c r="L408" s="65"/>
      <c r="M408" s="67">
        <f t="shared" si="549"/>
        <v>0</v>
      </c>
      <c r="N408" s="65" t="str">
        <f t="shared" si="553"/>
        <v/>
      </c>
      <c r="O408" s="65" t="str">
        <f t="shared" si="550"/>
        <v/>
      </c>
      <c r="P408" s="65" t="str">
        <f t="shared" si="551"/>
        <v/>
      </c>
      <c r="Q408" s="38"/>
      <c r="R408" s="3" t="str">
        <f t="shared" si="554"/>
        <v>Sivagangai</v>
      </c>
      <c r="S408" s="3" t="str">
        <f t="shared" si="529"/>
        <v>Sivagangai</v>
      </c>
      <c r="T408" s="3" t="str">
        <f t="shared" si="530"/>
        <v>Manamadurai</v>
      </c>
      <c r="U408" s="3" t="str">
        <f t="shared" si="531"/>
        <v>Sivagangai_Sivagangai_Manamadurai</v>
      </c>
      <c r="V408" s="3">
        <f>IF(_xlfn.XLOOKUP($U408,GCA!$H$3:$H$593,GCA!E$3:E$593,"",0,1)="","",_xlfn.XLOOKUP($U408,GCA!$H$3:$H$593,GCA!E$3:E$593,"",0,1))</f>
        <v>1037.375</v>
      </c>
      <c r="W408" s="3">
        <f>IF(_xlfn.XLOOKUP($U408,GCA!$H$3:$H$593,GCA!F$3:F$593,"",0,1)="","",_xlfn.XLOOKUP($U408,GCA!$H$3:$H$593,GCA!F$3:F$593,"",0,1))</f>
        <v>976.88499999999999</v>
      </c>
      <c r="X408" s="3">
        <f>IF(_xlfn.XLOOKUP($U408,GCA!$H$3:$H$593,GCA!G$3:G$593,"",0,1)="","",_xlfn.XLOOKUP($U408,GCA!$H$3:$H$593,GCA!G$3:G$593,"",0,1))</f>
        <v>1003.54</v>
      </c>
    </row>
    <row r="409" spans="1:24" ht="13.2">
      <c r="A409" s="49"/>
      <c r="B409" s="49"/>
      <c r="C409" s="48"/>
      <c r="D409" s="49"/>
      <c r="E409" s="50"/>
      <c r="F409" s="26" t="s">
        <v>247</v>
      </c>
      <c r="G409" s="26" t="s">
        <v>247</v>
      </c>
      <c r="H409" s="27">
        <f t="shared" si="545"/>
        <v>5973.8950000000004</v>
      </c>
      <c r="I409" s="27">
        <f t="shared" si="546"/>
        <v>5081.6000000000004</v>
      </c>
      <c r="J409" s="27">
        <f t="shared" si="547"/>
        <v>6143.23</v>
      </c>
      <c r="K409" s="27">
        <f t="shared" si="548"/>
        <v>5732.9083333333328</v>
      </c>
      <c r="L409" s="65"/>
      <c r="M409" s="67">
        <f t="shared" si="549"/>
        <v>0</v>
      </c>
      <c r="N409" s="65" t="str">
        <f t="shared" si="553"/>
        <v/>
      </c>
      <c r="O409" s="65" t="str">
        <f t="shared" si="550"/>
        <v/>
      </c>
      <c r="P409" s="65" t="str">
        <f t="shared" si="551"/>
        <v/>
      </c>
      <c r="Q409" s="38"/>
      <c r="R409" s="3" t="str">
        <f t="shared" si="554"/>
        <v>Sivagangai</v>
      </c>
      <c r="S409" s="3" t="str">
        <f t="shared" si="529"/>
        <v>Sivagangai</v>
      </c>
      <c r="T409" s="3" t="str">
        <f t="shared" si="530"/>
        <v>Sivagangai</v>
      </c>
      <c r="U409" s="3" t="str">
        <f t="shared" si="531"/>
        <v>Sivagangai_Sivagangai_Sivagangai</v>
      </c>
      <c r="V409" s="3">
        <f>IF(_xlfn.XLOOKUP($U409,GCA!$H$3:$H$593,GCA!E$3:E$593,"",0,1)="","",_xlfn.XLOOKUP($U409,GCA!$H$3:$H$593,GCA!E$3:E$593,"",0,1))</f>
        <v>5973.8950000000004</v>
      </c>
      <c r="W409" s="3">
        <f>IF(_xlfn.XLOOKUP($U409,GCA!$H$3:$H$593,GCA!F$3:F$593,"",0,1)="","",_xlfn.XLOOKUP($U409,GCA!$H$3:$H$593,GCA!F$3:F$593,"",0,1))</f>
        <v>5081.6000000000004</v>
      </c>
      <c r="X409" s="3">
        <f>IF(_xlfn.XLOOKUP($U409,GCA!$H$3:$H$593,GCA!G$3:G$593,"",0,1)="","",_xlfn.XLOOKUP($U409,GCA!$H$3:$H$593,GCA!G$3:G$593,"",0,1))</f>
        <v>6143.23</v>
      </c>
    </row>
    <row r="410" spans="1:24" ht="13.2">
      <c r="A410" s="49"/>
      <c r="B410" s="49"/>
      <c r="C410" s="48"/>
      <c r="D410" s="49"/>
      <c r="E410" s="50"/>
      <c r="F410" s="26" t="s">
        <v>247</v>
      </c>
      <c r="G410" s="26" t="s">
        <v>976</v>
      </c>
      <c r="H410" s="27">
        <f t="shared" si="545"/>
        <v>658.34500000000003</v>
      </c>
      <c r="I410" s="27">
        <f t="shared" si="546"/>
        <v>674.35500000000002</v>
      </c>
      <c r="J410" s="27">
        <f t="shared" si="547"/>
        <v>665.89</v>
      </c>
      <c r="K410" s="27">
        <f t="shared" si="548"/>
        <v>666.19666666666672</v>
      </c>
      <c r="L410" s="65"/>
      <c r="M410" s="67">
        <f t="shared" si="549"/>
        <v>0</v>
      </c>
      <c r="N410" s="65" t="str">
        <f t="shared" si="553"/>
        <v/>
      </c>
      <c r="O410" s="65" t="str">
        <f t="shared" si="550"/>
        <v/>
      </c>
      <c r="P410" s="65" t="str">
        <f t="shared" si="551"/>
        <v/>
      </c>
      <c r="Q410" s="38"/>
      <c r="R410" s="3" t="str">
        <f t="shared" si="554"/>
        <v>Sivagangai</v>
      </c>
      <c r="S410" s="3" t="str">
        <f t="shared" si="529"/>
        <v>Sivagangai</v>
      </c>
      <c r="T410" s="3" t="str">
        <f t="shared" si="530"/>
        <v>Thiruppuvanam</v>
      </c>
      <c r="U410" s="3" t="str">
        <f t="shared" si="531"/>
        <v>Sivagangai_Sivagangai_Thiruppuvanam</v>
      </c>
      <c r="V410" s="3">
        <f>IF(_xlfn.XLOOKUP($U410,GCA!$H$3:$H$593,GCA!E$3:E$593,"",0,1)="","",_xlfn.XLOOKUP($U410,GCA!$H$3:$H$593,GCA!E$3:E$593,"",0,1))</f>
        <v>658.34500000000003</v>
      </c>
      <c r="W410" s="3">
        <f>IF(_xlfn.XLOOKUP($U410,GCA!$H$3:$H$593,GCA!F$3:F$593,"",0,1)="","",_xlfn.XLOOKUP($U410,GCA!$H$3:$H$593,GCA!F$3:F$593,"",0,1))</f>
        <v>674.35500000000002</v>
      </c>
      <c r="X410" s="3">
        <f>IF(_xlfn.XLOOKUP($U410,GCA!$H$3:$H$593,GCA!G$3:G$593,"",0,1)="","",_xlfn.XLOOKUP($U410,GCA!$H$3:$H$593,GCA!G$3:G$593,"",0,1))</f>
        <v>665.89</v>
      </c>
    </row>
    <row r="411" spans="1:24" ht="13.2">
      <c r="A411" s="49"/>
      <c r="B411" s="49"/>
      <c r="C411" s="48"/>
      <c r="D411" s="49"/>
      <c r="E411" s="50"/>
      <c r="F411" s="26" t="s">
        <v>979</v>
      </c>
      <c r="G411" s="26" t="s">
        <v>972</v>
      </c>
      <c r="H411" s="27">
        <f t="shared" si="545"/>
        <v>1606.7650000000001</v>
      </c>
      <c r="I411" s="27">
        <f t="shared" si="546"/>
        <v>1416.9</v>
      </c>
      <c r="J411" s="27">
        <f t="shared" si="547"/>
        <v>1785.54</v>
      </c>
      <c r="K411" s="27">
        <f t="shared" si="548"/>
        <v>1603.0683333333334</v>
      </c>
      <c r="L411" s="65"/>
      <c r="M411" s="67">
        <f t="shared" si="549"/>
        <v>0</v>
      </c>
      <c r="N411" s="65" t="str">
        <f t="shared" si="553"/>
        <v/>
      </c>
      <c r="O411" s="65" t="str">
        <f t="shared" si="550"/>
        <v/>
      </c>
      <c r="P411" s="65" t="str">
        <f t="shared" si="551"/>
        <v/>
      </c>
      <c r="Q411" s="38"/>
      <c r="R411" s="3" t="str">
        <f t="shared" si="554"/>
        <v>Sivagangai</v>
      </c>
      <c r="S411" s="3" t="str">
        <f t="shared" si="529"/>
        <v>Thiruppathur</v>
      </c>
      <c r="T411" s="3" t="str">
        <f t="shared" si="530"/>
        <v>Kallal</v>
      </c>
      <c r="U411" s="3" t="str">
        <f t="shared" si="531"/>
        <v>Sivagangai_Thiruppathur_Kallal</v>
      </c>
      <c r="V411" s="3">
        <f>IF(_xlfn.XLOOKUP($U411,GCA!$H$3:$H$593,GCA!E$3:E$593,"",0,1)="","",_xlfn.XLOOKUP($U411,GCA!$H$3:$H$593,GCA!E$3:E$593,"",0,1))</f>
        <v>1606.7650000000001</v>
      </c>
      <c r="W411" s="3">
        <f>IF(_xlfn.XLOOKUP($U411,GCA!$H$3:$H$593,GCA!F$3:F$593,"",0,1)="","",_xlfn.XLOOKUP($U411,GCA!$H$3:$H$593,GCA!F$3:F$593,"",0,1))</f>
        <v>1416.9</v>
      </c>
      <c r="X411" s="3">
        <f>IF(_xlfn.XLOOKUP($U411,GCA!$H$3:$H$593,GCA!G$3:G$593,"",0,1)="","",_xlfn.XLOOKUP($U411,GCA!$H$3:$H$593,GCA!G$3:G$593,"",0,1))</f>
        <v>1785.54</v>
      </c>
    </row>
    <row r="412" spans="1:24" ht="13.2">
      <c r="A412" s="49"/>
      <c r="B412" s="49"/>
      <c r="C412" s="48"/>
      <c r="D412" s="49"/>
      <c r="E412" s="50"/>
      <c r="F412" s="26" t="s">
        <v>979</v>
      </c>
      <c r="G412" s="26" t="s">
        <v>975</v>
      </c>
      <c r="H412" s="27">
        <f t="shared" si="545"/>
        <v>51.18</v>
      </c>
      <c r="I412" s="27">
        <f t="shared" si="546"/>
        <v>49.935000000000002</v>
      </c>
      <c r="J412" s="27">
        <f t="shared" si="547"/>
        <v>62.52</v>
      </c>
      <c r="K412" s="27">
        <f t="shared" si="548"/>
        <v>54.545000000000009</v>
      </c>
      <c r="L412" s="65"/>
      <c r="M412" s="67">
        <f t="shared" si="549"/>
        <v>0</v>
      </c>
      <c r="N412" s="65" t="str">
        <f t="shared" si="553"/>
        <v/>
      </c>
      <c r="O412" s="65" t="str">
        <f t="shared" si="550"/>
        <v/>
      </c>
      <c r="P412" s="65" t="str">
        <f t="shared" si="551"/>
        <v/>
      </c>
      <c r="Q412" s="38"/>
      <c r="R412" s="3" t="str">
        <f t="shared" si="554"/>
        <v>Sivagangai</v>
      </c>
      <c r="S412" s="3" t="str">
        <f t="shared" si="529"/>
        <v>Thiruppathur</v>
      </c>
      <c r="T412" s="3" t="str">
        <f t="shared" si="530"/>
        <v>Sakkottai</v>
      </c>
      <c r="U412" s="3" t="str">
        <f t="shared" si="531"/>
        <v>Sivagangai_Thiruppathur_Sakkottai</v>
      </c>
      <c r="V412" s="3">
        <f>IF(_xlfn.XLOOKUP($U412,GCA!$H$3:$H$593,GCA!E$3:E$593,"",0,1)="","",_xlfn.XLOOKUP($U412,GCA!$H$3:$H$593,GCA!E$3:E$593,"",0,1))</f>
        <v>51.18</v>
      </c>
      <c r="W412" s="3">
        <f>IF(_xlfn.XLOOKUP($U412,GCA!$H$3:$H$593,GCA!F$3:F$593,"",0,1)="","",_xlfn.XLOOKUP($U412,GCA!$H$3:$H$593,GCA!F$3:F$593,"",0,1))</f>
        <v>49.935000000000002</v>
      </c>
      <c r="X412" s="3">
        <f>IF(_xlfn.XLOOKUP($U412,GCA!$H$3:$H$593,GCA!G$3:G$593,"",0,1)="","",_xlfn.XLOOKUP($U412,GCA!$H$3:$H$593,GCA!G$3:G$593,"",0,1))</f>
        <v>62.52</v>
      </c>
    </row>
    <row r="413" spans="1:24" ht="13.2">
      <c r="A413" s="49"/>
      <c r="B413" s="49"/>
      <c r="C413" s="48"/>
      <c r="D413" s="49"/>
      <c r="E413" s="50"/>
      <c r="F413" s="26" t="s">
        <v>979</v>
      </c>
      <c r="G413" s="26" t="s">
        <v>837</v>
      </c>
      <c r="H413" s="27">
        <f t="shared" si="545"/>
        <v>5045.2749999999996</v>
      </c>
      <c r="I413" s="27">
        <f t="shared" si="546"/>
        <v>4168.8249999999998</v>
      </c>
      <c r="J413" s="27">
        <f t="shared" si="547"/>
        <v>5252.24</v>
      </c>
      <c r="K413" s="27">
        <f t="shared" si="548"/>
        <v>4822.1133333333328</v>
      </c>
      <c r="L413" s="65"/>
      <c r="M413" s="67">
        <f t="shared" si="549"/>
        <v>0</v>
      </c>
      <c r="N413" s="65" t="str">
        <f t="shared" si="553"/>
        <v/>
      </c>
      <c r="O413" s="65" t="str">
        <f t="shared" si="550"/>
        <v/>
      </c>
      <c r="P413" s="65" t="str">
        <f t="shared" si="551"/>
        <v/>
      </c>
      <c r="Q413" s="38"/>
      <c r="R413" s="3" t="str">
        <f t="shared" si="554"/>
        <v>Sivagangai</v>
      </c>
      <c r="S413" s="3" t="str">
        <f t="shared" si="529"/>
        <v>Thiruppathur</v>
      </c>
      <c r="T413" s="3" t="str">
        <f t="shared" si="530"/>
        <v>Thirupathur</v>
      </c>
      <c r="U413" s="3" t="str">
        <f t="shared" si="531"/>
        <v>Sivagangai_Thiruppathur_Thirupathur</v>
      </c>
      <c r="V413" s="3">
        <f>IF(_xlfn.XLOOKUP($U413,GCA!$H$3:$H$593,GCA!E$3:E$593,"",0,1)="","",_xlfn.XLOOKUP($U413,GCA!$H$3:$H$593,GCA!E$3:E$593,"",0,1))</f>
        <v>5045.2749999999996</v>
      </c>
      <c r="W413" s="3">
        <f>IF(_xlfn.XLOOKUP($U413,GCA!$H$3:$H$593,GCA!F$3:F$593,"",0,1)="","",_xlfn.XLOOKUP($U413,GCA!$H$3:$H$593,GCA!F$3:F$593,"",0,1))</f>
        <v>4168.8249999999998</v>
      </c>
      <c r="X413" s="3">
        <f>IF(_xlfn.XLOOKUP($U413,GCA!$H$3:$H$593,GCA!G$3:G$593,"",0,1)="","",_xlfn.XLOOKUP($U413,GCA!$H$3:$H$593,GCA!G$3:G$593,"",0,1))</f>
        <v>5252.24</v>
      </c>
    </row>
    <row r="414" spans="1:24" ht="13.2">
      <c r="A414" s="49"/>
      <c r="B414" s="49"/>
      <c r="C414" s="48"/>
      <c r="D414" s="49"/>
      <c r="E414" s="50"/>
      <c r="F414" s="26" t="s">
        <v>976</v>
      </c>
      <c r="G414" s="26" t="s">
        <v>247</v>
      </c>
      <c r="H414" s="27">
        <f t="shared" si="545"/>
        <v>42.64</v>
      </c>
      <c r="I414" s="27">
        <f t="shared" si="546"/>
        <v>18.984999999999999</v>
      </c>
      <c r="J414" s="27">
        <f t="shared" si="547"/>
        <v>24.625</v>
      </c>
      <c r="K414" s="27">
        <f t="shared" si="548"/>
        <v>28.75</v>
      </c>
      <c r="L414" s="65"/>
      <c r="M414" s="67">
        <f t="shared" si="549"/>
        <v>0</v>
      </c>
      <c r="N414" s="65" t="str">
        <f t="shared" si="553"/>
        <v/>
      </c>
      <c r="O414" s="65" t="str">
        <f t="shared" si="550"/>
        <v/>
      </c>
      <c r="P414" s="65" t="str">
        <f t="shared" si="551"/>
        <v/>
      </c>
      <c r="Q414" s="38"/>
      <c r="R414" s="3" t="str">
        <f t="shared" si="554"/>
        <v>Sivagangai</v>
      </c>
      <c r="S414" s="3" t="str">
        <f t="shared" si="529"/>
        <v>Thiruppuvanam</v>
      </c>
      <c r="T414" s="3" t="str">
        <f t="shared" si="530"/>
        <v>Sivagangai</v>
      </c>
      <c r="U414" s="3" t="str">
        <f t="shared" si="531"/>
        <v>Sivagangai_Thiruppuvanam_Sivagangai</v>
      </c>
      <c r="V414" s="3">
        <f>IF(_xlfn.XLOOKUP($U414,GCA!$H$3:$H$593,GCA!E$3:E$593,"",0,1)="","",_xlfn.XLOOKUP($U414,GCA!$H$3:$H$593,GCA!E$3:E$593,"",0,1))</f>
        <v>42.64</v>
      </c>
      <c r="W414" s="3">
        <f>IF(_xlfn.XLOOKUP($U414,GCA!$H$3:$H$593,GCA!F$3:F$593,"",0,1)="","",_xlfn.XLOOKUP($U414,GCA!$H$3:$H$593,GCA!F$3:F$593,"",0,1))</f>
        <v>18.984999999999999</v>
      </c>
      <c r="X414" s="3">
        <f>IF(_xlfn.XLOOKUP($U414,GCA!$H$3:$H$593,GCA!G$3:G$593,"",0,1)="","",_xlfn.XLOOKUP($U414,GCA!$H$3:$H$593,GCA!G$3:G$593,"",0,1))</f>
        <v>24.625</v>
      </c>
    </row>
    <row r="415" spans="1:24" ht="13.2">
      <c r="A415" s="49"/>
      <c r="B415" s="49"/>
      <c r="C415" s="48"/>
      <c r="D415" s="49"/>
      <c r="E415" s="50"/>
      <c r="F415" s="26" t="s">
        <v>976</v>
      </c>
      <c r="G415" s="26" t="s">
        <v>976</v>
      </c>
      <c r="H415" s="27">
        <f t="shared" si="545"/>
        <v>7232.6540000000005</v>
      </c>
      <c r="I415" s="27">
        <f t="shared" si="546"/>
        <v>6753.125</v>
      </c>
      <c r="J415" s="27">
        <f t="shared" si="547"/>
        <v>6951.415</v>
      </c>
      <c r="K415" s="27">
        <f t="shared" si="548"/>
        <v>6979.0646666666662</v>
      </c>
      <c r="L415" s="65"/>
      <c r="M415" s="67">
        <f t="shared" si="549"/>
        <v>0</v>
      </c>
      <c r="N415" s="65" t="str">
        <f t="shared" si="553"/>
        <v/>
      </c>
      <c r="O415" s="65" t="str">
        <f t="shared" si="550"/>
        <v/>
      </c>
      <c r="P415" s="65" t="str">
        <f t="shared" si="551"/>
        <v/>
      </c>
      <c r="Q415" s="38"/>
      <c r="R415" s="3" t="str">
        <f t="shared" si="554"/>
        <v>Sivagangai</v>
      </c>
      <c r="S415" s="3" t="str">
        <f t="shared" si="529"/>
        <v>Thiruppuvanam</v>
      </c>
      <c r="T415" s="3" t="str">
        <f t="shared" si="530"/>
        <v>Thiruppuvanam</v>
      </c>
      <c r="U415" s="3" t="str">
        <f t="shared" si="531"/>
        <v>Sivagangai_Thiruppuvanam_Thiruppuvanam</v>
      </c>
      <c r="V415" s="3">
        <f>IF(_xlfn.XLOOKUP($U415,GCA!$H$3:$H$593,GCA!E$3:E$593,"",0,1)="","",_xlfn.XLOOKUP($U415,GCA!$H$3:$H$593,GCA!E$3:E$593,"",0,1))</f>
        <v>7232.6540000000005</v>
      </c>
      <c r="W415" s="3">
        <f>IF(_xlfn.XLOOKUP($U415,GCA!$H$3:$H$593,GCA!F$3:F$593,"",0,1)="","",_xlfn.XLOOKUP($U415,GCA!$H$3:$H$593,GCA!F$3:F$593,"",0,1))</f>
        <v>6753.125</v>
      </c>
      <c r="X415" s="3">
        <f>IF(_xlfn.XLOOKUP($U415,GCA!$H$3:$H$593,GCA!G$3:G$593,"",0,1)="","",_xlfn.XLOOKUP($U415,GCA!$H$3:$H$593,GCA!G$3:G$593,"",0,1))</f>
        <v>6951.415</v>
      </c>
    </row>
    <row r="416" spans="1:24" ht="13.2">
      <c r="A416" s="49"/>
      <c r="B416" s="49"/>
      <c r="C416" s="48"/>
      <c r="D416" s="49"/>
      <c r="E416" s="47" t="s">
        <v>564</v>
      </c>
      <c r="F416" s="47"/>
      <c r="G416" s="47"/>
      <c r="H416" s="29">
        <f t="shared" ref="H416:P416" si="555">SUM(H391:H415)</f>
        <v>110178.833</v>
      </c>
      <c r="I416" s="29">
        <f t="shared" si="555"/>
        <v>107010.76399999995</v>
      </c>
      <c r="J416" s="29">
        <f t="shared" si="555"/>
        <v>110466.86300000001</v>
      </c>
      <c r="K416" s="29">
        <f t="shared" si="555"/>
        <v>109218.81999999999</v>
      </c>
      <c r="L416" s="29">
        <f t="shared" si="555"/>
        <v>109218.82</v>
      </c>
      <c r="M416" s="30">
        <f t="shared" si="555"/>
        <v>4.5843546281208205</v>
      </c>
      <c r="N416" s="31">
        <f t="shared" si="555"/>
        <v>5</v>
      </c>
      <c r="O416" s="31">
        <f t="shared" si="555"/>
        <v>5</v>
      </c>
      <c r="P416" s="31">
        <f t="shared" si="555"/>
        <v>5</v>
      </c>
      <c r="Q416" s="38"/>
      <c r="R416" s="3" t="str">
        <f t="shared" si="554"/>
        <v>Sivagangai</v>
      </c>
      <c r="S416" s="3">
        <f t="shared" si="529"/>
        <v>0</v>
      </c>
      <c r="T416" s="3">
        <f t="shared" si="530"/>
        <v>0</v>
      </c>
      <c r="U416" s="3" t="str">
        <f t="shared" si="531"/>
        <v>Sivagangai_0_0</v>
      </c>
      <c r="V416" s="3" t="str">
        <f>IF(_xlfn.XLOOKUP($U416,GCA!$H$3:$H$593,GCA!E$3:E$593,"",0,1)="","",_xlfn.XLOOKUP($U416,GCA!$H$3:$H$593,GCA!E$3:E$593,"",0,1))</f>
        <v/>
      </c>
      <c r="W416" s="3" t="str">
        <f>IF(_xlfn.XLOOKUP($U416,GCA!$H$3:$H$593,GCA!F$3:F$593,"",0,1)="","",_xlfn.XLOOKUP($U416,GCA!$H$3:$H$593,GCA!F$3:F$593,"",0,1))</f>
        <v/>
      </c>
      <c r="X416" s="3" t="str">
        <f>IF(_xlfn.XLOOKUP($U416,GCA!$H$3:$H$593,GCA!G$3:G$593,"",0,1)="","",_xlfn.XLOOKUP($U416,GCA!$H$3:$H$593,GCA!G$3:G$593,"",0,1))</f>
        <v/>
      </c>
    </row>
    <row r="417" spans="1:24" ht="13.2">
      <c r="A417" s="49"/>
      <c r="B417" s="49"/>
      <c r="C417" s="48" t="s">
        <v>418</v>
      </c>
      <c r="D417" s="49" t="s">
        <v>552</v>
      </c>
      <c r="E417" s="50">
        <v>1</v>
      </c>
      <c r="F417" s="26" t="s">
        <v>858</v>
      </c>
      <c r="G417" s="26" t="s">
        <v>858</v>
      </c>
      <c r="H417" s="27">
        <f t="shared" ref="H417:H431" si="556">V417</f>
        <v>7814.18</v>
      </c>
      <c r="I417" s="27">
        <f t="shared" ref="I417:I431" si="557">W417</f>
        <v>8644.7839999999997</v>
      </c>
      <c r="J417" s="27">
        <f t="shared" ref="J417:J431" si="558">X417</f>
        <v>8839.73</v>
      </c>
      <c r="K417" s="27">
        <f t="shared" ref="K417:K431" si="559">IFERROR(AVERAGE(H417:J417),"")</f>
        <v>8432.8979999999992</v>
      </c>
      <c r="L417" s="65">
        <f>SUM(K417:K423)</f>
        <v>46583.617666666658</v>
      </c>
      <c r="M417" s="67">
        <f t="shared" ref="M417:M431" si="560">L417*$L$643/$L$642</f>
        <v>1.9553024217327573</v>
      </c>
      <c r="N417" s="65">
        <f t="shared" si="526"/>
        <v>2</v>
      </c>
      <c r="O417" s="65">
        <f t="shared" ref="O417:P417" si="561">N417</f>
        <v>2</v>
      </c>
      <c r="P417" s="65">
        <f t="shared" si="561"/>
        <v>2</v>
      </c>
      <c r="Q417" s="38"/>
      <c r="R417" s="3" t="str">
        <f t="shared" ref="R417:R453" si="562">C417</f>
        <v>Madurai</v>
      </c>
      <c r="S417" s="3" t="str">
        <f t="shared" si="529"/>
        <v>Kalligudi</v>
      </c>
      <c r="T417" s="3" t="str">
        <f t="shared" si="530"/>
        <v>Kalligudi</v>
      </c>
      <c r="U417" s="3" t="str">
        <f t="shared" si="531"/>
        <v>Madurai_Kalligudi_Kalligudi</v>
      </c>
      <c r="V417" s="3">
        <f>IF(_xlfn.XLOOKUP($U417,GCA!$H$3:$H$593,GCA!E$3:E$593,"",0,1)="","",_xlfn.XLOOKUP($U417,GCA!$H$3:$H$593,GCA!E$3:E$593,"",0,1))</f>
        <v>7814.18</v>
      </c>
      <c r="W417" s="3">
        <f>IF(_xlfn.XLOOKUP($U417,GCA!$H$3:$H$593,GCA!F$3:F$593,"",0,1)="","",_xlfn.XLOOKUP($U417,GCA!$H$3:$H$593,GCA!F$3:F$593,"",0,1))</f>
        <v>8644.7839999999997</v>
      </c>
      <c r="X417" s="3">
        <f>IF(_xlfn.XLOOKUP($U417,GCA!$H$3:$H$593,GCA!G$3:G$593,"",0,1)="","",_xlfn.XLOOKUP($U417,GCA!$H$3:$H$593,GCA!G$3:G$593,"",0,1))</f>
        <v>8839.73</v>
      </c>
    </row>
    <row r="418" spans="1:24" ht="13.2">
      <c r="A418" s="49"/>
      <c r="B418" s="49"/>
      <c r="C418" s="48"/>
      <c r="D418" s="49"/>
      <c r="E418" s="50"/>
      <c r="F418" s="26" t="s">
        <v>859</v>
      </c>
      <c r="G418" s="26" t="s">
        <v>859</v>
      </c>
      <c r="H418" s="27">
        <f t="shared" si="556"/>
        <v>7342.6840000000002</v>
      </c>
      <c r="I418" s="27">
        <f t="shared" si="557"/>
        <v>5080.7129999999997</v>
      </c>
      <c r="J418" s="27">
        <f t="shared" si="558"/>
        <v>8852.8979999999992</v>
      </c>
      <c r="K418" s="27">
        <f t="shared" si="559"/>
        <v>7092.0983333333324</v>
      </c>
      <c r="L418" s="65"/>
      <c r="M418" s="67">
        <f t="shared" si="560"/>
        <v>0</v>
      </c>
      <c r="N418" s="65" t="str">
        <f t="shared" si="526"/>
        <v/>
      </c>
      <c r="O418" s="65" t="str">
        <f t="shared" ref="O418:P418" si="563">N418</f>
        <v/>
      </c>
      <c r="P418" s="65" t="str">
        <f t="shared" si="563"/>
        <v/>
      </c>
      <c r="Q418" s="38"/>
      <c r="R418" s="3" t="str">
        <f t="shared" ref="R418:R432" si="564">R417</f>
        <v>Madurai</v>
      </c>
      <c r="S418" s="3" t="str">
        <f t="shared" si="529"/>
        <v>Madurai East</v>
      </c>
      <c r="T418" s="3" t="str">
        <f t="shared" si="530"/>
        <v>Madurai East</v>
      </c>
      <c r="U418" s="3" t="str">
        <f t="shared" si="531"/>
        <v>Madurai_Madurai East_Madurai East</v>
      </c>
      <c r="V418" s="3">
        <f>IF(_xlfn.XLOOKUP($U418,GCA!$H$3:$H$593,GCA!E$3:E$593,"",0,1)="","",_xlfn.XLOOKUP($U418,GCA!$H$3:$H$593,GCA!E$3:E$593,"",0,1))</f>
        <v>7342.6840000000002</v>
      </c>
      <c r="W418" s="3">
        <f>IF(_xlfn.XLOOKUP($U418,GCA!$H$3:$H$593,GCA!F$3:F$593,"",0,1)="","",_xlfn.XLOOKUP($U418,GCA!$H$3:$H$593,GCA!F$3:F$593,"",0,1))</f>
        <v>5080.7129999999997</v>
      </c>
      <c r="X418" s="3">
        <f>IF(_xlfn.XLOOKUP($U418,GCA!$H$3:$H$593,GCA!G$3:G$593,"",0,1)="","",_xlfn.XLOOKUP($U418,GCA!$H$3:$H$593,GCA!G$3:G$593,"",0,1))</f>
        <v>8852.8979999999992</v>
      </c>
    </row>
    <row r="419" spans="1:24" ht="13.2">
      <c r="A419" s="49"/>
      <c r="B419" s="49"/>
      <c r="C419" s="48"/>
      <c r="D419" s="49"/>
      <c r="E419" s="50"/>
      <c r="F419" s="26" t="s">
        <v>860</v>
      </c>
      <c r="G419" s="26" t="s">
        <v>861</v>
      </c>
      <c r="H419" s="27">
        <f t="shared" si="556"/>
        <v>7105.3360000000002</v>
      </c>
      <c r="I419" s="27">
        <f t="shared" si="557"/>
        <v>5150.18</v>
      </c>
      <c r="J419" s="27">
        <f t="shared" si="558"/>
        <v>7290.0010000000002</v>
      </c>
      <c r="K419" s="27">
        <f t="shared" si="559"/>
        <v>6515.172333333333</v>
      </c>
      <c r="L419" s="65"/>
      <c r="M419" s="67">
        <f t="shared" si="560"/>
        <v>0</v>
      </c>
      <c r="N419" s="65" t="str">
        <f t="shared" si="526"/>
        <v/>
      </c>
      <c r="O419" s="65" t="str">
        <f t="shared" ref="O419:P419" si="565">N419</f>
        <v/>
      </c>
      <c r="P419" s="65" t="str">
        <f t="shared" si="565"/>
        <v/>
      </c>
      <c r="Q419" s="38"/>
      <c r="R419" s="3" t="str">
        <f t="shared" si="564"/>
        <v>Madurai</v>
      </c>
      <c r="S419" s="3" t="str">
        <f t="shared" si="529"/>
        <v>Madurai North</v>
      </c>
      <c r="T419" s="3" t="str">
        <f t="shared" si="530"/>
        <v>Madurai West</v>
      </c>
      <c r="U419" s="3" t="str">
        <f t="shared" si="531"/>
        <v>Madurai_Madurai North_Madurai West</v>
      </c>
      <c r="V419" s="3">
        <f>IF(_xlfn.XLOOKUP($U419,GCA!$H$3:$H$593,GCA!E$3:E$593,"",0,1)="","",_xlfn.XLOOKUP($U419,GCA!$H$3:$H$593,GCA!E$3:E$593,"",0,1))</f>
        <v>7105.3360000000002</v>
      </c>
      <c r="W419" s="3">
        <f>IF(_xlfn.XLOOKUP($U419,GCA!$H$3:$H$593,GCA!F$3:F$593,"",0,1)="","",_xlfn.XLOOKUP($U419,GCA!$H$3:$H$593,GCA!F$3:F$593,"",0,1))</f>
        <v>5150.18</v>
      </c>
      <c r="X419" s="3">
        <f>IF(_xlfn.XLOOKUP($U419,GCA!$H$3:$H$593,GCA!G$3:G$593,"",0,1)="","",_xlfn.XLOOKUP($U419,GCA!$H$3:$H$593,GCA!G$3:G$593,"",0,1))</f>
        <v>7290.0010000000002</v>
      </c>
    </row>
    <row r="420" spans="1:24" ht="13.2">
      <c r="A420" s="49"/>
      <c r="B420" s="49"/>
      <c r="C420" s="48"/>
      <c r="D420" s="49"/>
      <c r="E420" s="50"/>
      <c r="F420" s="26" t="s">
        <v>862</v>
      </c>
      <c r="G420" s="26" t="s">
        <v>863</v>
      </c>
      <c r="H420" s="27">
        <f t="shared" si="556"/>
        <v>1375.9849999999999</v>
      </c>
      <c r="I420" s="27">
        <f t="shared" si="557"/>
        <v>1539.77</v>
      </c>
      <c r="J420" s="27">
        <f t="shared" si="558"/>
        <v>1507.568</v>
      </c>
      <c r="K420" s="27">
        <f t="shared" si="559"/>
        <v>1474.441</v>
      </c>
      <c r="L420" s="65"/>
      <c r="M420" s="67">
        <f t="shared" si="560"/>
        <v>0</v>
      </c>
      <c r="N420" s="65" t="str">
        <f t="shared" si="526"/>
        <v/>
      </c>
      <c r="O420" s="65" t="str">
        <f t="shared" ref="O420:P420" si="566">N420</f>
        <v/>
      </c>
      <c r="P420" s="65" t="str">
        <f t="shared" si="566"/>
        <v/>
      </c>
      <c r="Q420" s="38"/>
      <c r="R420" s="3" t="str">
        <f t="shared" si="564"/>
        <v>Madurai</v>
      </c>
      <c r="S420" s="3" t="str">
        <f t="shared" si="529"/>
        <v>Madurai South</v>
      </c>
      <c r="T420" s="3" t="str">
        <f t="shared" si="530"/>
        <v>Thirupparangundram</v>
      </c>
      <c r="U420" s="3" t="str">
        <f t="shared" si="531"/>
        <v>Madurai_Madurai South_Thirupparangundram</v>
      </c>
      <c r="V420" s="3">
        <f>IF(_xlfn.XLOOKUP($U420,GCA!$H$3:$H$593,GCA!E$3:E$593,"",0,1)="","",_xlfn.XLOOKUP($U420,GCA!$H$3:$H$593,GCA!E$3:E$593,"",0,1))</f>
        <v>1375.9849999999999</v>
      </c>
      <c r="W420" s="3">
        <f>IF(_xlfn.XLOOKUP($U420,GCA!$H$3:$H$593,GCA!F$3:F$593,"",0,1)="","",_xlfn.XLOOKUP($U420,GCA!$H$3:$H$593,GCA!F$3:F$593,"",0,1))</f>
        <v>1539.77</v>
      </c>
      <c r="X420" s="3">
        <f>IF(_xlfn.XLOOKUP($U420,GCA!$H$3:$H$593,GCA!G$3:G$593,"",0,1)="","",_xlfn.XLOOKUP($U420,GCA!$H$3:$H$593,GCA!G$3:G$593,"",0,1))</f>
        <v>1507.568</v>
      </c>
    </row>
    <row r="421" spans="1:24" ht="13.2">
      <c r="A421" s="49"/>
      <c r="B421" s="49"/>
      <c r="C421" s="48"/>
      <c r="D421" s="49"/>
      <c r="E421" s="50"/>
      <c r="F421" s="26" t="s">
        <v>861</v>
      </c>
      <c r="G421" s="26" t="s">
        <v>863</v>
      </c>
      <c r="H421" s="27">
        <f t="shared" si="556"/>
        <v>1460.9749999999999</v>
      </c>
      <c r="I421" s="27">
        <f t="shared" si="557"/>
        <v>1437.09</v>
      </c>
      <c r="J421" s="27">
        <f t="shared" si="558"/>
        <v>1443.9469999999999</v>
      </c>
      <c r="K421" s="27">
        <f t="shared" si="559"/>
        <v>1447.3373333333332</v>
      </c>
      <c r="L421" s="65"/>
      <c r="M421" s="67">
        <f t="shared" si="560"/>
        <v>0</v>
      </c>
      <c r="N421" s="65" t="str">
        <f t="shared" si="526"/>
        <v/>
      </c>
      <c r="O421" s="65" t="str">
        <f t="shared" ref="O421:P421" si="567">N421</f>
        <v/>
      </c>
      <c r="P421" s="65" t="str">
        <f t="shared" si="567"/>
        <v/>
      </c>
      <c r="Q421" s="38"/>
      <c r="R421" s="3" t="str">
        <f t="shared" si="564"/>
        <v>Madurai</v>
      </c>
      <c r="S421" s="3" t="str">
        <f t="shared" si="529"/>
        <v>Madurai West</v>
      </c>
      <c r="T421" s="3" t="str">
        <f t="shared" si="530"/>
        <v>Thirupparangundram</v>
      </c>
      <c r="U421" s="3" t="str">
        <f t="shared" si="531"/>
        <v>Madurai_Madurai West_Thirupparangundram</v>
      </c>
      <c r="V421" s="3">
        <f>IF(_xlfn.XLOOKUP($U421,GCA!$H$3:$H$593,GCA!E$3:E$593,"",0,1)="","",_xlfn.XLOOKUP($U421,GCA!$H$3:$H$593,GCA!E$3:E$593,"",0,1))</f>
        <v>1460.9749999999999</v>
      </c>
      <c r="W421" s="3">
        <f>IF(_xlfn.XLOOKUP($U421,GCA!$H$3:$H$593,GCA!F$3:F$593,"",0,1)="","",_xlfn.XLOOKUP($U421,GCA!$H$3:$H$593,GCA!F$3:F$593,"",0,1))</f>
        <v>1437.09</v>
      </c>
      <c r="X421" s="3">
        <f>IF(_xlfn.XLOOKUP($U421,GCA!$H$3:$H$593,GCA!G$3:G$593,"",0,1)="","",_xlfn.XLOOKUP($U421,GCA!$H$3:$H$593,GCA!G$3:G$593,"",0,1))</f>
        <v>1443.9469999999999</v>
      </c>
    </row>
    <row r="422" spans="1:24" ht="13.2">
      <c r="A422" s="49"/>
      <c r="B422" s="49"/>
      <c r="C422" s="48"/>
      <c r="D422" s="49"/>
      <c r="E422" s="50"/>
      <c r="F422" s="26" t="s">
        <v>864</v>
      </c>
      <c r="G422" s="26" t="s">
        <v>865</v>
      </c>
      <c r="H422" s="27">
        <f t="shared" si="556"/>
        <v>11281.21</v>
      </c>
      <c r="I422" s="27">
        <f t="shared" si="557"/>
        <v>8961.2000000000007</v>
      </c>
      <c r="J422" s="27">
        <f t="shared" si="558"/>
        <v>11351.277</v>
      </c>
      <c r="K422" s="27">
        <f t="shared" si="559"/>
        <v>10531.228999999999</v>
      </c>
      <c r="L422" s="65"/>
      <c r="M422" s="67">
        <f t="shared" si="560"/>
        <v>0</v>
      </c>
      <c r="N422" s="65" t="str">
        <f t="shared" si="526"/>
        <v/>
      </c>
      <c r="O422" s="65" t="str">
        <f t="shared" ref="O422:P422" si="568">N422</f>
        <v/>
      </c>
      <c r="P422" s="65" t="str">
        <f t="shared" si="568"/>
        <v/>
      </c>
      <c r="Q422" s="38"/>
      <c r="R422" s="3" t="str">
        <f t="shared" si="564"/>
        <v>Madurai</v>
      </c>
      <c r="S422" s="3" t="str">
        <f t="shared" si="529"/>
        <v>Melur</v>
      </c>
      <c r="T422" s="3" t="str">
        <f t="shared" si="530"/>
        <v>Kottampatti</v>
      </c>
      <c r="U422" s="3" t="str">
        <f t="shared" si="531"/>
        <v>Madurai_Melur_Kottampatti</v>
      </c>
      <c r="V422" s="3">
        <f>IF(_xlfn.XLOOKUP($U422,GCA!$H$3:$H$593,GCA!E$3:E$593,"",0,1)="","",_xlfn.XLOOKUP($U422,GCA!$H$3:$H$593,GCA!E$3:E$593,"",0,1))</f>
        <v>11281.21</v>
      </c>
      <c r="W422" s="3">
        <f>IF(_xlfn.XLOOKUP($U422,GCA!$H$3:$H$593,GCA!F$3:F$593,"",0,1)="","",_xlfn.XLOOKUP($U422,GCA!$H$3:$H$593,GCA!F$3:F$593,"",0,1))</f>
        <v>8961.2000000000007</v>
      </c>
      <c r="X422" s="3">
        <f>IF(_xlfn.XLOOKUP($U422,GCA!$H$3:$H$593,GCA!G$3:G$593,"",0,1)="","",_xlfn.XLOOKUP($U422,GCA!$H$3:$H$593,GCA!G$3:G$593,"",0,1))</f>
        <v>11351.277</v>
      </c>
    </row>
    <row r="423" spans="1:24" ht="13.2">
      <c r="A423" s="49"/>
      <c r="B423" s="49"/>
      <c r="C423" s="48"/>
      <c r="D423" s="49"/>
      <c r="E423" s="50"/>
      <c r="F423" s="26" t="s">
        <v>864</v>
      </c>
      <c r="G423" s="26" t="s">
        <v>864</v>
      </c>
      <c r="H423" s="27">
        <f t="shared" si="556"/>
        <v>13156.081</v>
      </c>
      <c r="I423" s="27">
        <f t="shared" si="557"/>
        <v>6744.4759999999997</v>
      </c>
      <c r="J423" s="27">
        <f t="shared" si="558"/>
        <v>13370.768</v>
      </c>
      <c r="K423" s="27">
        <f t="shared" si="559"/>
        <v>11090.441666666666</v>
      </c>
      <c r="L423" s="65"/>
      <c r="M423" s="67">
        <f t="shared" si="560"/>
        <v>0</v>
      </c>
      <c r="N423" s="65" t="str">
        <f t="shared" si="526"/>
        <v/>
      </c>
      <c r="O423" s="65" t="str">
        <f t="shared" ref="O423:P423" si="569">N423</f>
        <v/>
      </c>
      <c r="P423" s="65" t="str">
        <f t="shared" si="569"/>
        <v/>
      </c>
      <c r="Q423" s="38"/>
      <c r="R423" s="3" t="str">
        <f t="shared" si="564"/>
        <v>Madurai</v>
      </c>
      <c r="S423" s="3" t="str">
        <f t="shared" si="529"/>
        <v>Melur</v>
      </c>
      <c r="T423" s="3" t="str">
        <f t="shared" si="530"/>
        <v>Melur</v>
      </c>
      <c r="U423" s="3" t="str">
        <f t="shared" si="531"/>
        <v>Madurai_Melur_Melur</v>
      </c>
      <c r="V423" s="3">
        <f>IF(_xlfn.XLOOKUP($U423,GCA!$H$3:$H$593,GCA!E$3:E$593,"",0,1)="","",_xlfn.XLOOKUP($U423,GCA!$H$3:$H$593,GCA!E$3:E$593,"",0,1))</f>
        <v>13156.081</v>
      </c>
      <c r="W423" s="3">
        <f>IF(_xlfn.XLOOKUP($U423,GCA!$H$3:$H$593,GCA!F$3:F$593,"",0,1)="","",_xlfn.XLOOKUP($U423,GCA!$H$3:$H$593,GCA!F$3:F$593,"",0,1))</f>
        <v>6744.4759999999997</v>
      </c>
      <c r="X423" s="3">
        <f>IF(_xlfn.XLOOKUP($U423,GCA!$H$3:$H$593,GCA!G$3:G$593,"",0,1)="","",_xlfn.XLOOKUP($U423,GCA!$H$3:$H$593,GCA!G$3:G$593,"",0,1))</f>
        <v>13370.768</v>
      </c>
    </row>
    <row r="424" spans="1:24" ht="13.2">
      <c r="A424" s="49"/>
      <c r="B424" s="49"/>
      <c r="C424" s="48"/>
      <c r="D424" s="49"/>
      <c r="E424" s="50">
        <v>2</v>
      </c>
      <c r="F424" s="26" t="s">
        <v>866</v>
      </c>
      <c r="G424" s="26" t="s">
        <v>867</v>
      </c>
      <c r="H424" s="27">
        <f t="shared" si="556"/>
        <v>18592.61</v>
      </c>
      <c r="I424" s="27">
        <f t="shared" si="557"/>
        <v>18739.048999999999</v>
      </c>
      <c r="J424" s="27">
        <f t="shared" si="558"/>
        <v>19261.52</v>
      </c>
      <c r="K424" s="27">
        <f t="shared" si="559"/>
        <v>18864.393</v>
      </c>
      <c r="L424" s="65">
        <f>SUM(K424:K426)</f>
        <v>41307.917666666668</v>
      </c>
      <c r="M424" s="67">
        <f t="shared" si="560"/>
        <v>1.733860002637065</v>
      </c>
      <c r="N424" s="65">
        <f t="shared" si="526"/>
        <v>2</v>
      </c>
      <c r="O424" s="65">
        <f t="shared" ref="O424:P424" si="570">N424</f>
        <v>2</v>
      </c>
      <c r="P424" s="65">
        <f t="shared" si="570"/>
        <v>2</v>
      </c>
      <c r="Q424" s="38"/>
      <c r="R424" s="3" t="str">
        <f t="shared" si="564"/>
        <v>Madurai</v>
      </c>
      <c r="S424" s="3" t="str">
        <f t="shared" si="529"/>
        <v>Peraiyur</v>
      </c>
      <c r="T424" s="3" t="str">
        <f t="shared" si="530"/>
        <v>Sedpatti</v>
      </c>
      <c r="U424" s="3" t="str">
        <f t="shared" si="531"/>
        <v>Madurai_Peraiyur_Sedpatti</v>
      </c>
      <c r="V424" s="3">
        <f>IF(_xlfn.XLOOKUP($U424,GCA!$H$3:$H$593,GCA!E$3:E$593,"",0,1)="","",_xlfn.XLOOKUP($U424,GCA!$H$3:$H$593,GCA!E$3:E$593,"",0,1))</f>
        <v>18592.61</v>
      </c>
      <c r="W424" s="3">
        <f>IF(_xlfn.XLOOKUP($U424,GCA!$H$3:$H$593,GCA!F$3:F$593,"",0,1)="","",_xlfn.XLOOKUP($U424,GCA!$H$3:$H$593,GCA!F$3:F$593,"",0,1))</f>
        <v>18739.048999999999</v>
      </c>
      <c r="X424" s="3">
        <f>IF(_xlfn.XLOOKUP($U424,GCA!$H$3:$H$593,GCA!G$3:G$593,"",0,1)="","",_xlfn.XLOOKUP($U424,GCA!$H$3:$H$593,GCA!G$3:G$593,"",0,1))</f>
        <v>19261.52</v>
      </c>
    </row>
    <row r="425" spans="1:24" ht="13.2">
      <c r="A425" s="49"/>
      <c r="B425" s="49"/>
      <c r="C425" s="48"/>
      <c r="D425" s="49"/>
      <c r="E425" s="50"/>
      <c r="F425" s="26" t="s">
        <v>866</v>
      </c>
      <c r="G425" s="26" t="s">
        <v>868</v>
      </c>
      <c r="H425" s="27">
        <f t="shared" si="556"/>
        <v>12674.045</v>
      </c>
      <c r="I425" s="27">
        <f t="shared" si="557"/>
        <v>13084.975</v>
      </c>
      <c r="J425" s="27">
        <f t="shared" si="558"/>
        <v>13077.924999999999</v>
      </c>
      <c r="K425" s="27">
        <f t="shared" si="559"/>
        <v>12945.648333333333</v>
      </c>
      <c r="L425" s="65"/>
      <c r="M425" s="67">
        <f t="shared" si="560"/>
        <v>0</v>
      </c>
      <c r="N425" s="65" t="str">
        <f t="shared" si="526"/>
        <v/>
      </c>
      <c r="O425" s="65" t="str">
        <f t="shared" ref="O425:P425" si="571">N425</f>
        <v/>
      </c>
      <c r="P425" s="65" t="str">
        <f t="shared" si="571"/>
        <v/>
      </c>
      <c r="Q425" s="38"/>
      <c r="R425" s="3" t="str">
        <f t="shared" si="564"/>
        <v>Madurai</v>
      </c>
      <c r="S425" s="3" t="str">
        <f t="shared" si="529"/>
        <v>Peraiyur</v>
      </c>
      <c r="T425" s="3" t="str">
        <f t="shared" si="530"/>
        <v>T.Kallupatti</v>
      </c>
      <c r="U425" s="3" t="str">
        <f t="shared" si="531"/>
        <v>Madurai_Peraiyur_T.Kallupatti</v>
      </c>
      <c r="V425" s="3">
        <f>IF(_xlfn.XLOOKUP($U425,GCA!$H$3:$H$593,GCA!E$3:E$593,"",0,1)="","",_xlfn.XLOOKUP($U425,GCA!$H$3:$H$593,GCA!E$3:E$593,"",0,1))</f>
        <v>12674.045</v>
      </c>
      <c r="W425" s="3">
        <f>IF(_xlfn.XLOOKUP($U425,GCA!$H$3:$H$593,GCA!F$3:F$593,"",0,1)="","",_xlfn.XLOOKUP($U425,GCA!$H$3:$H$593,GCA!F$3:F$593,"",0,1))</f>
        <v>13084.975</v>
      </c>
      <c r="X425" s="3">
        <f>IF(_xlfn.XLOOKUP($U425,GCA!$H$3:$H$593,GCA!G$3:G$593,"",0,1)="","",_xlfn.XLOOKUP($U425,GCA!$H$3:$H$593,GCA!G$3:G$593,"",0,1))</f>
        <v>13077.924999999999</v>
      </c>
    </row>
    <row r="426" spans="1:24" ht="13.2">
      <c r="A426" s="49"/>
      <c r="B426" s="49"/>
      <c r="C426" s="48"/>
      <c r="D426" s="49"/>
      <c r="E426" s="50"/>
      <c r="F426" s="26" t="s">
        <v>869</v>
      </c>
      <c r="G426" s="26" t="s">
        <v>869</v>
      </c>
      <c r="H426" s="27">
        <f t="shared" si="556"/>
        <v>9147.9570000000003</v>
      </c>
      <c r="I426" s="27">
        <f t="shared" si="557"/>
        <v>9474.7330000000002</v>
      </c>
      <c r="J426" s="27">
        <f t="shared" si="558"/>
        <v>9870.9390000000003</v>
      </c>
      <c r="K426" s="27">
        <f t="shared" si="559"/>
        <v>9497.8763333333336</v>
      </c>
      <c r="L426" s="65"/>
      <c r="M426" s="67">
        <f t="shared" si="560"/>
        <v>0</v>
      </c>
      <c r="N426" s="65" t="str">
        <f t="shared" si="526"/>
        <v/>
      </c>
      <c r="O426" s="65" t="str">
        <f t="shared" ref="O426:P426" si="572">N426</f>
        <v/>
      </c>
      <c r="P426" s="65" t="str">
        <f t="shared" si="572"/>
        <v/>
      </c>
      <c r="Q426" s="38"/>
      <c r="R426" s="3" t="str">
        <f t="shared" si="564"/>
        <v>Madurai</v>
      </c>
      <c r="S426" s="3" t="str">
        <f t="shared" si="529"/>
        <v>Thirumangalam</v>
      </c>
      <c r="T426" s="3" t="str">
        <f t="shared" si="530"/>
        <v>Thirumangalam</v>
      </c>
      <c r="U426" s="3" t="str">
        <f t="shared" si="531"/>
        <v>Madurai_Thirumangalam_Thirumangalam</v>
      </c>
      <c r="V426" s="3">
        <f>IF(_xlfn.XLOOKUP($U426,GCA!$H$3:$H$593,GCA!E$3:E$593,"",0,1)="","",_xlfn.XLOOKUP($U426,GCA!$H$3:$H$593,GCA!E$3:E$593,"",0,1))</f>
        <v>9147.9570000000003</v>
      </c>
      <c r="W426" s="3">
        <f>IF(_xlfn.XLOOKUP($U426,GCA!$H$3:$H$593,GCA!F$3:F$593,"",0,1)="","",_xlfn.XLOOKUP($U426,GCA!$H$3:$H$593,GCA!F$3:F$593,"",0,1))</f>
        <v>9474.7330000000002</v>
      </c>
      <c r="X426" s="3">
        <f>IF(_xlfn.XLOOKUP($U426,GCA!$H$3:$H$593,GCA!G$3:G$593,"",0,1)="","",_xlfn.XLOOKUP($U426,GCA!$H$3:$H$593,GCA!G$3:G$593,"",0,1))</f>
        <v>9870.9390000000003</v>
      </c>
    </row>
    <row r="427" spans="1:24" ht="13.2">
      <c r="A427" s="49"/>
      <c r="B427" s="49"/>
      <c r="C427" s="48"/>
      <c r="D427" s="49"/>
      <c r="E427" s="50">
        <v>3</v>
      </c>
      <c r="F427" s="26" t="s">
        <v>863</v>
      </c>
      <c r="G427" s="26" t="s">
        <v>863</v>
      </c>
      <c r="H427" s="27">
        <f t="shared" si="556"/>
        <v>1877.877</v>
      </c>
      <c r="I427" s="27">
        <f t="shared" si="557"/>
        <v>2074.5790000000002</v>
      </c>
      <c r="J427" s="27">
        <f t="shared" si="558"/>
        <v>2251.8690000000001</v>
      </c>
      <c r="K427" s="27">
        <f t="shared" si="559"/>
        <v>2068.1083333333336</v>
      </c>
      <c r="L427" s="65">
        <f>SUM(K427:K431)</f>
        <v>46374.537333333341</v>
      </c>
      <c r="M427" s="67">
        <f t="shared" si="560"/>
        <v>1.9465264763987422</v>
      </c>
      <c r="N427" s="65">
        <f t="shared" si="526"/>
        <v>2</v>
      </c>
      <c r="O427" s="65">
        <f t="shared" ref="O427:P427" si="573">N427</f>
        <v>2</v>
      </c>
      <c r="P427" s="65">
        <f t="shared" si="573"/>
        <v>2</v>
      </c>
      <c r="Q427" s="38"/>
      <c r="R427" s="3" t="str">
        <f t="shared" si="564"/>
        <v>Madurai</v>
      </c>
      <c r="S427" s="3" t="str">
        <f t="shared" si="529"/>
        <v>Thirupparangundram</v>
      </c>
      <c r="T427" s="3" t="str">
        <f t="shared" si="530"/>
        <v>Thirupparangundram</v>
      </c>
      <c r="U427" s="3" t="str">
        <f t="shared" si="531"/>
        <v>Madurai_Thirupparangundram_Thirupparangundram</v>
      </c>
      <c r="V427" s="3">
        <f>IF(_xlfn.XLOOKUP($U427,GCA!$H$3:$H$593,GCA!E$3:E$593,"",0,1)="","",_xlfn.XLOOKUP($U427,GCA!$H$3:$H$593,GCA!E$3:E$593,"",0,1))</f>
        <v>1877.877</v>
      </c>
      <c r="W427" s="3">
        <f>IF(_xlfn.XLOOKUP($U427,GCA!$H$3:$H$593,GCA!F$3:F$593,"",0,1)="","",_xlfn.XLOOKUP($U427,GCA!$H$3:$H$593,GCA!F$3:F$593,"",0,1))</f>
        <v>2074.5790000000002</v>
      </c>
      <c r="X427" s="3">
        <f>IF(_xlfn.XLOOKUP($U427,GCA!$H$3:$H$593,GCA!G$3:G$593,"",0,1)="","",_xlfn.XLOOKUP($U427,GCA!$H$3:$H$593,GCA!G$3:G$593,"",0,1))</f>
        <v>2251.8690000000001</v>
      </c>
    </row>
    <row r="428" spans="1:24" ht="13.2">
      <c r="A428" s="49"/>
      <c r="B428" s="49"/>
      <c r="C428" s="48"/>
      <c r="D428" s="49"/>
      <c r="E428" s="50"/>
      <c r="F428" s="26" t="s">
        <v>870</v>
      </c>
      <c r="G428" s="26" t="s">
        <v>871</v>
      </c>
      <c r="H428" s="27">
        <f t="shared" si="556"/>
        <v>14815.15</v>
      </c>
      <c r="I428" s="27">
        <f t="shared" si="557"/>
        <v>14884.227999999999</v>
      </c>
      <c r="J428" s="27">
        <f t="shared" si="558"/>
        <v>15410.355</v>
      </c>
      <c r="K428" s="27">
        <f t="shared" si="559"/>
        <v>15036.577666666664</v>
      </c>
      <c r="L428" s="65"/>
      <c r="M428" s="67">
        <f t="shared" si="560"/>
        <v>0</v>
      </c>
      <c r="N428" s="65" t="str">
        <f t="shared" si="526"/>
        <v/>
      </c>
      <c r="O428" s="65" t="str">
        <f t="shared" ref="O428:P428" si="574">N428</f>
        <v/>
      </c>
      <c r="P428" s="65" t="str">
        <f t="shared" si="574"/>
        <v/>
      </c>
      <c r="Q428" s="38"/>
      <c r="R428" s="3" t="str">
        <f t="shared" si="564"/>
        <v>Madurai</v>
      </c>
      <c r="S428" s="3" t="str">
        <f t="shared" si="529"/>
        <v>Usilampatti</v>
      </c>
      <c r="T428" s="3" t="str">
        <f t="shared" si="530"/>
        <v>Chellampatti</v>
      </c>
      <c r="U428" s="3" t="str">
        <f t="shared" si="531"/>
        <v>Madurai_Usilampatti_Chellampatti</v>
      </c>
      <c r="V428" s="3">
        <f>IF(_xlfn.XLOOKUP($U428,GCA!$H$3:$H$593,GCA!E$3:E$593,"",0,1)="","",_xlfn.XLOOKUP($U428,GCA!$H$3:$H$593,GCA!E$3:E$593,"",0,1))</f>
        <v>14815.15</v>
      </c>
      <c r="W428" s="3">
        <f>IF(_xlfn.XLOOKUP($U428,GCA!$H$3:$H$593,GCA!F$3:F$593,"",0,1)="","",_xlfn.XLOOKUP($U428,GCA!$H$3:$H$593,GCA!F$3:F$593,"",0,1))</f>
        <v>14884.227999999999</v>
      </c>
      <c r="X428" s="3">
        <f>IF(_xlfn.XLOOKUP($U428,GCA!$H$3:$H$593,GCA!G$3:G$593,"",0,1)="","",_xlfn.XLOOKUP($U428,GCA!$H$3:$H$593,GCA!G$3:G$593,"",0,1))</f>
        <v>15410.355</v>
      </c>
    </row>
    <row r="429" spans="1:24" ht="13.2">
      <c r="A429" s="49"/>
      <c r="B429" s="49"/>
      <c r="C429" s="48"/>
      <c r="D429" s="49"/>
      <c r="E429" s="50"/>
      <c r="F429" s="26" t="s">
        <v>870</v>
      </c>
      <c r="G429" s="26" t="s">
        <v>870</v>
      </c>
      <c r="H429" s="27">
        <f t="shared" si="556"/>
        <v>8107.2349999999997</v>
      </c>
      <c r="I429" s="27">
        <f t="shared" si="557"/>
        <v>9402.2860000000001</v>
      </c>
      <c r="J429" s="27">
        <f t="shared" si="558"/>
        <v>9638.89</v>
      </c>
      <c r="K429" s="27">
        <f t="shared" si="559"/>
        <v>9049.4703333333327</v>
      </c>
      <c r="L429" s="65"/>
      <c r="M429" s="67">
        <f t="shared" si="560"/>
        <v>0</v>
      </c>
      <c r="N429" s="65" t="str">
        <f t="shared" si="526"/>
        <v/>
      </c>
      <c r="O429" s="65" t="str">
        <f t="shared" ref="O429:P429" si="575">N429</f>
        <v/>
      </c>
      <c r="P429" s="65" t="str">
        <f t="shared" si="575"/>
        <v/>
      </c>
      <c r="Q429" s="38"/>
      <c r="R429" s="3" t="str">
        <f t="shared" si="564"/>
        <v>Madurai</v>
      </c>
      <c r="S429" s="3" t="str">
        <f t="shared" si="529"/>
        <v>Usilampatti</v>
      </c>
      <c r="T429" s="3" t="str">
        <f t="shared" si="530"/>
        <v>Usilampatti</v>
      </c>
      <c r="U429" s="3" t="str">
        <f t="shared" si="531"/>
        <v>Madurai_Usilampatti_Usilampatti</v>
      </c>
      <c r="V429" s="3">
        <f>IF(_xlfn.XLOOKUP($U429,GCA!$H$3:$H$593,GCA!E$3:E$593,"",0,1)="","",_xlfn.XLOOKUP($U429,GCA!$H$3:$H$593,GCA!E$3:E$593,"",0,1))</f>
        <v>8107.2349999999997</v>
      </c>
      <c r="W429" s="3">
        <f>IF(_xlfn.XLOOKUP($U429,GCA!$H$3:$H$593,GCA!F$3:F$593,"",0,1)="","",_xlfn.XLOOKUP($U429,GCA!$H$3:$H$593,GCA!F$3:F$593,"",0,1))</f>
        <v>9402.2860000000001</v>
      </c>
      <c r="X429" s="3">
        <f>IF(_xlfn.XLOOKUP($U429,GCA!$H$3:$H$593,GCA!G$3:G$593,"",0,1)="","",_xlfn.XLOOKUP($U429,GCA!$H$3:$H$593,GCA!G$3:G$593,"",0,1))</f>
        <v>9638.89</v>
      </c>
    </row>
    <row r="430" spans="1:24" ht="13.2">
      <c r="A430" s="49"/>
      <c r="B430" s="49"/>
      <c r="C430" s="48"/>
      <c r="D430" s="49"/>
      <c r="E430" s="50"/>
      <c r="F430" s="26" t="s">
        <v>872</v>
      </c>
      <c r="G430" s="26" t="s">
        <v>873</v>
      </c>
      <c r="H430" s="27">
        <f t="shared" si="556"/>
        <v>10655.466</v>
      </c>
      <c r="I430" s="27">
        <f t="shared" si="557"/>
        <v>8976.7090000000007</v>
      </c>
      <c r="J430" s="27">
        <f t="shared" si="558"/>
        <v>10783.874</v>
      </c>
      <c r="K430" s="27">
        <f t="shared" si="559"/>
        <v>10138.683000000001</v>
      </c>
      <c r="L430" s="65"/>
      <c r="M430" s="67">
        <f t="shared" si="560"/>
        <v>0</v>
      </c>
      <c r="N430" s="65" t="str">
        <f t="shared" si="526"/>
        <v/>
      </c>
      <c r="O430" s="65" t="str">
        <f t="shared" ref="O430:P430" si="576">N430</f>
        <v/>
      </c>
      <c r="P430" s="65" t="str">
        <f t="shared" si="576"/>
        <v/>
      </c>
      <c r="Q430" s="38"/>
      <c r="R430" s="3" t="str">
        <f t="shared" si="564"/>
        <v>Madurai</v>
      </c>
      <c r="S430" s="3" t="str">
        <f t="shared" si="529"/>
        <v>Vadipatti</v>
      </c>
      <c r="T430" s="3" t="str">
        <f t="shared" si="530"/>
        <v>Alanganallur</v>
      </c>
      <c r="U430" s="3" t="str">
        <f t="shared" si="531"/>
        <v>Madurai_Vadipatti_Alanganallur</v>
      </c>
      <c r="V430" s="3">
        <f>IF(_xlfn.XLOOKUP($U430,GCA!$H$3:$H$593,GCA!E$3:E$593,"",0,1)="","",_xlfn.XLOOKUP($U430,GCA!$H$3:$H$593,GCA!E$3:E$593,"",0,1))</f>
        <v>10655.466</v>
      </c>
      <c r="W430" s="3">
        <f>IF(_xlfn.XLOOKUP($U430,GCA!$H$3:$H$593,GCA!F$3:F$593,"",0,1)="","",_xlfn.XLOOKUP($U430,GCA!$H$3:$H$593,GCA!F$3:F$593,"",0,1))</f>
        <v>8976.7090000000007</v>
      </c>
      <c r="X430" s="3">
        <f>IF(_xlfn.XLOOKUP($U430,GCA!$H$3:$H$593,GCA!G$3:G$593,"",0,1)="","",_xlfn.XLOOKUP($U430,GCA!$H$3:$H$593,GCA!G$3:G$593,"",0,1))</f>
        <v>10783.874</v>
      </c>
    </row>
    <row r="431" spans="1:24" ht="13.2">
      <c r="A431" s="49"/>
      <c r="B431" s="49"/>
      <c r="C431" s="48"/>
      <c r="D431" s="49"/>
      <c r="E431" s="50"/>
      <c r="F431" s="26" t="s">
        <v>872</v>
      </c>
      <c r="G431" s="26" t="s">
        <v>872</v>
      </c>
      <c r="H431" s="27">
        <f t="shared" si="556"/>
        <v>10971.394</v>
      </c>
      <c r="I431" s="27">
        <f t="shared" si="557"/>
        <v>8751.7049999999999</v>
      </c>
      <c r="J431" s="27">
        <f t="shared" si="558"/>
        <v>10521.995000000001</v>
      </c>
      <c r="K431" s="27">
        <f t="shared" si="559"/>
        <v>10081.698000000002</v>
      </c>
      <c r="L431" s="65"/>
      <c r="M431" s="67">
        <f t="shared" si="560"/>
        <v>0</v>
      </c>
      <c r="N431" s="65" t="str">
        <f t="shared" si="526"/>
        <v/>
      </c>
      <c r="O431" s="65" t="str">
        <f t="shared" ref="O431:P431" si="577">N431</f>
        <v/>
      </c>
      <c r="P431" s="65" t="str">
        <f t="shared" si="577"/>
        <v/>
      </c>
      <c r="Q431" s="38"/>
      <c r="R431" s="3" t="str">
        <f t="shared" si="564"/>
        <v>Madurai</v>
      </c>
      <c r="S431" s="3" t="str">
        <f t="shared" si="529"/>
        <v>Vadipatti</v>
      </c>
      <c r="T431" s="3" t="str">
        <f t="shared" si="530"/>
        <v>Vadipatti</v>
      </c>
      <c r="U431" s="3" t="str">
        <f t="shared" si="531"/>
        <v>Madurai_Vadipatti_Vadipatti</v>
      </c>
      <c r="V431" s="3">
        <f>IF(_xlfn.XLOOKUP($U431,GCA!$H$3:$H$593,GCA!E$3:E$593,"",0,1)="","",_xlfn.XLOOKUP($U431,GCA!$H$3:$H$593,GCA!E$3:E$593,"",0,1))</f>
        <v>10971.394</v>
      </c>
      <c r="W431" s="3">
        <f>IF(_xlfn.XLOOKUP($U431,GCA!$H$3:$H$593,GCA!F$3:F$593,"",0,1)="","",_xlfn.XLOOKUP($U431,GCA!$H$3:$H$593,GCA!F$3:F$593,"",0,1))</f>
        <v>8751.7049999999999</v>
      </c>
      <c r="X431" s="3">
        <f>IF(_xlfn.XLOOKUP($U431,GCA!$H$3:$H$593,GCA!G$3:G$593,"",0,1)="","",_xlfn.XLOOKUP($U431,GCA!$H$3:$H$593,GCA!G$3:G$593,"",0,1))</f>
        <v>10521.995000000001</v>
      </c>
    </row>
    <row r="432" spans="1:24" ht="13.2">
      <c r="A432" s="49"/>
      <c r="B432" s="49"/>
      <c r="C432" s="48"/>
      <c r="D432" s="49"/>
      <c r="E432" s="47" t="s">
        <v>564</v>
      </c>
      <c r="F432" s="47"/>
      <c r="G432" s="47"/>
      <c r="H432" s="29">
        <f t="shared" ref="H432:P432" si="578">SUM(H417:H431)</f>
        <v>136378.18499999997</v>
      </c>
      <c r="I432" s="29">
        <f t="shared" si="578"/>
        <v>122946.477</v>
      </c>
      <c r="J432" s="29">
        <f t="shared" si="578"/>
        <v>143473.55600000001</v>
      </c>
      <c r="K432" s="29">
        <f t="shared" si="578"/>
        <v>134266.07266666665</v>
      </c>
      <c r="L432" s="29">
        <f t="shared" si="578"/>
        <v>134266.07266666667</v>
      </c>
      <c r="M432" s="30">
        <f t="shared" si="578"/>
        <v>5.6356889007685647</v>
      </c>
      <c r="N432" s="31">
        <f t="shared" si="578"/>
        <v>6</v>
      </c>
      <c r="O432" s="31">
        <f t="shared" si="578"/>
        <v>6</v>
      </c>
      <c r="P432" s="31">
        <f t="shared" si="578"/>
        <v>6</v>
      </c>
      <c r="Q432" s="38"/>
      <c r="R432" s="3" t="str">
        <f t="shared" si="564"/>
        <v>Madurai</v>
      </c>
      <c r="S432" s="3">
        <f t="shared" si="529"/>
        <v>0</v>
      </c>
      <c r="T432" s="3">
        <f t="shared" si="530"/>
        <v>0</v>
      </c>
      <c r="U432" s="3" t="str">
        <f t="shared" si="531"/>
        <v>Madurai_0_0</v>
      </c>
      <c r="V432" s="3" t="str">
        <f>IF(_xlfn.XLOOKUP($U432,GCA!$H$3:$H$593,GCA!E$3:E$593,"",0,1)="","",_xlfn.XLOOKUP($U432,GCA!$H$3:$H$593,GCA!E$3:E$593,"",0,1))</f>
        <v/>
      </c>
      <c r="W432" s="3" t="str">
        <f>IF(_xlfn.XLOOKUP($U432,GCA!$H$3:$H$593,GCA!F$3:F$593,"",0,1)="","",_xlfn.XLOOKUP($U432,GCA!$H$3:$H$593,GCA!F$3:F$593,"",0,1))</f>
        <v/>
      </c>
      <c r="X432" s="3" t="str">
        <f>IF(_xlfn.XLOOKUP($U432,GCA!$H$3:$H$593,GCA!G$3:G$593,"",0,1)="","",_xlfn.XLOOKUP($U432,GCA!$H$3:$H$593,GCA!G$3:G$593,"",0,1))</f>
        <v/>
      </c>
    </row>
    <row r="433" spans="1:24" ht="13.2">
      <c r="A433" s="49"/>
      <c r="B433" s="49"/>
      <c r="C433" s="48" t="s">
        <v>240</v>
      </c>
      <c r="D433" s="49" t="s">
        <v>553</v>
      </c>
      <c r="E433" s="50">
        <v>1</v>
      </c>
      <c r="F433" s="26" t="s">
        <v>874</v>
      </c>
      <c r="G433" s="26" t="s">
        <v>874</v>
      </c>
      <c r="H433" s="27">
        <f t="shared" ref="H433:H440" si="579">V433</f>
        <v>13682.555</v>
      </c>
      <c r="I433" s="27">
        <f t="shared" ref="I433:I440" si="580">W433</f>
        <v>13900.516</v>
      </c>
      <c r="J433" s="27">
        <f t="shared" ref="J433:J440" si="581">X433</f>
        <v>14255.826999999999</v>
      </c>
      <c r="K433" s="27">
        <f t="shared" ref="K433:K440" si="582">IFERROR(AVERAGE(H433:J433),"")</f>
        <v>13946.299333333334</v>
      </c>
      <c r="L433" s="65">
        <f>SUM(K433:K436)</f>
        <v>63890.433999999994</v>
      </c>
      <c r="M433" s="67">
        <f t="shared" ref="M433:M440" si="583">L433*$L$643/$L$642</f>
        <v>2.681739344927438</v>
      </c>
      <c r="N433" s="65">
        <f t="shared" si="526"/>
        <v>3</v>
      </c>
      <c r="O433" s="65">
        <f t="shared" ref="O433:P433" si="584">N433</f>
        <v>3</v>
      </c>
      <c r="P433" s="65">
        <f t="shared" si="584"/>
        <v>3</v>
      </c>
      <c r="Q433" s="38"/>
      <c r="R433" s="3" t="str">
        <f t="shared" si="562"/>
        <v>Theni</v>
      </c>
      <c r="S433" s="3" t="str">
        <f t="shared" si="529"/>
        <v>Andipatti</v>
      </c>
      <c r="T433" s="3" t="str">
        <f t="shared" si="530"/>
        <v>Andipatti</v>
      </c>
      <c r="U433" s="3" t="str">
        <f t="shared" si="531"/>
        <v>Theni_Andipatti_Andipatti</v>
      </c>
      <c r="V433" s="3">
        <f>IF(_xlfn.XLOOKUP($U433,GCA!$H$3:$H$593,GCA!E$3:E$593,"",0,1)="","",_xlfn.XLOOKUP($U433,GCA!$H$3:$H$593,GCA!E$3:E$593,"",0,1))</f>
        <v>13682.555</v>
      </c>
      <c r="W433" s="3">
        <f>IF(_xlfn.XLOOKUP($U433,GCA!$H$3:$H$593,GCA!F$3:F$593,"",0,1)="","",_xlfn.XLOOKUP($U433,GCA!$H$3:$H$593,GCA!F$3:F$593,"",0,1))</f>
        <v>13900.516</v>
      </c>
      <c r="X433" s="3">
        <f>IF(_xlfn.XLOOKUP($U433,GCA!$H$3:$H$593,GCA!G$3:G$593,"",0,1)="","",_xlfn.XLOOKUP($U433,GCA!$H$3:$H$593,GCA!G$3:G$593,"",0,1))</f>
        <v>14255.826999999999</v>
      </c>
    </row>
    <row r="434" spans="1:24" ht="13.2">
      <c r="A434" s="49"/>
      <c r="B434" s="49"/>
      <c r="C434" s="48"/>
      <c r="D434" s="49"/>
      <c r="E434" s="50"/>
      <c r="F434" s="26" t="s">
        <v>874</v>
      </c>
      <c r="G434" s="26" t="s">
        <v>875</v>
      </c>
      <c r="H434" s="27">
        <f t="shared" si="579"/>
        <v>14262.597</v>
      </c>
      <c r="I434" s="27">
        <f t="shared" si="580"/>
        <v>14063.056</v>
      </c>
      <c r="J434" s="27">
        <f t="shared" si="581"/>
        <v>14283.165000000001</v>
      </c>
      <c r="K434" s="27">
        <f t="shared" si="582"/>
        <v>14202.939333333334</v>
      </c>
      <c r="L434" s="65"/>
      <c r="M434" s="67">
        <f t="shared" si="583"/>
        <v>0</v>
      </c>
      <c r="N434" s="65" t="str">
        <f t="shared" si="526"/>
        <v/>
      </c>
      <c r="O434" s="65" t="str">
        <f t="shared" ref="O434:P434" si="585">N434</f>
        <v/>
      </c>
      <c r="P434" s="65" t="str">
        <f t="shared" si="585"/>
        <v/>
      </c>
      <c r="Q434" s="38"/>
      <c r="R434" s="3" t="str">
        <f t="shared" ref="R434:R441" si="586">R433</f>
        <v>Theni</v>
      </c>
      <c r="S434" s="3" t="str">
        <f t="shared" si="529"/>
        <v>Andipatti</v>
      </c>
      <c r="T434" s="3" t="str">
        <f t="shared" si="530"/>
        <v>K.Myladumparai</v>
      </c>
      <c r="U434" s="3" t="str">
        <f t="shared" si="531"/>
        <v>Theni_Andipatti_K.Myladumparai</v>
      </c>
      <c r="V434" s="3">
        <f>IF(_xlfn.XLOOKUP($U434,GCA!$H$3:$H$593,GCA!E$3:E$593,"",0,1)="","",_xlfn.XLOOKUP($U434,GCA!$H$3:$H$593,GCA!E$3:E$593,"",0,1))</f>
        <v>14262.597</v>
      </c>
      <c r="W434" s="3">
        <f>IF(_xlfn.XLOOKUP($U434,GCA!$H$3:$H$593,GCA!F$3:F$593,"",0,1)="","",_xlfn.XLOOKUP($U434,GCA!$H$3:$H$593,GCA!F$3:F$593,"",0,1))</f>
        <v>14063.056</v>
      </c>
      <c r="X434" s="3">
        <f>IF(_xlfn.XLOOKUP($U434,GCA!$H$3:$H$593,GCA!G$3:G$593,"",0,1)="","",_xlfn.XLOOKUP($U434,GCA!$H$3:$H$593,GCA!G$3:G$593,"",0,1))</f>
        <v>14283.165000000001</v>
      </c>
    </row>
    <row r="435" spans="1:24" ht="13.2">
      <c r="A435" s="49"/>
      <c r="B435" s="49"/>
      <c r="C435" s="48"/>
      <c r="D435" s="49"/>
      <c r="E435" s="50"/>
      <c r="F435" s="26" t="s">
        <v>876</v>
      </c>
      <c r="G435" s="26" t="s">
        <v>876</v>
      </c>
      <c r="H435" s="27">
        <f t="shared" si="579"/>
        <v>17999.625</v>
      </c>
      <c r="I435" s="27">
        <f t="shared" si="580"/>
        <v>18040.544999999998</v>
      </c>
      <c r="J435" s="27">
        <f t="shared" si="581"/>
        <v>18694.474999999999</v>
      </c>
      <c r="K435" s="27">
        <f t="shared" si="582"/>
        <v>18244.881666666664</v>
      </c>
      <c r="L435" s="65"/>
      <c r="M435" s="67">
        <f t="shared" si="583"/>
        <v>0</v>
      </c>
      <c r="N435" s="65" t="str">
        <f t="shared" si="526"/>
        <v/>
      </c>
      <c r="O435" s="65" t="str">
        <f t="shared" ref="O435:P435" si="587">N435</f>
        <v/>
      </c>
      <c r="P435" s="65" t="str">
        <f t="shared" si="587"/>
        <v/>
      </c>
      <c r="Q435" s="38"/>
      <c r="R435" s="3" t="str">
        <f t="shared" si="586"/>
        <v>Theni</v>
      </c>
      <c r="S435" s="3" t="str">
        <f t="shared" si="529"/>
        <v>Bodinayakanur</v>
      </c>
      <c r="T435" s="3" t="str">
        <f t="shared" si="530"/>
        <v>Bodinayakanur</v>
      </c>
      <c r="U435" s="3" t="str">
        <f t="shared" si="531"/>
        <v>Theni_Bodinayakanur_Bodinayakanur</v>
      </c>
      <c r="V435" s="3">
        <f>IF(_xlfn.XLOOKUP($U435,GCA!$H$3:$H$593,GCA!E$3:E$593,"",0,1)="","",_xlfn.XLOOKUP($U435,GCA!$H$3:$H$593,GCA!E$3:E$593,"",0,1))</f>
        <v>17999.625</v>
      </c>
      <c r="W435" s="3">
        <f>IF(_xlfn.XLOOKUP($U435,GCA!$H$3:$H$593,GCA!F$3:F$593,"",0,1)="","",_xlfn.XLOOKUP($U435,GCA!$H$3:$H$593,GCA!F$3:F$593,"",0,1))</f>
        <v>18040.544999999998</v>
      </c>
      <c r="X435" s="3">
        <f>IF(_xlfn.XLOOKUP($U435,GCA!$H$3:$H$593,GCA!G$3:G$593,"",0,1)="","",_xlfn.XLOOKUP($U435,GCA!$H$3:$H$593,GCA!G$3:G$593,"",0,1))</f>
        <v>18694.474999999999</v>
      </c>
    </row>
    <row r="436" spans="1:24" ht="13.2">
      <c r="A436" s="49"/>
      <c r="B436" s="49"/>
      <c r="C436" s="48"/>
      <c r="D436" s="49"/>
      <c r="E436" s="50"/>
      <c r="F436" s="26" t="s">
        <v>877</v>
      </c>
      <c r="G436" s="26" t="s">
        <v>877</v>
      </c>
      <c r="H436" s="27">
        <f t="shared" si="579"/>
        <v>17103.516</v>
      </c>
      <c r="I436" s="27">
        <f t="shared" si="580"/>
        <v>17492.564999999999</v>
      </c>
      <c r="J436" s="27">
        <f t="shared" si="581"/>
        <v>17892.86</v>
      </c>
      <c r="K436" s="27">
        <f t="shared" si="582"/>
        <v>17496.313666666665</v>
      </c>
      <c r="L436" s="65"/>
      <c r="M436" s="67">
        <f t="shared" si="583"/>
        <v>0</v>
      </c>
      <c r="N436" s="65" t="str">
        <f t="shared" si="526"/>
        <v/>
      </c>
      <c r="O436" s="65" t="str">
        <f t="shared" ref="O436:P436" si="588">N436</f>
        <v/>
      </c>
      <c r="P436" s="65" t="str">
        <f t="shared" si="588"/>
        <v/>
      </c>
      <c r="Q436" s="38"/>
      <c r="R436" s="3" t="str">
        <f t="shared" si="586"/>
        <v>Theni</v>
      </c>
      <c r="S436" s="3" t="str">
        <f t="shared" si="529"/>
        <v>Periyakulam</v>
      </c>
      <c r="T436" s="3" t="str">
        <f t="shared" si="530"/>
        <v>Periyakulam</v>
      </c>
      <c r="U436" s="3" t="str">
        <f t="shared" si="531"/>
        <v>Theni_Periyakulam_Periyakulam</v>
      </c>
      <c r="V436" s="3">
        <f>IF(_xlfn.XLOOKUP($U436,GCA!$H$3:$H$593,GCA!E$3:E$593,"",0,1)="","",_xlfn.XLOOKUP($U436,GCA!$H$3:$H$593,GCA!E$3:E$593,"",0,1))</f>
        <v>17103.516</v>
      </c>
      <c r="W436" s="3">
        <f>IF(_xlfn.XLOOKUP($U436,GCA!$H$3:$H$593,GCA!F$3:F$593,"",0,1)="","",_xlfn.XLOOKUP($U436,GCA!$H$3:$H$593,GCA!F$3:F$593,"",0,1))</f>
        <v>17492.564999999999</v>
      </c>
      <c r="X436" s="3">
        <f>IF(_xlfn.XLOOKUP($U436,GCA!$H$3:$H$593,GCA!G$3:G$593,"",0,1)="","",_xlfn.XLOOKUP($U436,GCA!$H$3:$H$593,GCA!G$3:G$593,"",0,1))</f>
        <v>17892.86</v>
      </c>
    </row>
    <row r="437" spans="1:24" ht="13.2">
      <c r="A437" s="49"/>
      <c r="B437" s="49"/>
      <c r="C437" s="48"/>
      <c r="D437" s="49"/>
      <c r="E437" s="50">
        <v>2</v>
      </c>
      <c r="F437" s="26" t="s">
        <v>240</v>
      </c>
      <c r="G437" s="26" t="s">
        <v>240</v>
      </c>
      <c r="H437" s="27">
        <f t="shared" si="579"/>
        <v>9438.7569999999996</v>
      </c>
      <c r="I437" s="27">
        <f t="shared" si="580"/>
        <v>9621.1409999999996</v>
      </c>
      <c r="J437" s="27">
        <f t="shared" si="581"/>
        <v>9437.4069999999992</v>
      </c>
      <c r="K437" s="27">
        <f t="shared" si="582"/>
        <v>9499.1016666666674</v>
      </c>
      <c r="L437" s="65">
        <f>SUM(K437:K440)</f>
        <v>50729.723333333335</v>
      </c>
      <c r="M437" s="67">
        <f t="shared" si="583"/>
        <v>2.1293312081787317</v>
      </c>
      <c r="N437" s="65">
        <f t="shared" si="526"/>
        <v>2</v>
      </c>
      <c r="O437" s="65">
        <f t="shared" ref="O437:P437" si="589">N437</f>
        <v>2</v>
      </c>
      <c r="P437" s="65">
        <f t="shared" si="589"/>
        <v>2</v>
      </c>
      <c r="Q437" s="38"/>
      <c r="R437" s="3" t="str">
        <f t="shared" si="586"/>
        <v>Theni</v>
      </c>
      <c r="S437" s="3" t="str">
        <f t="shared" si="529"/>
        <v>Theni</v>
      </c>
      <c r="T437" s="3" t="str">
        <f t="shared" si="530"/>
        <v>Theni</v>
      </c>
      <c r="U437" s="3" t="str">
        <f t="shared" si="531"/>
        <v>Theni_Theni_Theni</v>
      </c>
      <c r="V437" s="3">
        <f>IF(_xlfn.XLOOKUP($U437,GCA!$H$3:$H$593,GCA!E$3:E$593,"",0,1)="","",_xlfn.XLOOKUP($U437,GCA!$H$3:$H$593,GCA!E$3:E$593,"",0,1))</f>
        <v>9438.7569999999996</v>
      </c>
      <c r="W437" s="3">
        <f>IF(_xlfn.XLOOKUP($U437,GCA!$H$3:$H$593,GCA!F$3:F$593,"",0,1)="","",_xlfn.XLOOKUP($U437,GCA!$H$3:$H$593,GCA!F$3:F$593,"",0,1))</f>
        <v>9621.1409999999996</v>
      </c>
      <c r="X437" s="3">
        <f>IF(_xlfn.XLOOKUP($U437,GCA!$H$3:$H$593,GCA!G$3:G$593,"",0,1)="","",_xlfn.XLOOKUP($U437,GCA!$H$3:$H$593,GCA!G$3:G$593,"",0,1))</f>
        <v>9437.4069999999992</v>
      </c>
    </row>
    <row r="438" spans="1:24" ht="13.2">
      <c r="A438" s="49"/>
      <c r="B438" s="49"/>
      <c r="C438" s="48"/>
      <c r="D438" s="49"/>
      <c r="E438" s="50"/>
      <c r="F438" s="26" t="s">
        <v>878</v>
      </c>
      <c r="G438" s="26" t="s">
        <v>879</v>
      </c>
      <c r="H438" s="27">
        <f t="shared" si="579"/>
        <v>12169.53</v>
      </c>
      <c r="I438" s="27">
        <f t="shared" si="580"/>
        <v>12948.59</v>
      </c>
      <c r="J438" s="27">
        <f t="shared" si="581"/>
        <v>13224.8</v>
      </c>
      <c r="K438" s="27">
        <f t="shared" si="582"/>
        <v>12780.973333333333</v>
      </c>
      <c r="L438" s="65"/>
      <c r="M438" s="67">
        <f t="shared" si="583"/>
        <v>0</v>
      </c>
      <c r="N438" s="65" t="str">
        <f t="shared" si="526"/>
        <v/>
      </c>
      <c r="O438" s="65" t="str">
        <f t="shared" ref="O438:P438" si="590">N438</f>
        <v/>
      </c>
      <c r="P438" s="65" t="str">
        <f t="shared" si="590"/>
        <v/>
      </c>
      <c r="Q438" s="38"/>
      <c r="R438" s="3" t="str">
        <f t="shared" si="586"/>
        <v>Theni</v>
      </c>
      <c r="S438" s="3" t="str">
        <f t="shared" si="529"/>
        <v>Uthamapalayam</v>
      </c>
      <c r="T438" s="3" t="str">
        <f t="shared" si="530"/>
        <v>Chinnamanur</v>
      </c>
      <c r="U438" s="3" t="str">
        <f t="shared" si="531"/>
        <v>Theni_Uthamapalayam_Chinnamanur</v>
      </c>
      <c r="V438" s="3">
        <f>IF(_xlfn.XLOOKUP($U438,GCA!$H$3:$H$593,GCA!E$3:E$593,"",0,1)="","",_xlfn.XLOOKUP($U438,GCA!$H$3:$H$593,GCA!E$3:E$593,"",0,1))</f>
        <v>12169.53</v>
      </c>
      <c r="W438" s="3">
        <f>IF(_xlfn.XLOOKUP($U438,GCA!$H$3:$H$593,GCA!F$3:F$593,"",0,1)="","",_xlfn.XLOOKUP($U438,GCA!$H$3:$H$593,GCA!F$3:F$593,"",0,1))</f>
        <v>12948.59</v>
      </c>
      <c r="X438" s="3">
        <f>IF(_xlfn.XLOOKUP($U438,GCA!$H$3:$H$593,GCA!G$3:G$593,"",0,1)="","",_xlfn.XLOOKUP($U438,GCA!$H$3:$H$593,GCA!G$3:G$593,"",0,1))</f>
        <v>13224.8</v>
      </c>
    </row>
    <row r="439" spans="1:24" ht="13.2">
      <c r="A439" s="49"/>
      <c r="B439" s="49"/>
      <c r="C439" s="48"/>
      <c r="D439" s="49"/>
      <c r="E439" s="50"/>
      <c r="F439" s="26" t="s">
        <v>878</v>
      </c>
      <c r="G439" s="26" t="s">
        <v>880</v>
      </c>
      <c r="H439" s="27">
        <f t="shared" si="579"/>
        <v>16704.349999999999</v>
      </c>
      <c r="I439" s="27">
        <f t="shared" si="580"/>
        <v>16192.43</v>
      </c>
      <c r="J439" s="27">
        <f t="shared" si="581"/>
        <v>16233.385</v>
      </c>
      <c r="K439" s="27">
        <f t="shared" si="582"/>
        <v>16376.721666666666</v>
      </c>
      <c r="L439" s="65"/>
      <c r="M439" s="67">
        <f t="shared" si="583"/>
        <v>0</v>
      </c>
      <c r="N439" s="65" t="str">
        <f t="shared" si="526"/>
        <v/>
      </c>
      <c r="O439" s="65" t="str">
        <f t="shared" ref="O439:P439" si="591">N439</f>
        <v/>
      </c>
      <c r="P439" s="65" t="str">
        <f t="shared" si="591"/>
        <v/>
      </c>
      <c r="Q439" s="38"/>
      <c r="R439" s="3" t="str">
        <f t="shared" si="586"/>
        <v>Theni</v>
      </c>
      <c r="S439" s="3" t="str">
        <f t="shared" si="529"/>
        <v>Uthamapalayam</v>
      </c>
      <c r="T439" s="3" t="str">
        <f t="shared" si="530"/>
        <v>Cumbum</v>
      </c>
      <c r="U439" s="3" t="str">
        <f t="shared" si="531"/>
        <v>Theni_Uthamapalayam_Cumbum</v>
      </c>
      <c r="V439" s="3">
        <f>IF(_xlfn.XLOOKUP($U439,GCA!$H$3:$H$593,GCA!E$3:E$593,"",0,1)="","",_xlfn.XLOOKUP($U439,GCA!$H$3:$H$593,GCA!E$3:E$593,"",0,1))</f>
        <v>16704.349999999999</v>
      </c>
      <c r="W439" s="3">
        <f>IF(_xlfn.XLOOKUP($U439,GCA!$H$3:$H$593,GCA!F$3:F$593,"",0,1)="","",_xlfn.XLOOKUP($U439,GCA!$H$3:$H$593,GCA!F$3:F$593,"",0,1))</f>
        <v>16192.43</v>
      </c>
      <c r="X439" s="3">
        <f>IF(_xlfn.XLOOKUP($U439,GCA!$H$3:$H$593,GCA!G$3:G$593,"",0,1)="","",_xlfn.XLOOKUP($U439,GCA!$H$3:$H$593,GCA!G$3:G$593,"",0,1))</f>
        <v>16233.385</v>
      </c>
    </row>
    <row r="440" spans="1:24" ht="13.2">
      <c r="A440" s="49"/>
      <c r="B440" s="49"/>
      <c r="C440" s="48"/>
      <c r="D440" s="49"/>
      <c r="E440" s="50"/>
      <c r="F440" s="26" t="s">
        <v>878</v>
      </c>
      <c r="G440" s="26" t="s">
        <v>878</v>
      </c>
      <c r="H440" s="27">
        <f t="shared" si="579"/>
        <v>11979.42</v>
      </c>
      <c r="I440" s="27">
        <f t="shared" si="580"/>
        <v>12192.385</v>
      </c>
      <c r="J440" s="27">
        <f t="shared" si="581"/>
        <v>12046.975</v>
      </c>
      <c r="K440" s="27">
        <f t="shared" si="582"/>
        <v>12072.926666666666</v>
      </c>
      <c r="L440" s="65"/>
      <c r="M440" s="67">
        <f t="shared" si="583"/>
        <v>0</v>
      </c>
      <c r="N440" s="65" t="str">
        <f t="shared" si="526"/>
        <v/>
      </c>
      <c r="O440" s="65" t="str">
        <f t="shared" ref="O440:P440" si="592">N440</f>
        <v/>
      </c>
      <c r="P440" s="65" t="str">
        <f t="shared" si="592"/>
        <v/>
      </c>
      <c r="Q440" s="38"/>
      <c r="R440" s="3" t="str">
        <f t="shared" si="586"/>
        <v>Theni</v>
      </c>
      <c r="S440" s="3" t="str">
        <f t="shared" si="529"/>
        <v>Uthamapalayam</v>
      </c>
      <c r="T440" s="3" t="str">
        <f t="shared" si="530"/>
        <v>Uthamapalayam</v>
      </c>
      <c r="U440" s="3" t="str">
        <f t="shared" si="531"/>
        <v>Theni_Uthamapalayam_Uthamapalayam</v>
      </c>
      <c r="V440" s="3">
        <f>IF(_xlfn.XLOOKUP($U440,GCA!$H$3:$H$593,GCA!E$3:E$593,"",0,1)="","",_xlfn.XLOOKUP($U440,GCA!$H$3:$H$593,GCA!E$3:E$593,"",0,1))</f>
        <v>11979.42</v>
      </c>
      <c r="W440" s="3">
        <f>IF(_xlfn.XLOOKUP($U440,GCA!$H$3:$H$593,GCA!F$3:F$593,"",0,1)="","",_xlfn.XLOOKUP($U440,GCA!$H$3:$H$593,GCA!F$3:F$593,"",0,1))</f>
        <v>12192.385</v>
      </c>
      <c r="X440" s="3">
        <f>IF(_xlfn.XLOOKUP($U440,GCA!$H$3:$H$593,GCA!G$3:G$593,"",0,1)="","",_xlfn.XLOOKUP($U440,GCA!$H$3:$H$593,GCA!G$3:G$593,"",0,1))</f>
        <v>12046.975</v>
      </c>
    </row>
    <row r="441" spans="1:24" ht="13.2">
      <c r="A441" s="49"/>
      <c r="B441" s="49"/>
      <c r="C441" s="48"/>
      <c r="D441" s="49"/>
      <c r="E441" s="47" t="s">
        <v>564</v>
      </c>
      <c r="F441" s="47"/>
      <c r="G441" s="47"/>
      <c r="H441" s="29">
        <f t="shared" ref="H441" si="593">SUM(H433:H440)</f>
        <v>113340.34999999999</v>
      </c>
      <c r="I441" s="29">
        <f t="shared" ref="I441:P441" si="594">SUM(I433:I440)</f>
        <v>114451.22799999999</v>
      </c>
      <c r="J441" s="29">
        <f t="shared" si="594"/>
        <v>116068.894</v>
      </c>
      <c r="K441" s="29">
        <f t="shared" si="594"/>
        <v>114620.15733333332</v>
      </c>
      <c r="L441" s="29">
        <f t="shared" si="594"/>
        <v>114620.15733333334</v>
      </c>
      <c r="M441" s="30">
        <f t="shared" si="594"/>
        <v>4.8110705531061697</v>
      </c>
      <c r="N441" s="31">
        <f t="shared" si="594"/>
        <v>5</v>
      </c>
      <c r="O441" s="31">
        <f t="shared" si="594"/>
        <v>5</v>
      </c>
      <c r="P441" s="31">
        <f t="shared" si="594"/>
        <v>5</v>
      </c>
      <c r="Q441" s="38"/>
      <c r="R441" s="3" t="str">
        <f t="shared" si="586"/>
        <v>Theni</v>
      </c>
      <c r="S441" s="3">
        <f t="shared" si="529"/>
        <v>0</v>
      </c>
      <c r="T441" s="3">
        <f t="shared" si="530"/>
        <v>0</v>
      </c>
      <c r="U441" s="3" t="str">
        <f t="shared" si="531"/>
        <v>Theni_0_0</v>
      </c>
      <c r="V441" s="3" t="str">
        <f>IF(_xlfn.XLOOKUP($U441,GCA!$H$3:$H$593,GCA!E$3:E$593,"",0,1)="","",_xlfn.XLOOKUP($U441,GCA!$H$3:$H$593,GCA!E$3:E$593,"",0,1))</f>
        <v/>
      </c>
      <c r="W441" s="3" t="str">
        <f>IF(_xlfn.XLOOKUP($U441,GCA!$H$3:$H$593,GCA!F$3:F$593,"",0,1)="","",_xlfn.XLOOKUP($U441,GCA!$H$3:$H$593,GCA!F$3:F$593,"",0,1))</f>
        <v/>
      </c>
      <c r="X441" s="3" t="str">
        <f>IF(_xlfn.XLOOKUP($U441,GCA!$H$3:$H$593,GCA!G$3:G$593,"",0,1)="","",_xlfn.XLOOKUP($U441,GCA!$H$3:$H$593,GCA!G$3:G$593,"",0,1))</f>
        <v/>
      </c>
    </row>
    <row r="442" spans="1:24" ht="13.2">
      <c r="A442" s="49"/>
      <c r="B442" s="49"/>
      <c r="C442" s="54" t="s">
        <v>521</v>
      </c>
      <c r="D442" s="54"/>
      <c r="E442" s="54"/>
      <c r="F442" s="54"/>
      <c r="G442" s="54"/>
      <c r="H442" s="32">
        <f>SUM(H441,H432,H416,H390)</f>
        <v>582449.56699999992</v>
      </c>
      <c r="I442" s="32">
        <f t="shared" ref="I442:P442" si="595">SUM(I441,I432,I416,I390)</f>
        <v>568611.97899999993</v>
      </c>
      <c r="J442" s="32">
        <f t="shared" si="595"/>
        <v>596990.94200000004</v>
      </c>
      <c r="K442" s="32">
        <f t="shared" si="595"/>
        <v>582684.16266666667</v>
      </c>
      <c r="L442" s="32">
        <f t="shared" si="595"/>
        <v>582684.16266666679</v>
      </c>
      <c r="M442" s="46">
        <f t="shared" si="595"/>
        <v>24.457605729979853</v>
      </c>
      <c r="N442" s="32">
        <f t="shared" si="595"/>
        <v>25</v>
      </c>
      <c r="O442" s="32">
        <f t="shared" si="595"/>
        <v>25</v>
      </c>
      <c r="P442" s="32">
        <f t="shared" si="595"/>
        <v>25</v>
      </c>
      <c r="Q442" s="38"/>
      <c r="R442" s="3" t="str">
        <f t="shared" si="562"/>
        <v>SRO TOTAL</v>
      </c>
      <c r="S442" s="3">
        <f t="shared" si="529"/>
        <v>0</v>
      </c>
      <c r="T442" s="3">
        <f t="shared" si="530"/>
        <v>0</v>
      </c>
      <c r="U442" s="3" t="str">
        <f t="shared" si="531"/>
        <v>SRO TOTAL_0_0</v>
      </c>
      <c r="V442" s="3" t="str">
        <f>IF(_xlfn.XLOOKUP($U442,GCA!$H$3:$H$593,GCA!E$3:E$593,"",0,1)="","",_xlfn.XLOOKUP($U442,GCA!$H$3:$H$593,GCA!E$3:E$593,"",0,1))</f>
        <v/>
      </c>
      <c r="W442" s="3" t="str">
        <f>IF(_xlfn.XLOOKUP($U442,GCA!$H$3:$H$593,GCA!F$3:F$593,"",0,1)="","",_xlfn.XLOOKUP($U442,GCA!$H$3:$H$593,GCA!F$3:F$593,"",0,1))</f>
        <v/>
      </c>
      <c r="X442" s="3" t="str">
        <f>IF(_xlfn.XLOOKUP($U442,GCA!$H$3:$H$593,GCA!G$3:G$593,"",0,1)="","",_xlfn.XLOOKUP($U442,GCA!$H$3:$H$593,GCA!G$3:G$593,"",0,1))</f>
        <v/>
      </c>
    </row>
    <row r="443" spans="1:24" ht="13.2">
      <c r="A443" s="49"/>
      <c r="B443" s="49" t="s">
        <v>241</v>
      </c>
      <c r="C443" s="48" t="s">
        <v>242</v>
      </c>
      <c r="D443" s="49" t="s">
        <v>548</v>
      </c>
      <c r="E443" s="50">
        <v>1</v>
      </c>
      <c r="F443" s="26" t="s">
        <v>881</v>
      </c>
      <c r="G443" s="26" t="s">
        <v>882</v>
      </c>
      <c r="H443" s="27">
        <f t="shared" ref="H443:H451" si="596">V443</f>
        <v>11037.145</v>
      </c>
      <c r="I443" s="27">
        <f t="shared" ref="I443:I451" si="597">W443</f>
        <v>12627.834999999999</v>
      </c>
      <c r="J443" s="27">
        <f t="shared" ref="J443:J451" si="598">X443</f>
        <v>14388.81</v>
      </c>
      <c r="K443" s="27">
        <f t="shared" ref="K443:K451" si="599">IFERROR(AVERAGE(H443:J443),"")</f>
        <v>12684.596666666666</v>
      </c>
      <c r="L443" s="65">
        <f>SUM(K443:K446)</f>
        <v>71376.325666666671</v>
      </c>
      <c r="M443" s="67">
        <f t="shared" ref="M443:M451" si="600">L443*$L$643/$L$642</f>
        <v>2.995952427505097</v>
      </c>
      <c r="N443" s="65">
        <f t="shared" si="526"/>
        <v>3</v>
      </c>
      <c r="O443" s="65">
        <f t="shared" ref="O443:P443" si="601">N443</f>
        <v>3</v>
      </c>
      <c r="P443" s="65">
        <f t="shared" si="601"/>
        <v>3</v>
      </c>
      <c r="Q443" s="38"/>
      <c r="R443" s="3" t="str">
        <f t="shared" si="562"/>
        <v>Nagapattinam</v>
      </c>
      <c r="S443" s="3" t="str">
        <f t="shared" si="529"/>
        <v>Kilvelur</v>
      </c>
      <c r="T443" s="3" t="str">
        <f t="shared" si="530"/>
        <v>Keelaiyur</v>
      </c>
      <c r="U443" s="3" t="str">
        <f t="shared" si="531"/>
        <v>Nagapattinam_Kilvelur_Keelaiyur</v>
      </c>
      <c r="V443" s="3">
        <f>IF(_xlfn.XLOOKUP($U443,GCA!$H$3:$H$593,GCA!E$3:E$593,"",0,1)="","",_xlfn.XLOOKUP($U443,GCA!$H$3:$H$593,GCA!E$3:E$593,"",0,1))</f>
        <v>11037.145</v>
      </c>
      <c r="W443" s="3">
        <f>IF(_xlfn.XLOOKUP($U443,GCA!$H$3:$H$593,GCA!F$3:F$593,"",0,1)="","",_xlfn.XLOOKUP($U443,GCA!$H$3:$H$593,GCA!F$3:F$593,"",0,1))</f>
        <v>12627.834999999999</v>
      </c>
      <c r="X443" s="3">
        <f>IF(_xlfn.XLOOKUP($U443,GCA!$H$3:$H$593,GCA!G$3:G$593,"",0,1)="","",_xlfn.XLOOKUP($U443,GCA!$H$3:$H$593,GCA!G$3:G$593,"",0,1))</f>
        <v>14388.81</v>
      </c>
    </row>
    <row r="444" spans="1:24" ht="13.2">
      <c r="A444" s="49"/>
      <c r="B444" s="49"/>
      <c r="C444" s="48"/>
      <c r="D444" s="49"/>
      <c r="E444" s="50"/>
      <c r="F444" s="26" t="s">
        <v>881</v>
      </c>
      <c r="G444" s="26" t="s">
        <v>881</v>
      </c>
      <c r="H444" s="27">
        <f t="shared" si="596"/>
        <v>18948.171999999999</v>
      </c>
      <c r="I444" s="27">
        <f t="shared" si="597"/>
        <v>20502.189999999999</v>
      </c>
      <c r="J444" s="27">
        <f t="shared" si="598"/>
        <v>22329.374</v>
      </c>
      <c r="K444" s="27">
        <f t="shared" si="599"/>
        <v>20593.245333333329</v>
      </c>
      <c r="L444" s="65"/>
      <c r="M444" s="67">
        <f t="shared" si="600"/>
        <v>0</v>
      </c>
      <c r="N444" s="65" t="str">
        <f t="shared" si="526"/>
        <v/>
      </c>
      <c r="O444" s="65" t="str">
        <f t="shared" ref="O444:P444" si="602">N444</f>
        <v/>
      </c>
      <c r="P444" s="65" t="str">
        <f t="shared" si="602"/>
        <v/>
      </c>
      <c r="Q444" s="38"/>
      <c r="R444" s="3" t="str">
        <f t="shared" ref="R444:R452" si="603">R443</f>
        <v>Nagapattinam</v>
      </c>
      <c r="S444" s="3" t="str">
        <f t="shared" si="529"/>
        <v>Kilvelur</v>
      </c>
      <c r="T444" s="3" t="str">
        <f t="shared" si="530"/>
        <v>Kilvelur</v>
      </c>
      <c r="U444" s="3" t="str">
        <f t="shared" si="531"/>
        <v>Nagapattinam_Kilvelur_Kilvelur</v>
      </c>
      <c r="V444" s="3">
        <f>IF(_xlfn.XLOOKUP($U444,GCA!$H$3:$H$593,GCA!E$3:E$593,"",0,1)="","",_xlfn.XLOOKUP($U444,GCA!$H$3:$H$593,GCA!E$3:E$593,"",0,1))</f>
        <v>18948.171999999999</v>
      </c>
      <c r="W444" s="3">
        <f>IF(_xlfn.XLOOKUP($U444,GCA!$H$3:$H$593,GCA!F$3:F$593,"",0,1)="","",_xlfn.XLOOKUP($U444,GCA!$H$3:$H$593,GCA!F$3:F$593,"",0,1))</f>
        <v>20502.189999999999</v>
      </c>
      <c r="X444" s="3">
        <f>IF(_xlfn.XLOOKUP($U444,GCA!$H$3:$H$593,GCA!G$3:G$593,"",0,1)="","",_xlfn.XLOOKUP($U444,GCA!$H$3:$H$593,GCA!G$3:G$593,"",0,1))</f>
        <v>22329.374</v>
      </c>
    </row>
    <row r="445" spans="1:24" ht="13.2">
      <c r="A445" s="49"/>
      <c r="B445" s="49"/>
      <c r="C445" s="48"/>
      <c r="D445" s="49"/>
      <c r="E445" s="50"/>
      <c r="F445" s="26" t="s">
        <v>561</v>
      </c>
      <c r="G445" s="26" t="s">
        <v>561</v>
      </c>
      <c r="H445" s="27">
        <f t="shared" si="596"/>
        <v>11303.42</v>
      </c>
      <c r="I445" s="27">
        <f t="shared" si="597"/>
        <v>11812.668</v>
      </c>
      <c r="J445" s="27">
        <f t="shared" si="598"/>
        <v>12470.16</v>
      </c>
      <c r="K445" s="27">
        <f t="shared" si="599"/>
        <v>11862.082666666667</v>
      </c>
      <c r="L445" s="65"/>
      <c r="M445" s="67">
        <f t="shared" si="600"/>
        <v>0</v>
      </c>
      <c r="N445" s="65" t="str">
        <f t="shared" si="526"/>
        <v/>
      </c>
      <c r="O445" s="65" t="str">
        <f t="shared" ref="O445:P445" si="604">N445</f>
        <v/>
      </c>
      <c r="P445" s="65" t="str">
        <f t="shared" si="604"/>
        <v/>
      </c>
      <c r="Q445" s="38"/>
      <c r="R445" s="3" t="str">
        <f t="shared" si="603"/>
        <v>Nagapattinam</v>
      </c>
      <c r="S445" s="3" t="str">
        <f t="shared" si="529"/>
        <v>Nagappattinam</v>
      </c>
      <c r="T445" s="3" t="str">
        <f t="shared" si="530"/>
        <v>Nagappattinam</v>
      </c>
      <c r="U445" s="3" t="str">
        <f t="shared" si="531"/>
        <v>Nagapattinam_Nagappattinam_Nagappattinam</v>
      </c>
      <c r="V445" s="3">
        <f>IF(_xlfn.XLOOKUP($U445,GCA!$H$3:$H$593,GCA!E$3:E$593,"",0,1)="","",_xlfn.XLOOKUP($U445,GCA!$H$3:$H$593,GCA!E$3:E$593,"",0,1))</f>
        <v>11303.42</v>
      </c>
      <c r="W445" s="3">
        <f>IF(_xlfn.XLOOKUP($U445,GCA!$H$3:$H$593,GCA!F$3:F$593,"",0,1)="","",_xlfn.XLOOKUP($U445,GCA!$H$3:$H$593,GCA!F$3:F$593,"",0,1))</f>
        <v>11812.668</v>
      </c>
      <c r="X445" s="3">
        <f>IF(_xlfn.XLOOKUP($U445,GCA!$H$3:$H$593,GCA!G$3:G$593,"",0,1)="","",_xlfn.XLOOKUP($U445,GCA!$H$3:$H$593,GCA!G$3:G$593,"",0,1))</f>
        <v>12470.16</v>
      </c>
    </row>
    <row r="446" spans="1:24" ht="13.2">
      <c r="A446" s="49"/>
      <c r="B446" s="49"/>
      <c r="C446" s="48"/>
      <c r="D446" s="49"/>
      <c r="E446" s="50"/>
      <c r="F446" s="26" t="s">
        <v>561</v>
      </c>
      <c r="G446" s="26" t="s">
        <v>883</v>
      </c>
      <c r="H446" s="27">
        <f t="shared" si="596"/>
        <v>25875.705000000002</v>
      </c>
      <c r="I446" s="27">
        <f t="shared" si="597"/>
        <v>26064.038</v>
      </c>
      <c r="J446" s="27">
        <f t="shared" si="598"/>
        <v>26769.46</v>
      </c>
      <c r="K446" s="27">
        <f t="shared" si="599"/>
        <v>26236.401000000002</v>
      </c>
      <c r="L446" s="65"/>
      <c r="M446" s="67">
        <f t="shared" si="600"/>
        <v>0</v>
      </c>
      <c r="N446" s="65" t="str">
        <f t="shared" si="526"/>
        <v/>
      </c>
      <c r="O446" s="65" t="str">
        <f t="shared" ref="O446:P446" si="605">N446</f>
        <v/>
      </c>
      <c r="P446" s="65" t="str">
        <f t="shared" si="605"/>
        <v/>
      </c>
      <c r="Q446" s="38"/>
      <c r="R446" s="3" t="str">
        <f t="shared" si="603"/>
        <v>Nagapattinam</v>
      </c>
      <c r="S446" s="3" t="str">
        <f t="shared" si="529"/>
        <v>Nagappattinam</v>
      </c>
      <c r="T446" s="3" t="str">
        <f t="shared" si="530"/>
        <v>Thirumarugal</v>
      </c>
      <c r="U446" s="3" t="str">
        <f t="shared" si="531"/>
        <v>Nagapattinam_Nagappattinam_Thirumarugal</v>
      </c>
      <c r="V446" s="3">
        <f>IF(_xlfn.XLOOKUP($U446,GCA!$H$3:$H$593,GCA!E$3:E$593,"",0,1)="","",_xlfn.XLOOKUP($U446,GCA!$H$3:$H$593,GCA!E$3:E$593,"",0,1))</f>
        <v>25875.705000000002</v>
      </c>
      <c r="W446" s="3">
        <f>IF(_xlfn.XLOOKUP($U446,GCA!$H$3:$H$593,GCA!F$3:F$593,"",0,1)="","",_xlfn.XLOOKUP($U446,GCA!$H$3:$H$593,GCA!F$3:F$593,"",0,1))</f>
        <v>26064.038</v>
      </c>
      <c r="X446" s="3">
        <f>IF(_xlfn.XLOOKUP($U446,GCA!$H$3:$H$593,GCA!G$3:G$593,"",0,1)="","",_xlfn.XLOOKUP($U446,GCA!$H$3:$H$593,GCA!G$3:G$593,"",0,1))</f>
        <v>26769.46</v>
      </c>
    </row>
    <row r="447" spans="1:24" ht="13.2">
      <c r="A447" s="49"/>
      <c r="B447" s="49"/>
      <c r="C447" s="48"/>
      <c r="D447" s="49"/>
      <c r="E447" s="50">
        <v>2</v>
      </c>
      <c r="F447" s="26" t="s">
        <v>884</v>
      </c>
      <c r="G447" s="26" t="s">
        <v>882</v>
      </c>
      <c r="H447" s="27">
        <f t="shared" si="596"/>
        <v>4125.3149999999996</v>
      </c>
      <c r="I447" s="27">
        <f t="shared" si="597"/>
        <v>5703.3320000000003</v>
      </c>
      <c r="J447" s="27">
        <f t="shared" si="598"/>
        <v>5643.4219999999996</v>
      </c>
      <c r="K447" s="27">
        <f t="shared" si="599"/>
        <v>5157.3563333333332</v>
      </c>
      <c r="L447" s="65">
        <f>SUM(K447:K451)</f>
        <v>53666.861333333334</v>
      </c>
      <c r="M447" s="67">
        <f t="shared" si="600"/>
        <v>2.2526147428637753</v>
      </c>
      <c r="N447" s="65">
        <f t="shared" si="526"/>
        <v>2</v>
      </c>
      <c r="O447" s="65">
        <f t="shared" ref="O447:P447" si="606">N447</f>
        <v>2</v>
      </c>
      <c r="P447" s="65">
        <f t="shared" si="606"/>
        <v>2</v>
      </c>
      <c r="Q447" s="38"/>
      <c r="R447" s="3" t="str">
        <f t="shared" si="603"/>
        <v>Nagapattinam</v>
      </c>
      <c r="S447" s="3" t="str">
        <f t="shared" si="529"/>
        <v>Thirukkuvalai</v>
      </c>
      <c r="T447" s="3" t="str">
        <f t="shared" si="530"/>
        <v>Keelaiyur</v>
      </c>
      <c r="U447" s="3" t="str">
        <f t="shared" si="531"/>
        <v>Nagapattinam_Thirukkuvalai_Keelaiyur</v>
      </c>
      <c r="V447" s="3">
        <f>IF(_xlfn.XLOOKUP($U447,GCA!$H$3:$H$593,GCA!E$3:E$593,"",0,1)="","",_xlfn.XLOOKUP($U447,GCA!$H$3:$H$593,GCA!E$3:E$593,"",0,1))</f>
        <v>4125.3149999999996</v>
      </c>
      <c r="W447" s="3">
        <f>IF(_xlfn.XLOOKUP($U447,GCA!$H$3:$H$593,GCA!F$3:F$593,"",0,1)="","",_xlfn.XLOOKUP($U447,GCA!$H$3:$H$593,GCA!F$3:F$593,"",0,1))</f>
        <v>5703.3320000000003</v>
      </c>
      <c r="X447" s="3">
        <f>IF(_xlfn.XLOOKUP($U447,GCA!$H$3:$H$593,GCA!G$3:G$593,"",0,1)="","",_xlfn.XLOOKUP($U447,GCA!$H$3:$H$593,GCA!G$3:G$593,"",0,1))</f>
        <v>5643.4219999999996</v>
      </c>
    </row>
    <row r="448" spans="1:24" ht="13.2">
      <c r="A448" s="49"/>
      <c r="B448" s="49"/>
      <c r="C448" s="48"/>
      <c r="D448" s="49"/>
      <c r="E448" s="50"/>
      <c r="F448" s="26" t="s">
        <v>884</v>
      </c>
      <c r="G448" s="26" t="s">
        <v>881</v>
      </c>
      <c r="H448" s="27">
        <f t="shared" si="596"/>
        <v>4158.4949999999999</v>
      </c>
      <c r="I448" s="27">
        <f t="shared" si="597"/>
        <v>4282.0649999999996</v>
      </c>
      <c r="J448" s="27">
        <f t="shared" si="598"/>
        <v>4636.9949999999999</v>
      </c>
      <c r="K448" s="27">
        <f t="shared" si="599"/>
        <v>4359.1850000000004</v>
      </c>
      <c r="L448" s="65"/>
      <c r="M448" s="67">
        <f t="shared" si="600"/>
        <v>0</v>
      </c>
      <c r="N448" s="65" t="str">
        <f t="shared" si="526"/>
        <v/>
      </c>
      <c r="O448" s="65" t="str">
        <f t="shared" ref="O448:P448" si="607">N448</f>
        <v/>
      </c>
      <c r="P448" s="65" t="str">
        <f t="shared" si="607"/>
        <v/>
      </c>
      <c r="Q448" s="38"/>
      <c r="R448" s="3" t="str">
        <f t="shared" si="603"/>
        <v>Nagapattinam</v>
      </c>
      <c r="S448" s="3" t="str">
        <f t="shared" si="529"/>
        <v>Thirukkuvalai</v>
      </c>
      <c r="T448" s="3" t="str">
        <f t="shared" si="530"/>
        <v>Kilvelur</v>
      </c>
      <c r="U448" s="3" t="str">
        <f t="shared" si="531"/>
        <v>Nagapattinam_Thirukkuvalai_Kilvelur</v>
      </c>
      <c r="V448" s="3">
        <f>IF(_xlfn.XLOOKUP($U448,GCA!$H$3:$H$593,GCA!E$3:E$593,"",0,1)="","",_xlfn.XLOOKUP($U448,GCA!$H$3:$H$593,GCA!E$3:E$593,"",0,1))</f>
        <v>4158.4949999999999</v>
      </c>
      <c r="W448" s="3">
        <f>IF(_xlfn.XLOOKUP($U448,GCA!$H$3:$H$593,GCA!F$3:F$593,"",0,1)="","",_xlfn.XLOOKUP($U448,GCA!$H$3:$H$593,GCA!F$3:F$593,"",0,1))</f>
        <v>4282.0649999999996</v>
      </c>
      <c r="X448" s="3">
        <f>IF(_xlfn.XLOOKUP($U448,GCA!$H$3:$H$593,GCA!G$3:G$593,"",0,1)="","",_xlfn.XLOOKUP($U448,GCA!$H$3:$H$593,GCA!G$3:G$593,"",0,1))</f>
        <v>4636.9949999999999</v>
      </c>
    </row>
    <row r="449" spans="1:24" ht="13.2">
      <c r="A449" s="49"/>
      <c r="B449" s="49"/>
      <c r="C449" s="48"/>
      <c r="D449" s="49"/>
      <c r="E449" s="50"/>
      <c r="F449" s="26" t="s">
        <v>884</v>
      </c>
      <c r="G449" s="26" t="s">
        <v>885</v>
      </c>
      <c r="H449" s="27">
        <f t="shared" si="596"/>
        <v>7255.875</v>
      </c>
      <c r="I449" s="27">
        <f t="shared" si="597"/>
        <v>9422.39</v>
      </c>
      <c r="J449" s="27">
        <f t="shared" si="598"/>
        <v>10314.579</v>
      </c>
      <c r="K449" s="27">
        <f t="shared" si="599"/>
        <v>8997.6146666666664</v>
      </c>
      <c r="L449" s="65"/>
      <c r="M449" s="67">
        <f t="shared" si="600"/>
        <v>0</v>
      </c>
      <c r="N449" s="65" t="str">
        <f t="shared" si="526"/>
        <v/>
      </c>
      <c r="O449" s="65" t="str">
        <f t="shared" ref="O449:P449" si="608">N449</f>
        <v/>
      </c>
      <c r="P449" s="65" t="str">
        <f t="shared" si="608"/>
        <v/>
      </c>
      <c r="Q449" s="38"/>
      <c r="R449" s="3" t="str">
        <f t="shared" si="603"/>
        <v>Nagapattinam</v>
      </c>
      <c r="S449" s="3" t="str">
        <f t="shared" si="529"/>
        <v>Thirukkuvalai</v>
      </c>
      <c r="T449" s="3" t="str">
        <f t="shared" si="530"/>
        <v>Thalainayar</v>
      </c>
      <c r="U449" s="3" t="str">
        <f t="shared" si="531"/>
        <v>Nagapattinam_Thirukkuvalai_Thalainayar</v>
      </c>
      <c r="V449" s="3">
        <f>IF(_xlfn.XLOOKUP($U449,GCA!$H$3:$H$593,GCA!E$3:E$593,"",0,1)="","",_xlfn.XLOOKUP($U449,GCA!$H$3:$H$593,GCA!E$3:E$593,"",0,1))</f>
        <v>7255.875</v>
      </c>
      <c r="W449" s="3">
        <f>IF(_xlfn.XLOOKUP($U449,GCA!$H$3:$H$593,GCA!F$3:F$593,"",0,1)="","",_xlfn.XLOOKUP($U449,GCA!$H$3:$H$593,GCA!F$3:F$593,"",0,1))</f>
        <v>9422.39</v>
      </c>
      <c r="X449" s="3">
        <f>IF(_xlfn.XLOOKUP($U449,GCA!$H$3:$H$593,GCA!G$3:G$593,"",0,1)="","",_xlfn.XLOOKUP($U449,GCA!$H$3:$H$593,GCA!G$3:G$593,"",0,1))</f>
        <v>10314.579</v>
      </c>
    </row>
    <row r="450" spans="1:24" ht="13.2">
      <c r="A450" s="49"/>
      <c r="B450" s="49"/>
      <c r="C450" s="48"/>
      <c r="D450" s="49"/>
      <c r="E450" s="50"/>
      <c r="F450" s="26" t="s">
        <v>886</v>
      </c>
      <c r="G450" s="26" t="s">
        <v>885</v>
      </c>
      <c r="H450" s="27">
        <f t="shared" si="596"/>
        <v>7170.6030000000001</v>
      </c>
      <c r="I450" s="27">
        <f t="shared" si="597"/>
        <v>9164.49</v>
      </c>
      <c r="J450" s="27">
        <f t="shared" si="598"/>
        <v>8878.0949999999993</v>
      </c>
      <c r="K450" s="27">
        <f t="shared" si="599"/>
        <v>8404.3960000000006</v>
      </c>
      <c r="L450" s="65"/>
      <c r="M450" s="67">
        <f t="shared" si="600"/>
        <v>0</v>
      </c>
      <c r="N450" s="65" t="str">
        <f t="shared" si="526"/>
        <v/>
      </c>
      <c r="O450" s="65" t="str">
        <f t="shared" ref="O450:P450" si="609">N450</f>
        <v/>
      </c>
      <c r="P450" s="65" t="str">
        <f t="shared" si="609"/>
        <v/>
      </c>
      <c r="Q450" s="38"/>
      <c r="R450" s="3" t="str">
        <f t="shared" si="603"/>
        <v>Nagapattinam</v>
      </c>
      <c r="S450" s="3" t="str">
        <f t="shared" si="529"/>
        <v>Vedaranyam</v>
      </c>
      <c r="T450" s="3" t="str">
        <f t="shared" si="530"/>
        <v>Thalainayar</v>
      </c>
      <c r="U450" s="3" t="str">
        <f t="shared" si="531"/>
        <v>Nagapattinam_Vedaranyam_Thalainayar</v>
      </c>
      <c r="V450" s="3">
        <f>IF(_xlfn.XLOOKUP($U450,GCA!$H$3:$H$593,GCA!E$3:E$593,"",0,1)="","",_xlfn.XLOOKUP($U450,GCA!$H$3:$H$593,GCA!E$3:E$593,"",0,1))</f>
        <v>7170.6030000000001</v>
      </c>
      <c r="W450" s="3">
        <f>IF(_xlfn.XLOOKUP($U450,GCA!$H$3:$H$593,GCA!F$3:F$593,"",0,1)="","",_xlfn.XLOOKUP($U450,GCA!$H$3:$H$593,GCA!F$3:F$593,"",0,1))</f>
        <v>9164.49</v>
      </c>
      <c r="X450" s="3">
        <f>IF(_xlfn.XLOOKUP($U450,GCA!$H$3:$H$593,GCA!G$3:G$593,"",0,1)="","",_xlfn.XLOOKUP($U450,GCA!$H$3:$H$593,GCA!G$3:G$593,"",0,1))</f>
        <v>8878.0949999999993</v>
      </c>
    </row>
    <row r="451" spans="1:24" ht="13.2">
      <c r="A451" s="49"/>
      <c r="B451" s="49"/>
      <c r="C451" s="48"/>
      <c r="D451" s="49"/>
      <c r="E451" s="50"/>
      <c r="F451" s="26" t="s">
        <v>886</v>
      </c>
      <c r="G451" s="26" t="s">
        <v>886</v>
      </c>
      <c r="H451" s="27">
        <f t="shared" si="596"/>
        <v>25733.712</v>
      </c>
      <c r="I451" s="27">
        <f t="shared" si="597"/>
        <v>28254.47</v>
      </c>
      <c r="J451" s="27">
        <f t="shared" si="598"/>
        <v>26256.745999999999</v>
      </c>
      <c r="K451" s="27">
        <f t="shared" si="599"/>
        <v>26748.309333333335</v>
      </c>
      <c r="L451" s="65"/>
      <c r="M451" s="67">
        <f t="shared" si="600"/>
        <v>0</v>
      </c>
      <c r="N451" s="65" t="str">
        <f t="shared" si="526"/>
        <v/>
      </c>
      <c r="O451" s="65" t="str">
        <f t="shared" ref="O451:P451" si="610">N451</f>
        <v/>
      </c>
      <c r="P451" s="65" t="str">
        <f t="shared" si="610"/>
        <v/>
      </c>
      <c r="Q451" s="38"/>
      <c r="R451" s="3" t="str">
        <f t="shared" si="603"/>
        <v>Nagapattinam</v>
      </c>
      <c r="S451" s="3" t="str">
        <f t="shared" si="529"/>
        <v>Vedaranyam</v>
      </c>
      <c r="T451" s="3" t="str">
        <f t="shared" si="530"/>
        <v>Vedaranyam</v>
      </c>
      <c r="U451" s="3" t="str">
        <f t="shared" si="531"/>
        <v>Nagapattinam_Vedaranyam_Vedaranyam</v>
      </c>
      <c r="V451" s="3">
        <f>IF(_xlfn.XLOOKUP($U451,GCA!$H$3:$H$593,GCA!E$3:E$593,"",0,1)="","",_xlfn.XLOOKUP($U451,GCA!$H$3:$H$593,GCA!E$3:E$593,"",0,1))</f>
        <v>25733.712</v>
      </c>
      <c r="W451" s="3">
        <f>IF(_xlfn.XLOOKUP($U451,GCA!$H$3:$H$593,GCA!F$3:F$593,"",0,1)="","",_xlfn.XLOOKUP($U451,GCA!$H$3:$H$593,GCA!F$3:F$593,"",0,1))</f>
        <v>28254.47</v>
      </c>
      <c r="X451" s="3">
        <f>IF(_xlfn.XLOOKUP($U451,GCA!$H$3:$H$593,GCA!G$3:G$593,"",0,1)="","",_xlfn.XLOOKUP($U451,GCA!$H$3:$H$593,GCA!G$3:G$593,"",0,1))</f>
        <v>26256.745999999999</v>
      </c>
    </row>
    <row r="452" spans="1:24" ht="13.2">
      <c r="A452" s="49"/>
      <c r="B452" s="49"/>
      <c r="C452" s="48"/>
      <c r="D452" s="49"/>
      <c r="E452" s="47" t="s">
        <v>564</v>
      </c>
      <c r="F452" s="47"/>
      <c r="G452" s="47"/>
      <c r="H452" s="29">
        <f t="shared" ref="H452:P452" si="611">SUM(H443:H451)</f>
        <v>115608.44200000001</v>
      </c>
      <c r="I452" s="29">
        <f t="shared" si="611"/>
        <v>127833.478</v>
      </c>
      <c r="J452" s="29">
        <f t="shared" si="611"/>
        <v>131687.641</v>
      </c>
      <c r="K452" s="29">
        <f t="shared" si="611"/>
        <v>125043.18700000001</v>
      </c>
      <c r="L452" s="29">
        <f t="shared" si="611"/>
        <v>125043.18700000001</v>
      </c>
      <c r="M452" s="30">
        <f t="shared" si="611"/>
        <v>5.2485671703688723</v>
      </c>
      <c r="N452" s="31">
        <f t="shared" si="611"/>
        <v>5</v>
      </c>
      <c r="O452" s="31">
        <f t="shared" si="611"/>
        <v>5</v>
      </c>
      <c r="P452" s="31">
        <f t="shared" si="611"/>
        <v>5</v>
      </c>
      <c r="Q452" s="38"/>
      <c r="R452" s="3" t="str">
        <f t="shared" si="603"/>
        <v>Nagapattinam</v>
      </c>
      <c r="S452" s="3">
        <f t="shared" si="529"/>
        <v>0</v>
      </c>
      <c r="T452" s="3">
        <f t="shared" si="530"/>
        <v>0</v>
      </c>
      <c r="U452" s="3" t="str">
        <f t="shared" si="531"/>
        <v>Nagapattinam_0_0</v>
      </c>
      <c r="V452" s="3" t="str">
        <f>IF(_xlfn.XLOOKUP($U452,GCA!$H$3:$H$593,GCA!E$3:E$593,"",0,1)="","",_xlfn.XLOOKUP($U452,GCA!$H$3:$H$593,GCA!E$3:E$593,"",0,1))</f>
        <v/>
      </c>
      <c r="W452" s="3" t="str">
        <f>IF(_xlfn.XLOOKUP($U452,GCA!$H$3:$H$593,GCA!F$3:F$593,"",0,1)="","",_xlfn.XLOOKUP($U452,GCA!$H$3:$H$593,GCA!F$3:F$593,"",0,1))</f>
        <v/>
      </c>
      <c r="X452" s="3" t="str">
        <f>IF(_xlfn.XLOOKUP($U452,GCA!$H$3:$H$593,GCA!G$3:G$593,"",0,1)="","",_xlfn.XLOOKUP($U452,GCA!$H$3:$H$593,GCA!G$3:G$593,"",0,1))</f>
        <v/>
      </c>
    </row>
    <row r="453" spans="1:24" ht="13.2">
      <c r="A453" s="49"/>
      <c r="B453" s="49"/>
      <c r="C453" s="48" t="s">
        <v>243</v>
      </c>
      <c r="D453" s="49" t="s">
        <v>549</v>
      </c>
      <c r="E453" s="50">
        <v>1</v>
      </c>
      <c r="F453" s="26" t="s">
        <v>887</v>
      </c>
      <c r="G453" s="26" t="s">
        <v>887</v>
      </c>
      <c r="H453" s="27">
        <f t="shared" ref="H453:H474" si="612">V453</f>
        <v>18895.54</v>
      </c>
      <c r="I453" s="27">
        <f t="shared" ref="I453:I474" si="613">W453</f>
        <v>20038.264999999999</v>
      </c>
      <c r="J453" s="27">
        <f t="shared" ref="J453:J474" si="614">X453</f>
        <v>24237.4</v>
      </c>
      <c r="K453" s="27">
        <f t="shared" ref="K453:K474" si="615">IFERROR(AVERAGE(H453:J453),"")</f>
        <v>21057.068333333333</v>
      </c>
      <c r="L453" s="65">
        <f>SUM(K453:K458)</f>
        <v>51734.763333333329</v>
      </c>
      <c r="M453" s="67">
        <f t="shared" ref="M453:M462" si="616">L453*$L$643/$L$642</f>
        <v>2.1715167928192409</v>
      </c>
      <c r="N453" s="65">
        <f t="shared" si="526"/>
        <v>2</v>
      </c>
      <c r="O453" s="65">
        <f t="shared" ref="O453:P453" si="617">N453</f>
        <v>2</v>
      </c>
      <c r="P453" s="65">
        <f t="shared" si="617"/>
        <v>2</v>
      </c>
      <c r="Q453" s="38"/>
      <c r="R453" s="3" t="str">
        <f t="shared" si="562"/>
        <v>Thiruvarur</v>
      </c>
      <c r="S453" s="3" t="str">
        <f t="shared" si="529"/>
        <v>Kodavasal</v>
      </c>
      <c r="T453" s="3" t="str">
        <f t="shared" si="530"/>
        <v>Kodavasal</v>
      </c>
      <c r="U453" s="3" t="str">
        <f t="shared" si="531"/>
        <v>Thiruvarur_Kodavasal_Kodavasal</v>
      </c>
      <c r="V453" s="3">
        <f>IF(_xlfn.XLOOKUP($U453,GCA!$H$3:$H$593,GCA!E$3:E$593,"",0,1)="","",_xlfn.XLOOKUP($U453,GCA!$H$3:$H$593,GCA!E$3:E$593,"",0,1))</f>
        <v>18895.54</v>
      </c>
      <c r="W453" s="3">
        <f>IF(_xlfn.XLOOKUP($U453,GCA!$H$3:$H$593,GCA!F$3:F$593,"",0,1)="","",_xlfn.XLOOKUP($U453,GCA!$H$3:$H$593,GCA!F$3:F$593,"",0,1))</f>
        <v>20038.264999999999</v>
      </c>
      <c r="X453" s="3">
        <f>IF(_xlfn.XLOOKUP($U453,GCA!$H$3:$H$593,GCA!G$3:G$593,"",0,1)="","",_xlfn.XLOOKUP($U453,GCA!$H$3:$H$593,GCA!G$3:G$593,"",0,1))</f>
        <v>24237.4</v>
      </c>
    </row>
    <row r="454" spans="1:24" ht="13.2">
      <c r="A454" s="49"/>
      <c r="B454" s="49"/>
      <c r="C454" s="48"/>
      <c r="D454" s="49"/>
      <c r="E454" s="50"/>
      <c r="F454" s="26" t="s">
        <v>887</v>
      </c>
      <c r="G454" s="26" t="s">
        <v>888</v>
      </c>
      <c r="H454" s="27">
        <f t="shared" si="612"/>
        <v>3927.65</v>
      </c>
      <c r="I454" s="27">
        <f t="shared" si="613"/>
        <v>3960.75</v>
      </c>
      <c r="J454" s="27">
        <f t="shared" si="614"/>
        <v>4944.2950000000001</v>
      </c>
      <c r="K454" s="27">
        <f t="shared" si="615"/>
        <v>4277.5649999999996</v>
      </c>
      <c r="L454" s="65"/>
      <c r="M454" s="67">
        <f t="shared" si="616"/>
        <v>0</v>
      </c>
      <c r="N454" s="65" t="str">
        <f t="shared" si="526"/>
        <v/>
      </c>
      <c r="O454" s="65" t="str">
        <f t="shared" ref="O454:P454" si="618">N454</f>
        <v/>
      </c>
      <c r="P454" s="65" t="str">
        <f t="shared" si="618"/>
        <v/>
      </c>
      <c r="Q454" s="38"/>
      <c r="R454" s="3" t="str">
        <f t="shared" ref="R454:R475" si="619">R453</f>
        <v>Thiruvarur</v>
      </c>
      <c r="S454" s="3" t="str">
        <f t="shared" si="529"/>
        <v>Kodavasal</v>
      </c>
      <c r="T454" s="3" t="str">
        <f t="shared" si="530"/>
        <v>Koradacheri</v>
      </c>
      <c r="U454" s="3" t="str">
        <f t="shared" si="531"/>
        <v>Thiruvarur_Kodavasal_Koradacheri</v>
      </c>
      <c r="V454" s="3">
        <f>IF(_xlfn.XLOOKUP($U454,GCA!$H$3:$H$593,GCA!E$3:E$593,"",0,1)="","",_xlfn.XLOOKUP($U454,GCA!$H$3:$H$593,GCA!E$3:E$593,"",0,1))</f>
        <v>3927.65</v>
      </c>
      <c r="W454" s="3">
        <f>IF(_xlfn.XLOOKUP($U454,GCA!$H$3:$H$593,GCA!F$3:F$593,"",0,1)="","",_xlfn.XLOOKUP($U454,GCA!$H$3:$H$593,GCA!F$3:F$593,"",0,1))</f>
        <v>3960.75</v>
      </c>
      <c r="X454" s="3">
        <f>IF(_xlfn.XLOOKUP($U454,GCA!$H$3:$H$593,GCA!G$3:G$593,"",0,1)="","",_xlfn.XLOOKUP($U454,GCA!$H$3:$H$593,GCA!G$3:G$593,"",0,1))</f>
        <v>4944.2950000000001</v>
      </c>
    </row>
    <row r="455" spans="1:24" ht="13.2">
      <c r="A455" s="49"/>
      <c r="B455" s="49"/>
      <c r="C455" s="48"/>
      <c r="D455" s="49"/>
      <c r="E455" s="50"/>
      <c r="F455" s="26" t="s">
        <v>889</v>
      </c>
      <c r="G455" s="26" t="s">
        <v>888</v>
      </c>
      <c r="H455" s="27">
        <f t="shared" si="612"/>
        <v>6109.61</v>
      </c>
      <c r="I455" s="27">
        <f t="shared" si="613"/>
        <v>5891.65</v>
      </c>
      <c r="J455" s="27">
        <f t="shared" si="614"/>
        <v>7268.0150000000003</v>
      </c>
      <c r="K455" s="27">
        <f t="shared" si="615"/>
        <v>6423.0916666666662</v>
      </c>
      <c r="L455" s="65"/>
      <c r="M455" s="67">
        <f t="shared" si="616"/>
        <v>0</v>
      </c>
      <c r="N455" s="65" t="str">
        <f t="shared" si="526"/>
        <v/>
      </c>
      <c r="O455" s="65" t="str">
        <f t="shared" ref="O455:P455" si="620">N455</f>
        <v/>
      </c>
      <c r="P455" s="65" t="str">
        <f t="shared" si="620"/>
        <v/>
      </c>
      <c r="Q455" s="38"/>
      <c r="R455" s="3" t="str">
        <f t="shared" si="619"/>
        <v>Thiruvarur</v>
      </c>
      <c r="S455" s="3" t="str">
        <f t="shared" si="529"/>
        <v>Koothanallur</v>
      </c>
      <c r="T455" s="3" t="str">
        <f t="shared" si="530"/>
        <v>Koradacheri</v>
      </c>
      <c r="U455" s="3" t="str">
        <f t="shared" si="531"/>
        <v>Thiruvarur_Koothanallur_Koradacheri</v>
      </c>
      <c r="V455" s="3">
        <f>IF(_xlfn.XLOOKUP($U455,GCA!$H$3:$H$593,GCA!E$3:E$593,"",0,1)="","",_xlfn.XLOOKUP($U455,GCA!$H$3:$H$593,GCA!E$3:E$593,"",0,1))</f>
        <v>6109.61</v>
      </c>
      <c r="W455" s="3">
        <f>IF(_xlfn.XLOOKUP($U455,GCA!$H$3:$H$593,GCA!F$3:F$593,"",0,1)="","",_xlfn.XLOOKUP($U455,GCA!$H$3:$H$593,GCA!F$3:F$593,"",0,1))</f>
        <v>5891.65</v>
      </c>
      <c r="X455" s="3">
        <f>IF(_xlfn.XLOOKUP($U455,GCA!$H$3:$H$593,GCA!G$3:G$593,"",0,1)="","",_xlfn.XLOOKUP($U455,GCA!$H$3:$H$593,GCA!G$3:G$593,"",0,1))</f>
        <v>7268.0150000000003</v>
      </c>
    </row>
    <row r="456" spans="1:24" ht="13.2">
      <c r="A456" s="49"/>
      <c r="B456" s="49"/>
      <c r="C456" s="48"/>
      <c r="D456" s="49"/>
      <c r="E456" s="50"/>
      <c r="F456" s="26" t="s">
        <v>889</v>
      </c>
      <c r="G456" s="26" t="s">
        <v>890</v>
      </c>
      <c r="H456" s="27">
        <f t="shared" si="612"/>
        <v>2707.13</v>
      </c>
      <c r="I456" s="27">
        <f t="shared" si="613"/>
        <v>3295.67</v>
      </c>
      <c r="J456" s="27">
        <f t="shared" si="614"/>
        <v>3278.8850000000002</v>
      </c>
      <c r="K456" s="27">
        <f t="shared" si="615"/>
        <v>3093.8950000000004</v>
      </c>
      <c r="L456" s="65"/>
      <c r="M456" s="67">
        <f t="shared" si="616"/>
        <v>0</v>
      </c>
      <c r="N456" s="65" t="str">
        <f t="shared" si="526"/>
        <v/>
      </c>
      <c r="O456" s="65" t="str">
        <f t="shared" ref="O456:P456" si="621">N456</f>
        <v/>
      </c>
      <c r="P456" s="65" t="str">
        <f t="shared" si="621"/>
        <v/>
      </c>
      <c r="Q456" s="38"/>
      <c r="R456" s="3" t="str">
        <f t="shared" si="619"/>
        <v>Thiruvarur</v>
      </c>
      <c r="S456" s="3" t="str">
        <f t="shared" si="529"/>
        <v>Koothanallur</v>
      </c>
      <c r="T456" s="3" t="str">
        <f t="shared" si="530"/>
        <v>Kottur</v>
      </c>
      <c r="U456" s="3" t="str">
        <f t="shared" si="531"/>
        <v>Thiruvarur_Koothanallur_Kottur</v>
      </c>
      <c r="V456" s="3">
        <f>IF(_xlfn.XLOOKUP($U456,GCA!$H$3:$H$593,GCA!E$3:E$593,"",0,1)="","",_xlfn.XLOOKUP($U456,GCA!$H$3:$H$593,GCA!E$3:E$593,"",0,1))</f>
        <v>2707.13</v>
      </c>
      <c r="W456" s="3">
        <f>IF(_xlfn.XLOOKUP($U456,GCA!$H$3:$H$593,GCA!F$3:F$593,"",0,1)="","",_xlfn.XLOOKUP($U456,GCA!$H$3:$H$593,GCA!F$3:F$593,"",0,1))</f>
        <v>3295.67</v>
      </c>
      <c r="X456" s="3">
        <f>IF(_xlfn.XLOOKUP($U456,GCA!$H$3:$H$593,GCA!G$3:G$593,"",0,1)="","",_xlfn.XLOOKUP($U456,GCA!$H$3:$H$593,GCA!G$3:G$593,"",0,1))</f>
        <v>3278.8850000000002</v>
      </c>
    </row>
    <row r="457" spans="1:24" ht="13.2">
      <c r="A457" s="49"/>
      <c r="B457" s="49"/>
      <c r="C457" s="48"/>
      <c r="D457" s="49"/>
      <c r="E457" s="50"/>
      <c r="F457" s="26" t="s">
        <v>889</v>
      </c>
      <c r="G457" s="26" t="s">
        <v>891</v>
      </c>
      <c r="H457" s="27">
        <f t="shared" si="612"/>
        <v>13118.88</v>
      </c>
      <c r="I457" s="27">
        <f t="shared" si="613"/>
        <v>15226.23</v>
      </c>
      <c r="J457" s="27">
        <f t="shared" si="614"/>
        <v>15662.49</v>
      </c>
      <c r="K457" s="27">
        <f t="shared" si="615"/>
        <v>14669.199999999999</v>
      </c>
      <c r="L457" s="65"/>
      <c r="M457" s="67">
        <f t="shared" si="616"/>
        <v>0</v>
      </c>
      <c r="N457" s="65" t="str">
        <f t="shared" si="526"/>
        <v/>
      </c>
      <c r="O457" s="65" t="str">
        <f t="shared" ref="O457:P457" si="622">N457</f>
        <v/>
      </c>
      <c r="P457" s="65" t="str">
        <f t="shared" si="622"/>
        <v/>
      </c>
      <c r="Q457" s="38"/>
      <c r="R457" s="3" t="str">
        <f t="shared" si="619"/>
        <v>Thiruvarur</v>
      </c>
      <c r="S457" s="3" t="str">
        <f t="shared" si="529"/>
        <v>Koothanallur</v>
      </c>
      <c r="T457" s="3" t="str">
        <f t="shared" si="530"/>
        <v>Mannargudi</v>
      </c>
      <c r="U457" s="3" t="str">
        <f t="shared" si="531"/>
        <v>Thiruvarur_Koothanallur_Mannargudi</v>
      </c>
      <c r="V457" s="3">
        <f>IF(_xlfn.XLOOKUP($U457,GCA!$H$3:$H$593,GCA!E$3:E$593,"",0,1)="","",_xlfn.XLOOKUP($U457,GCA!$H$3:$H$593,GCA!E$3:E$593,"",0,1))</f>
        <v>13118.88</v>
      </c>
      <c r="W457" s="3">
        <f>IF(_xlfn.XLOOKUP($U457,GCA!$H$3:$H$593,GCA!F$3:F$593,"",0,1)="","",_xlfn.XLOOKUP($U457,GCA!$H$3:$H$593,GCA!F$3:F$593,"",0,1))</f>
        <v>15226.23</v>
      </c>
      <c r="X457" s="3">
        <f>IF(_xlfn.XLOOKUP($U457,GCA!$H$3:$H$593,GCA!G$3:G$593,"",0,1)="","",_xlfn.XLOOKUP($U457,GCA!$H$3:$H$593,GCA!G$3:G$593,"",0,1))</f>
        <v>15662.49</v>
      </c>
    </row>
    <row r="458" spans="1:24" ht="13.2">
      <c r="A458" s="49"/>
      <c r="B458" s="49"/>
      <c r="C458" s="48"/>
      <c r="D458" s="49"/>
      <c r="E458" s="50"/>
      <c r="F458" s="26" t="s">
        <v>889</v>
      </c>
      <c r="G458" s="26" t="s">
        <v>892</v>
      </c>
      <c r="H458" s="27">
        <f t="shared" si="612"/>
        <v>1811.44</v>
      </c>
      <c r="I458" s="27">
        <f t="shared" si="613"/>
        <v>2403.9899999999998</v>
      </c>
      <c r="J458" s="27">
        <f t="shared" si="614"/>
        <v>2426.4</v>
      </c>
      <c r="K458" s="27">
        <f t="shared" si="615"/>
        <v>2213.9433333333332</v>
      </c>
      <c r="L458" s="65"/>
      <c r="M458" s="67">
        <f t="shared" si="616"/>
        <v>0</v>
      </c>
      <c r="N458" s="65" t="str">
        <f t="shared" si="526"/>
        <v/>
      </c>
      <c r="O458" s="65" t="str">
        <f t="shared" ref="O458:P458" si="623">N458</f>
        <v/>
      </c>
      <c r="P458" s="65" t="str">
        <f t="shared" si="623"/>
        <v/>
      </c>
      <c r="Q458" s="38"/>
      <c r="R458" s="3" t="str">
        <f t="shared" si="619"/>
        <v>Thiruvarur</v>
      </c>
      <c r="S458" s="3" t="str">
        <f t="shared" si="529"/>
        <v>Koothanallur</v>
      </c>
      <c r="T458" s="3" t="str">
        <f t="shared" si="530"/>
        <v>Nidamangalam</v>
      </c>
      <c r="U458" s="3" t="str">
        <f t="shared" si="531"/>
        <v>Thiruvarur_Koothanallur_Nidamangalam</v>
      </c>
      <c r="V458" s="3">
        <f>IF(_xlfn.XLOOKUP($U458,GCA!$H$3:$H$593,GCA!E$3:E$593,"",0,1)="","",_xlfn.XLOOKUP($U458,GCA!$H$3:$H$593,GCA!E$3:E$593,"",0,1))</f>
        <v>1811.44</v>
      </c>
      <c r="W458" s="3">
        <f>IF(_xlfn.XLOOKUP($U458,GCA!$H$3:$H$593,GCA!F$3:F$593,"",0,1)="","",_xlfn.XLOOKUP($U458,GCA!$H$3:$H$593,GCA!F$3:F$593,"",0,1))</f>
        <v>2403.9899999999998</v>
      </c>
      <c r="X458" s="3">
        <f>IF(_xlfn.XLOOKUP($U458,GCA!$H$3:$H$593,GCA!G$3:G$593,"",0,1)="","",_xlfn.XLOOKUP($U458,GCA!$H$3:$H$593,GCA!G$3:G$593,"",0,1))</f>
        <v>2426.4</v>
      </c>
    </row>
    <row r="459" spans="1:24" ht="13.2">
      <c r="A459" s="49"/>
      <c r="B459" s="49"/>
      <c r="C459" s="48"/>
      <c r="D459" s="49"/>
      <c r="E459" s="50">
        <v>2</v>
      </c>
      <c r="F459" s="26" t="s">
        <v>891</v>
      </c>
      <c r="G459" s="26" t="s">
        <v>890</v>
      </c>
      <c r="H459" s="27">
        <f t="shared" si="612"/>
        <v>18950.055</v>
      </c>
      <c r="I459" s="27">
        <f t="shared" si="613"/>
        <v>22949.605</v>
      </c>
      <c r="J459" s="27">
        <f t="shared" si="614"/>
        <v>22017.605</v>
      </c>
      <c r="K459" s="27">
        <f t="shared" si="615"/>
        <v>21305.755000000001</v>
      </c>
      <c r="L459" s="65">
        <f>SUM(K459:K461)</f>
        <v>52984.818333333336</v>
      </c>
      <c r="M459" s="67">
        <f t="shared" si="616"/>
        <v>2.2239866457681705</v>
      </c>
      <c r="N459" s="65">
        <f t="shared" si="526"/>
        <v>2</v>
      </c>
      <c r="O459" s="65">
        <f t="shared" ref="O459:P459" si="624">N459</f>
        <v>2</v>
      </c>
      <c r="P459" s="65">
        <f t="shared" si="624"/>
        <v>2</v>
      </c>
      <c r="Q459" s="38"/>
      <c r="R459" s="3" t="str">
        <f t="shared" si="619"/>
        <v>Thiruvarur</v>
      </c>
      <c r="S459" s="3" t="str">
        <f t="shared" si="529"/>
        <v>Mannargudi</v>
      </c>
      <c r="T459" s="3" t="str">
        <f t="shared" si="530"/>
        <v>Kottur</v>
      </c>
      <c r="U459" s="3" t="str">
        <f t="shared" si="531"/>
        <v>Thiruvarur_Mannargudi_Kottur</v>
      </c>
      <c r="V459" s="3">
        <f>IF(_xlfn.XLOOKUP($U459,GCA!$H$3:$H$593,GCA!E$3:E$593,"",0,1)="","",_xlfn.XLOOKUP($U459,GCA!$H$3:$H$593,GCA!E$3:E$593,"",0,1))</f>
        <v>18950.055</v>
      </c>
      <c r="W459" s="3">
        <f>IF(_xlfn.XLOOKUP($U459,GCA!$H$3:$H$593,GCA!F$3:F$593,"",0,1)="","",_xlfn.XLOOKUP($U459,GCA!$H$3:$H$593,GCA!F$3:F$593,"",0,1))</f>
        <v>22949.605</v>
      </c>
      <c r="X459" s="3">
        <f>IF(_xlfn.XLOOKUP($U459,GCA!$H$3:$H$593,GCA!G$3:G$593,"",0,1)="","",_xlfn.XLOOKUP($U459,GCA!$H$3:$H$593,GCA!G$3:G$593,"",0,1))</f>
        <v>22017.605</v>
      </c>
    </row>
    <row r="460" spans="1:24" ht="13.2">
      <c r="A460" s="49"/>
      <c r="B460" s="49"/>
      <c r="C460" s="48"/>
      <c r="D460" s="49"/>
      <c r="E460" s="50"/>
      <c r="F460" s="26" t="s">
        <v>891</v>
      </c>
      <c r="G460" s="26" t="s">
        <v>891</v>
      </c>
      <c r="H460" s="27">
        <f t="shared" si="612"/>
        <v>24007.436000000002</v>
      </c>
      <c r="I460" s="27">
        <f t="shared" si="613"/>
        <v>22824.77</v>
      </c>
      <c r="J460" s="27">
        <f t="shared" si="614"/>
        <v>23780.76</v>
      </c>
      <c r="K460" s="27">
        <f t="shared" si="615"/>
        <v>23537.655333333332</v>
      </c>
      <c r="L460" s="65"/>
      <c r="M460" s="67">
        <f t="shared" si="616"/>
        <v>0</v>
      </c>
      <c r="N460" s="65" t="str">
        <f t="shared" si="526"/>
        <v/>
      </c>
      <c r="O460" s="65" t="str">
        <f t="shared" ref="O460:P460" si="625">N460</f>
        <v/>
      </c>
      <c r="P460" s="65" t="str">
        <f t="shared" si="625"/>
        <v/>
      </c>
      <c r="Q460" s="38"/>
      <c r="R460" s="3" t="str">
        <f>R459</f>
        <v>Thiruvarur</v>
      </c>
      <c r="S460" s="3" t="str">
        <f t="shared" si="529"/>
        <v>Mannargudi</v>
      </c>
      <c r="T460" s="3" t="str">
        <f t="shared" si="530"/>
        <v>Mannargudi</v>
      </c>
      <c r="U460" s="3" t="str">
        <f t="shared" si="531"/>
        <v>Thiruvarur_Mannargudi_Mannargudi</v>
      </c>
      <c r="V460" s="3">
        <f>IF(_xlfn.XLOOKUP($U460,GCA!$H$3:$H$593,GCA!E$3:E$593,"",0,1)="","",_xlfn.XLOOKUP($U460,GCA!$H$3:$H$593,GCA!E$3:E$593,"",0,1))</f>
        <v>24007.436000000002</v>
      </c>
      <c r="W460" s="3">
        <f>IF(_xlfn.XLOOKUP($U460,GCA!$H$3:$H$593,GCA!F$3:F$593,"",0,1)="","",_xlfn.XLOOKUP($U460,GCA!$H$3:$H$593,GCA!F$3:F$593,"",0,1))</f>
        <v>22824.77</v>
      </c>
      <c r="X460" s="3">
        <f>IF(_xlfn.XLOOKUP($U460,GCA!$H$3:$H$593,GCA!G$3:G$593,"",0,1)="","",_xlfn.XLOOKUP($U460,GCA!$H$3:$H$593,GCA!G$3:G$593,"",0,1))</f>
        <v>23780.76</v>
      </c>
    </row>
    <row r="461" spans="1:24" ht="13.2">
      <c r="A461" s="49"/>
      <c r="B461" s="49"/>
      <c r="C461" s="48"/>
      <c r="D461" s="49"/>
      <c r="E461" s="50"/>
      <c r="F461" s="26" t="s">
        <v>891</v>
      </c>
      <c r="G461" s="26" t="s">
        <v>892</v>
      </c>
      <c r="H461" s="27">
        <f t="shared" si="612"/>
        <v>7820.1149999999998</v>
      </c>
      <c r="I461" s="27">
        <f t="shared" si="613"/>
        <v>8024.585</v>
      </c>
      <c r="J461" s="27">
        <f t="shared" si="614"/>
        <v>8579.5239999999994</v>
      </c>
      <c r="K461" s="27">
        <f t="shared" si="615"/>
        <v>8141.4080000000004</v>
      </c>
      <c r="L461" s="65"/>
      <c r="M461" s="67">
        <f t="shared" si="616"/>
        <v>0</v>
      </c>
      <c r="N461" s="65" t="str">
        <f t="shared" si="526"/>
        <v/>
      </c>
      <c r="O461" s="65" t="str">
        <f t="shared" ref="O461:P461" si="626">N461</f>
        <v/>
      </c>
      <c r="P461" s="65" t="str">
        <f t="shared" si="626"/>
        <v/>
      </c>
      <c r="Q461" s="38"/>
      <c r="R461" s="3" t="str">
        <f t="shared" si="619"/>
        <v>Thiruvarur</v>
      </c>
      <c r="S461" s="3" t="str">
        <f t="shared" si="529"/>
        <v>Mannargudi</v>
      </c>
      <c r="T461" s="3" t="str">
        <f t="shared" si="530"/>
        <v>Nidamangalam</v>
      </c>
      <c r="U461" s="3" t="str">
        <f t="shared" si="531"/>
        <v>Thiruvarur_Mannargudi_Nidamangalam</v>
      </c>
      <c r="V461" s="3">
        <f>IF(_xlfn.XLOOKUP($U461,GCA!$H$3:$H$593,GCA!E$3:E$593,"",0,1)="","",_xlfn.XLOOKUP($U461,GCA!$H$3:$H$593,GCA!E$3:E$593,"",0,1))</f>
        <v>7820.1149999999998</v>
      </c>
      <c r="W461" s="3">
        <f>IF(_xlfn.XLOOKUP($U461,GCA!$H$3:$H$593,GCA!F$3:F$593,"",0,1)="","",_xlfn.XLOOKUP($U461,GCA!$H$3:$H$593,GCA!F$3:F$593,"",0,1))</f>
        <v>8024.585</v>
      </c>
      <c r="X461" s="3">
        <f>IF(_xlfn.XLOOKUP($U461,GCA!$H$3:$H$593,GCA!G$3:G$593,"",0,1)="","",_xlfn.XLOOKUP($U461,GCA!$H$3:$H$593,GCA!G$3:G$593,"",0,1))</f>
        <v>8579.5239999999994</v>
      </c>
    </row>
    <row r="462" spans="1:24" ht="13.2">
      <c r="A462" s="49"/>
      <c r="B462" s="49"/>
      <c r="C462" s="48"/>
      <c r="D462" s="49"/>
      <c r="E462" s="50">
        <v>3</v>
      </c>
      <c r="F462" s="26" t="s">
        <v>893</v>
      </c>
      <c r="G462" s="26" t="s">
        <v>887</v>
      </c>
      <c r="H462" s="27">
        <f t="shared" si="612"/>
        <v>4609.33</v>
      </c>
      <c r="I462" s="27">
        <f t="shared" si="613"/>
        <v>4445.88</v>
      </c>
      <c r="J462" s="27">
        <f t="shared" si="614"/>
        <v>4907.68</v>
      </c>
      <c r="K462" s="27">
        <f t="shared" si="615"/>
        <v>4654.2966666666662</v>
      </c>
      <c r="L462" s="65">
        <f>SUM(K462:K466)</f>
        <v>63658.367999999995</v>
      </c>
      <c r="M462" s="67">
        <f t="shared" si="616"/>
        <v>2.6719985984047279</v>
      </c>
      <c r="N462" s="65">
        <f t="shared" si="526"/>
        <v>3</v>
      </c>
      <c r="O462" s="65">
        <f t="shared" ref="O462:P462" si="627">N462</f>
        <v>3</v>
      </c>
      <c r="P462" s="65">
        <f t="shared" si="627"/>
        <v>3</v>
      </c>
      <c r="Q462" s="38"/>
      <c r="R462" s="3" t="str">
        <f t="shared" si="619"/>
        <v>Thiruvarur</v>
      </c>
      <c r="S462" s="3" t="str">
        <f t="shared" si="529"/>
        <v>Nannilam</v>
      </c>
      <c r="T462" s="3" t="str">
        <f t="shared" si="530"/>
        <v>Kodavasal</v>
      </c>
      <c r="U462" s="3" t="str">
        <f t="shared" si="531"/>
        <v>Thiruvarur_Nannilam_Kodavasal</v>
      </c>
      <c r="V462" s="3">
        <f>IF(_xlfn.XLOOKUP($U462,GCA!$H$3:$H$593,GCA!E$3:E$593,"",0,1)="","",_xlfn.XLOOKUP($U462,GCA!$H$3:$H$593,GCA!E$3:E$593,"",0,1))</f>
        <v>4609.33</v>
      </c>
      <c r="W462" s="3">
        <f>IF(_xlfn.XLOOKUP($U462,GCA!$H$3:$H$593,GCA!F$3:F$593,"",0,1)="","",_xlfn.XLOOKUP($U462,GCA!$H$3:$H$593,GCA!F$3:F$593,"",0,1))</f>
        <v>4445.88</v>
      </c>
      <c r="X462" s="3">
        <f>IF(_xlfn.XLOOKUP($U462,GCA!$H$3:$H$593,GCA!G$3:G$593,"",0,1)="","",_xlfn.XLOOKUP($U462,GCA!$H$3:$H$593,GCA!G$3:G$593,"",0,1))</f>
        <v>4907.68</v>
      </c>
    </row>
    <row r="463" spans="1:24" ht="13.2">
      <c r="A463" s="49"/>
      <c r="B463" s="49"/>
      <c r="C463" s="48"/>
      <c r="D463" s="49"/>
      <c r="E463" s="50"/>
      <c r="F463" s="26" t="s">
        <v>893</v>
      </c>
      <c r="G463" s="26" t="s">
        <v>888</v>
      </c>
      <c r="H463" s="27">
        <f t="shared" ref="H463:H464" si="628">V463</f>
        <v>1903.25</v>
      </c>
      <c r="I463" s="27">
        <f t="shared" ref="I463:I464" si="629">W463</f>
        <v>1877.105</v>
      </c>
      <c r="J463" s="27">
        <f t="shared" ref="J463:J464" si="630">X463</f>
        <v>1773.9849999999999</v>
      </c>
      <c r="K463" s="27">
        <f t="shared" si="615"/>
        <v>1851.4466666666667</v>
      </c>
      <c r="L463" s="65"/>
      <c r="M463" s="67"/>
      <c r="N463" s="65"/>
      <c r="O463" s="65"/>
      <c r="P463" s="65"/>
      <c r="Q463" s="38"/>
      <c r="R463" s="3" t="str">
        <f>R460</f>
        <v>Thiruvarur</v>
      </c>
      <c r="S463" s="3" t="str">
        <f t="shared" ref="S463:S464" si="631">F463</f>
        <v>Nannilam</v>
      </c>
      <c r="T463" s="3" t="str">
        <f t="shared" ref="T463:T464" si="632">G463</f>
        <v>Koradacheri</v>
      </c>
      <c r="U463" s="3" t="str">
        <f t="shared" ref="U463:U464" si="633">CONCATENATE(R463,"_",S463,"_",T463)</f>
        <v>Thiruvarur_Nannilam_Koradacheri</v>
      </c>
      <c r="V463" s="3">
        <f>IF(_xlfn.XLOOKUP($U463,GCA!$H$3:$H$593,GCA!E$3:E$593,"",0,1)="","",_xlfn.XLOOKUP($U463,GCA!$H$3:$H$593,GCA!E$3:E$593,"",0,1))</f>
        <v>1903.25</v>
      </c>
      <c r="W463" s="3">
        <f>IF(_xlfn.XLOOKUP($U463,GCA!$H$3:$H$593,GCA!F$3:F$593,"",0,1)="","",_xlfn.XLOOKUP($U463,GCA!$H$3:$H$593,GCA!F$3:F$593,"",0,1))</f>
        <v>1877.105</v>
      </c>
      <c r="X463" s="3">
        <f>IF(_xlfn.XLOOKUP($U463,GCA!$H$3:$H$593,GCA!G$3:G$593,"",0,1)="","",_xlfn.XLOOKUP($U463,GCA!$H$3:$H$593,GCA!G$3:G$593,"",0,1))</f>
        <v>1773.9849999999999</v>
      </c>
    </row>
    <row r="464" spans="1:24" ht="13.2">
      <c r="A464" s="49"/>
      <c r="B464" s="49"/>
      <c r="C464" s="48"/>
      <c r="D464" s="49"/>
      <c r="E464" s="50"/>
      <c r="F464" s="26" t="s">
        <v>893</v>
      </c>
      <c r="G464" s="26" t="s">
        <v>893</v>
      </c>
      <c r="H464" s="27">
        <f t="shared" si="628"/>
        <v>31828.21</v>
      </c>
      <c r="I464" s="27">
        <f t="shared" si="629"/>
        <v>33664.544999999998</v>
      </c>
      <c r="J464" s="27">
        <f t="shared" si="630"/>
        <v>36153.105000000003</v>
      </c>
      <c r="K464" s="27">
        <f t="shared" si="615"/>
        <v>33881.953333333331</v>
      </c>
      <c r="L464" s="65"/>
      <c r="M464" s="67"/>
      <c r="N464" s="65"/>
      <c r="O464" s="65"/>
      <c r="P464" s="65"/>
      <c r="Q464" s="38"/>
      <c r="R464" s="3" t="str">
        <f t="shared" ref="R464" si="634">R463</f>
        <v>Thiruvarur</v>
      </c>
      <c r="S464" s="3" t="str">
        <f t="shared" si="631"/>
        <v>Nannilam</v>
      </c>
      <c r="T464" s="3" t="str">
        <f t="shared" si="632"/>
        <v>Nannilam</v>
      </c>
      <c r="U464" s="3" t="str">
        <f t="shared" si="633"/>
        <v>Thiruvarur_Nannilam_Nannilam</v>
      </c>
      <c r="V464" s="3">
        <f>IF(_xlfn.XLOOKUP($U464,GCA!$H$3:$H$593,GCA!E$3:E$593,"",0,1)="","",_xlfn.XLOOKUP($U464,GCA!$H$3:$H$593,GCA!E$3:E$593,"",0,1))</f>
        <v>31828.21</v>
      </c>
      <c r="W464" s="3">
        <f>IF(_xlfn.XLOOKUP($U464,GCA!$H$3:$H$593,GCA!F$3:F$593,"",0,1)="","",_xlfn.XLOOKUP($U464,GCA!$H$3:$H$593,GCA!F$3:F$593,"",0,1))</f>
        <v>33664.544999999998</v>
      </c>
      <c r="X464" s="3">
        <f>IF(_xlfn.XLOOKUP($U464,GCA!$H$3:$H$593,GCA!G$3:G$593,"",0,1)="","",_xlfn.XLOOKUP($U464,GCA!$H$3:$H$593,GCA!G$3:G$593,"",0,1))</f>
        <v>36153.105000000003</v>
      </c>
    </row>
    <row r="465" spans="1:24" ht="13.2">
      <c r="A465" s="49"/>
      <c r="B465" s="49"/>
      <c r="C465" s="48"/>
      <c r="D465" s="49"/>
      <c r="E465" s="50"/>
      <c r="F465" s="26" t="s">
        <v>895</v>
      </c>
      <c r="G465" s="26" t="s">
        <v>890</v>
      </c>
      <c r="H465" s="27">
        <f t="shared" si="612"/>
        <v>9923.4009999999998</v>
      </c>
      <c r="I465" s="27">
        <f t="shared" si="613"/>
        <v>12621.594999999999</v>
      </c>
      <c r="J465" s="27">
        <f t="shared" si="614"/>
        <v>11947.157999999999</v>
      </c>
      <c r="K465" s="27">
        <f t="shared" si="615"/>
        <v>11497.384666666665</v>
      </c>
      <c r="L465" s="65"/>
      <c r="M465" s="67">
        <f t="shared" ref="M465:M474" si="635">L465*$L$643/$L$642</f>
        <v>0</v>
      </c>
      <c r="N465" s="65" t="str">
        <f t="shared" si="526"/>
        <v/>
      </c>
      <c r="O465" s="65" t="str">
        <f t="shared" ref="O465:P465" si="636">N465</f>
        <v/>
      </c>
      <c r="P465" s="65" t="str">
        <f t="shared" si="636"/>
        <v/>
      </c>
      <c r="Q465" s="38"/>
      <c r="R465" s="3" t="str">
        <f>R462</f>
        <v>Thiruvarur</v>
      </c>
      <c r="S465" s="3" t="str">
        <f t="shared" si="529"/>
        <v>Muthupet</v>
      </c>
      <c r="T465" s="3" t="str">
        <f t="shared" si="530"/>
        <v>Kottur</v>
      </c>
      <c r="U465" s="3" t="str">
        <f t="shared" si="531"/>
        <v>Thiruvarur_Muthupet_Kottur</v>
      </c>
      <c r="V465" s="3">
        <f>IF(_xlfn.XLOOKUP($U465,GCA!$H$3:$H$593,GCA!E$3:E$593,"",0,1)="","",_xlfn.XLOOKUP($U465,GCA!$H$3:$H$593,GCA!E$3:E$593,"",0,1))</f>
        <v>9923.4009999999998</v>
      </c>
      <c r="W465" s="3">
        <f>IF(_xlfn.XLOOKUP($U465,GCA!$H$3:$H$593,GCA!F$3:F$593,"",0,1)="","",_xlfn.XLOOKUP($U465,GCA!$H$3:$H$593,GCA!F$3:F$593,"",0,1))</f>
        <v>12621.594999999999</v>
      </c>
      <c r="X465" s="3">
        <f>IF(_xlfn.XLOOKUP($U465,GCA!$H$3:$H$593,GCA!G$3:G$593,"",0,1)="","",_xlfn.XLOOKUP($U465,GCA!$H$3:$H$593,GCA!G$3:G$593,"",0,1))</f>
        <v>11947.157999999999</v>
      </c>
    </row>
    <row r="466" spans="1:24" ht="13.2">
      <c r="A466" s="49"/>
      <c r="B466" s="49"/>
      <c r="C466" s="48"/>
      <c r="D466" s="49"/>
      <c r="E466" s="50"/>
      <c r="F466" s="26" t="s">
        <v>895</v>
      </c>
      <c r="G466" s="26" t="s">
        <v>895</v>
      </c>
      <c r="H466" s="27">
        <f t="shared" si="612"/>
        <v>11158.995000000001</v>
      </c>
      <c r="I466" s="27">
        <f t="shared" si="613"/>
        <v>12673.1</v>
      </c>
      <c r="J466" s="27">
        <f t="shared" si="614"/>
        <v>11487.764999999999</v>
      </c>
      <c r="K466" s="27">
        <f t="shared" si="615"/>
        <v>11773.286666666667</v>
      </c>
      <c r="L466" s="65"/>
      <c r="M466" s="67">
        <f t="shared" si="635"/>
        <v>0</v>
      </c>
      <c r="N466" s="65" t="str">
        <f t="shared" si="526"/>
        <v/>
      </c>
      <c r="O466" s="65" t="str">
        <f t="shared" ref="O466:P466" si="637">N466</f>
        <v/>
      </c>
      <c r="P466" s="65" t="str">
        <f t="shared" si="637"/>
        <v/>
      </c>
      <c r="Q466" s="38"/>
      <c r="R466" s="3" t="str">
        <f t="shared" si="619"/>
        <v>Thiruvarur</v>
      </c>
      <c r="S466" s="3" t="str">
        <f t="shared" si="529"/>
        <v>Muthupet</v>
      </c>
      <c r="T466" s="3" t="str">
        <f t="shared" si="530"/>
        <v>Muthupet</v>
      </c>
      <c r="U466" s="3" t="str">
        <f t="shared" si="531"/>
        <v>Thiruvarur_Muthupet_Muthupet</v>
      </c>
      <c r="V466" s="3">
        <f>IF(_xlfn.XLOOKUP($U466,GCA!$H$3:$H$593,GCA!E$3:E$593,"",0,1)="","",_xlfn.XLOOKUP($U466,GCA!$H$3:$H$593,GCA!E$3:E$593,"",0,1))</f>
        <v>11158.995000000001</v>
      </c>
      <c r="W466" s="3">
        <f>IF(_xlfn.XLOOKUP($U466,GCA!$H$3:$H$593,GCA!F$3:F$593,"",0,1)="","",_xlfn.XLOOKUP($U466,GCA!$H$3:$H$593,GCA!F$3:F$593,"",0,1))</f>
        <v>12673.1</v>
      </c>
      <c r="X466" s="3">
        <f>IF(_xlfn.XLOOKUP($U466,GCA!$H$3:$H$593,GCA!G$3:G$593,"",0,1)="","",_xlfn.XLOOKUP($U466,GCA!$H$3:$H$593,GCA!G$3:G$593,"",0,1))</f>
        <v>11487.764999999999</v>
      </c>
    </row>
    <row r="467" spans="1:24" ht="13.2">
      <c r="A467" s="49"/>
      <c r="B467" s="49"/>
      <c r="C467" s="48"/>
      <c r="D467" s="49"/>
      <c r="E467" s="50">
        <v>4</v>
      </c>
      <c r="F467" s="26" t="s">
        <v>892</v>
      </c>
      <c r="G467" s="26" t="s">
        <v>888</v>
      </c>
      <c r="H467" s="27">
        <f t="shared" si="612"/>
        <v>6081.67</v>
      </c>
      <c r="I467" s="27">
        <f t="shared" si="613"/>
        <v>5930.62</v>
      </c>
      <c r="J467" s="27">
        <f t="shared" si="614"/>
        <v>6179.84</v>
      </c>
      <c r="K467" s="27">
        <f t="shared" si="615"/>
        <v>6064.043333333334</v>
      </c>
      <c r="L467" s="65">
        <f>SUM(K467:K470)</f>
        <v>76335.386666666673</v>
      </c>
      <c r="M467" s="67">
        <f t="shared" si="635"/>
        <v>3.2041042299736047</v>
      </c>
      <c r="N467" s="65">
        <f t="shared" si="526"/>
        <v>3</v>
      </c>
      <c r="O467" s="65">
        <f t="shared" ref="O467:P467" si="638">N467</f>
        <v>3</v>
      </c>
      <c r="P467" s="65">
        <f t="shared" si="638"/>
        <v>3</v>
      </c>
      <c r="Q467" s="38"/>
      <c r="R467" s="3" t="str">
        <f t="shared" si="619"/>
        <v>Thiruvarur</v>
      </c>
      <c r="S467" s="3" t="str">
        <f t="shared" si="529"/>
        <v>Nidamangalam</v>
      </c>
      <c r="T467" s="3" t="str">
        <f t="shared" si="530"/>
        <v>Koradacheri</v>
      </c>
      <c r="U467" s="3" t="str">
        <f t="shared" si="531"/>
        <v>Thiruvarur_Nidamangalam_Koradacheri</v>
      </c>
      <c r="V467" s="3">
        <f>IF(_xlfn.XLOOKUP($U467,GCA!$H$3:$H$593,GCA!E$3:E$593,"",0,1)="","",_xlfn.XLOOKUP($U467,GCA!$H$3:$H$593,GCA!E$3:E$593,"",0,1))</f>
        <v>6081.67</v>
      </c>
      <c r="W467" s="3">
        <f>IF(_xlfn.XLOOKUP($U467,GCA!$H$3:$H$593,GCA!F$3:F$593,"",0,1)="","",_xlfn.XLOOKUP($U467,GCA!$H$3:$H$593,GCA!F$3:F$593,"",0,1))</f>
        <v>5930.62</v>
      </c>
      <c r="X467" s="3">
        <f>IF(_xlfn.XLOOKUP($U467,GCA!$H$3:$H$593,GCA!G$3:G$593,"",0,1)="","",_xlfn.XLOOKUP($U467,GCA!$H$3:$H$593,GCA!G$3:G$593,"",0,1))</f>
        <v>6179.84</v>
      </c>
    </row>
    <row r="468" spans="1:24" ht="13.2">
      <c r="A468" s="49"/>
      <c r="B468" s="49"/>
      <c r="C468" s="48"/>
      <c r="D468" s="49"/>
      <c r="E468" s="50"/>
      <c r="F468" s="26" t="s">
        <v>892</v>
      </c>
      <c r="G468" s="26" t="s">
        <v>892</v>
      </c>
      <c r="H468" s="27">
        <f t="shared" si="612"/>
        <v>32859.040000000001</v>
      </c>
      <c r="I468" s="27">
        <f t="shared" si="613"/>
        <v>34479.160000000003</v>
      </c>
      <c r="J468" s="27">
        <f t="shared" si="614"/>
        <v>36676.339999999997</v>
      </c>
      <c r="K468" s="27">
        <f t="shared" si="615"/>
        <v>34671.513333333336</v>
      </c>
      <c r="L468" s="65"/>
      <c r="M468" s="67">
        <f t="shared" si="635"/>
        <v>0</v>
      </c>
      <c r="N468" s="65" t="str">
        <f t="shared" ref="N468:N545" si="639">IF(M468&gt;=2, ROUND(M468,0), IF(M468&gt;1.1,2,""))</f>
        <v/>
      </c>
      <c r="O468" s="65" t="str">
        <f t="shared" ref="O468:P468" si="640">N468</f>
        <v/>
      </c>
      <c r="P468" s="65" t="str">
        <f t="shared" si="640"/>
        <v/>
      </c>
      <c r="Q468" s="38"/>
      <c r="R468" s="3" t="str">
        <f t="shared" si="619"/>
        <v>Thiruvarur</v>
      </c>
      <c r="S468" s="3" t="str">
        <f t="shared" si="529"/>
        <v>Nidamangalam</v>
      </c>
      <c r="T468" s="3" t="str">
        <f t="shared" si="530"/>
        <v>Nidamangalam</v>
      </c>
      <c r="U468" s="3" t="str">
        <f t="shared" si="531"/>
        <v>Thiruvarur_Nidamangalam_Nidamangalam</v>
      </c>
      <c r="V468" s="3">
        <f>IF(_xlfn.XLOOKUP($U468,GCA!$H$3:$H$593,GCA!E$3:E$593,"",0,1)="","",_xlfn.XLOOKUP($U468,GCA!$H$3:$H$593,GCA!E$3:E$593,"",0,1))</f>
        <v>32859.040000000001</v>
      </c>
      <c r="W468" s="3">
        <f>IF(_xlfn.XLOOKUP($U468,GCA!$H$3:$H$593,GCA!F$3:F$593,"",0,1)="","",_xlfn.XLOOKUP($U468,GCA!$H$3:$H$593,GCA!F$3:F$593,"",0,1))</f>
        <v>34479.160000000003</v>
      </c>
      <c r="X468" s="3">
        <f>IF(_xlfn.XLOOKUP($U468,GCA!$H$3:$H$593,GCA!G$3:G$593,"",0,1)="","",_xlfn.XLOOKUP($U468,GCA!$H$3:$H$593,GCA!G$3:G$593,"",0,1))</f>
        <v>36676.339999999997</v>
      </c>
    </row>
    <row r="469" spans="1:24" ht="13.2">
      <c r="A469" s="49"/>
      <c r="B469" s="49"/>
      <c r="C469" s="48"/>
      <c r="D469" s="49"/>
      <c r="E469" s="50"/>
      <c r="F469" s="26" t="s">
        <v>894</v>
      </c>
      <c r="G469" s="26" t="s">
        <v>895</v>
      </c>
      <c r="H469" s="27">
        <f t="shared" si="612"/>
        <v>7046.6049999999996</v>
      </c>
      <c r="I469" s="27">
        <f t="shared" si="613"/>
        <v>9653.81</v>
      </c>
      <c r="J469" s="27">
        <f t="shared" si="614"/>
        <v>8089.82</v>
      </c>
      <c r="K469" s="27">
        <f t="shared" si="615"/>
        <v>8263.4116666666669</v>
      </c>
      <c r="L469" s="65"/>
      <c r="M469" s="67">
        <f t="shared" si="635"/>
        <v>0</v>
      </c>
      <c r="N469" s="65" t="str">
        <f t="shared" si="639"/>
        <v/>
      </c>
      <c r="O469" s="65" t="str">
        <f t="shared" ref="O469:P469" si="641">N469</f>
        <v/>
      </c>
      <c r="P469" s="65" t="str">
        <f t="shared" si="641"/>
        <v/>
      </c>
      <c r="Q469" s="38"/>
      <c r="R469" s="3" t="str">
        <f t="shared" si="619"/>
        <v>Thiruvarur</v>
      </c>
      <c r="S469" s="3" t="str">
        <f t="shared" ref="S469:S546" si="642">F469</f>
        <v>Thiruthuraipoondi</v>
      </c>
      <c r="T469" s="3" t="str">
        <f t="shared" ref="T469:T546" si="643">G469</f>
        <v>Muthupet</v>
      </c>
      <c r="U469" s="3" t="str">
        <f t="shared" ref="U469:U546" si="644">CONCATENATE(R469,"_",S469,"_",T469)</f>
        <v>Thiruvarur_Thiruthuraipoondi_Muthupet</v>
      </c>
      <c r="V469" s="3">
        <f>IF(_xlfn.XLOOKUP($U469,GCA!$H$3:$H$593,GCA!E$3:E$593,"",0,1)="","",_xlfn.XLOOKUP($U469,GCA!$H$3:$H$593,GCA!E$3:E$593,"",0,1))</f>
        <v>7046.6049999999996</v>
      </c>
      <c r="W469" s="3">
        <f>IF(_xlfn.XLOOKUP($U469,GCA!$H$3:$H$593,GCA!F$3:F$593,"",0,1)="","",_xlfn.XLOOKUP($U469,GCA!$H$3:$H$593,GCA!F$3:F$593,"",0,1))</f>
        <v>9653.81</v>
      </c>
      <c r="X469" s="3">
        <f>IF(_xlfn.XLOOKUP($U469,GCA!$H$3:$H$593,GCA!G$3:G$593,"",0,1)="","",_xlfn.XLOOKUP($U469,GCA!$H$3:$H$593,GCA!G$3:G$593,"",0,1))</f>
        <v>8089.82</v>
      </c>
    </row>
    <row r="470" spans="1:24" ht="13.2">
      <c r="A470" s="49"/>
      <c r="B470" s="49"/>
      <c r="C470" s="48"/>
      <c r="D470" s="49"/>
      <c r="E470" s="50"/>
      <c r="F470" s="26" t="s">
        <v>894</v>
      </c>
      <c r="G470" s="26" t="s">
        <v>894</v>
      </c>
      <c r="H470" s="27">
        <f t="shared" si="612"/>
        <v>24276.264999999999</v>
      </c>
      <c r="I470" s="27">
        <f t="shared" si="613"/>
        <v>28508.855</v>
      </c>
      <c r="J470" s="27">
        <f t="shared" si="614"/>
        <v>29224.134999999998</v>
      </c>
      <c r="K470" s="27">
        <f t="shared" si="615"/>
        <v>27336.418333333331</v>
      </c>
      <c r="L470" s="65"/>
      <c r="M470" s="67">
        <f t="shared" si="635"/>
        <v>0</v>
      </c>
      <c r="N470" s="65" t="str">
        <f t="shared" si="639"/>
        <v/>
      </c>
      <c r="O470" s="65" t="str">
        <f t="shared" ref="O470:P470" si="645">N470</f>
        <v/>
      </c>
      <c r="P470" s="65" t="str">
        <f t="shared" si="645"/>
        <v/>
      </c>
      <c r="Q470" s="38"/>
      <c r="R470" s="3" t="str">
        <f t="shared" si="619"/>
        <v>Thiruvarur</v>
      </c>
      <c r="S470" s="3" t="str">
        <f t="shared" si="642"/>
        <v>Thiruthuraipoondi</v>
      </c>
      <c r="T470" s="3" t="str">
        <f t="shared" si="643"/>
        <v>Thiruthuraipoondi</v>
      </c>
      <c r="U470" s="3" t="str">
        <f t="shared" si="644"/>
        <v>Thiruvarur_Thiruthuraipoondi_Thiruthuraipoondi</v>
      </c>
      <c r="V470" s="3">
        <f>IF(_xlfn.XLOOKUP($U470,GCA!$H$3:$H$593,GCA!E$3:E$593,"",0,1)="","",_xlfn.XLOOKUP($U470,GCA!$H$3:$H$593,GCA!E$3:E$593,"",0,1))</f>
        <v>24276.264999999999</v>
      </c>
      <c r="W470" s="3">
        <f>IF(_xlfn.XLOOKUP($U470,GCA!$H$3:$H$593,GCA!F$3:F$593,"",0,1)="","",_xlfn.XLOOKUP($U470,GCA!$H$3:$H$593,GCA!F$3:F$593,"",0,1))</f>
        <v>28508.855</v>
      </c>
      <c r="X470" s="3">
        <f>IF(_xlfn.XLOOKUP($U470,GCA!$H$3:$H$593,GCA!G$3:G$593,"",0,1)="","",_xlfn.XLOOKUP($U470,GCA!$H$3:$H$593,GCA!G$3:G$593,"",0,1))</f>
        <v>29224.134999999998</v>
      </c>
    </row>
    <row r="471" spans="1:24" ht="13.2">
      <c r="A471" s="49"/>
      <c r="B471" s="49"/>
      <c r="C471" s="48"/>
      <c r="D471" s="49"/>
      <c r="E471" s="50">
        <v>5</v>
      </c>
      <c r="F471" s="26" t="s">
        <v>896</v>
      </c>
      <c r="G471" s="26" t="s">
        <v>887</v>
      </c>
      <c r="H471" s="27">
        <f t="shared" si="612"/>
        <v>662.65</v>
      </c>
      <c r="I471" s="27">
        <f t="shared" si="613"/>
        <v>754.98</v>
      </c>
      <c r="J471" s="27">
        <f t="shared" si="614"/>
        <v>829.5</v>
      </c>
      <c r="K471" s="27">
        <f t="shared" si="615"/>
        <v>749.04333333333341</v>
      </c>
      <c r="L471" s="65">
        <f>SUM(K471:K474)</f>
        <v>53724.240666666665</v>
      </c>
      <c r="M471" s="67">
        <f t="shared" si="635"/>
        <v>2.2550231850381657</v>
      </c>
      <c r="N471" s="65">
        <f t="shared" si="639"/>
        <v>2</v>
      </c>
      <c r="O471" s="65">
        <f t="shared" ref="O471:P471" si="646">N471</f>
        <v>2</v>
      </c>
      <c r="P471" s="65">
        <f t="shared" si="646"/>
        <v>2</v>
      </c>
      <c r="Q471" s="38"/>
      <c r="R471" s="3" t="str">
        <f t="shared" si="619"/>
        <v>Thiruvarur</v>
      </c>
      <c r="S471" s="3" t="str">
        <f t="shared" si="642"/>
        <v>Tiruvarur</v>
      </c>
      <c r="T471" s="3" t="str">
        <f t="shared" si="643"/>
        <v>Kodavasal</v>
      </c>
      <c r="U471" s="3" t="str">
        <f t="shared" si="644"/>
        <v>Thiruvarur_Tiruvarur_Kodavasal</v>
      </c>
      <c r="V471" s="3">
        <f>IF(_xlfn.XLOOKUP($U471,GCA!$H$3:$H$593,GCA!E$3:E$593,"",0,1)="","",_xlfn.XLOOKUP($U471,GCA!$H$3:$H$593,GCA!E$3:E$593,"",0,1))</f>
        <v>662.65</v>
      </c>
      <c r="W471" s="3">
        <f>IF(_xlfn.XLOOKUP($U471,GCA!$H$3:$H$593,GCA!F$3:F$593,"",0,1)="","",_xlfn.XLOOKUP($U471,GCA!$H$3:$H$593,GCA!F$3:F$593,"",0,1))</f>
        <v>754.98</v>
      </c>
      <c r="X471" s="3">
        <f>IF(_xlfn.XLOOKUP($U471,GCA!$H$3:$H$593,GCA!G$3:G$593,"",0,1)="","",_xlfn.XLOOKUP($U471,GCA!$H$3:$H$593,GCA!G$3:G$593,"",0,1))</f>
        <v>829.5</v>
      </c>
    </row>
    <row r="472" spans="1:24" ht="13.2">
      <c r="A472" s="49"/>
      <c r="B472" s="49"/>
      <c r="C472" s="48"/>
      <c r="D472" s="49"/>
      <c r="E472" s="50"/>
      <c r="F472" s="26" t="s">
        <v>896</v>
      </c>
      <c r="G472" s="26" t="s">
        <v>888</v>
      </c>
      <c r="H472" s="27">
        <f t="shared" si="612"/>
        <v>7659.53</v>
      </c>
      <c r="I472" s="27">
        <f t="shared" si="613"/>
        <v>7781.28</v>
      </c>
      <c r="J472" s="27">
        <f t="shared" si="614"/>
        <v>9160.1</v>
      </c>
      <c r="K472" s="27">
        <f t="shared" si="615"/>
        <v>8200.3033333333333</v>
      </c>
      <c r="L472" s="65"/>
      <c r="M472" s="67">
        <f t="shared" si="635"/>
        <v>0</v>
      </c>
      <c r="N472" s="65" t="str">
        <f t="shared" si="639"/>
        <v/>
      </c>
      <c r="O472" s="65" t="str">
        <f t="shared" ref="O472:P472" si="647">N472</f>
        <v/>
      </c>
      <c r="P472" s="65" t="str">
        <f t="shared" si="647"/>
        <v/>
      </c>
      <c r="Q472" s="38"/>
      <c r="R472" s="3" t="str">
        <f t="shared" si="619"/>
        <v>Thiruvarur</v>
      </c>
      <c r="S472" s="3" t="str">
        <f t="shared" si="642"/>
        <v>Tiruvarur</v>
      </c>
      <c r="T472" s="3" t="str">
        <f t="shared" si="643"/>
        <v>Koradacheri</v>
      </c>
      <c r="U472" s="3" t="str">
        <f t="shared" si="644"/>
        <v>Thiruvarur_Tiruvarur_Koradacheri</v>
      </c>
      <c r="V472" s="3">
        <f>IF(_xlfn.XLOOKUP($U472,GCA!$H$3:$H$593,GCA!E$3:E$593,"",0,1)="","",_xlfn.XLOOKUP($U472,GCA!$H$3:$H$593,GCA!E$3:E$593,"",0,1))</f>
        <v>7659.53</v>
      </c>
      <c r="W472" s="3">
        <f>IF(_xlfn.XLOOKUP($U472,GCA!$H$3:$H$593,GCA!F$3:F$593,"",0,1)="","",_xlfn.XLOOKUP($U472,GCA!$H$3:$H$593,GCA!F$3:F$593,"",0,1))</f>
        <v>7781.28</v>
      </c>
      <c r="X472" s="3">
        <f>IF(_xlfn.XLOOKUP($U472,GCA!$H$3:$H$593,GCA!G$3:G$593,"",0,1)="","",_xlfn.XLOOKUP($U472,GCA!$H$3:$H$593,GCA!G$3:G$593,"",0,1))</f>
        <v>9160.1</v>
      </c>
    </row>
    <row r="473" spans="1:24" ht="13.2">
      <c r="A473" s="49"/>
      <c r="B473" s="49"/>
      <c r="C473" s="48"/>
      <c r="D473" s="49"/>
      <c r="E473" s="50"/>
      <c r="F473" s="26" t="s">
        <v>896</v>
      </c>
      <c r="G473" s="26" t="s">
        <v>896</v>
      </c>
      <c r="H473" s="27">
        <f t="shared" si="612"/>
        <v>17376.574000000001</v>
      </c>
      <c r="I473" s="27">
        <f t="shared" si="613"/>
        <v>18537.689999999999</v>
      </c>
      <c r="J473" s="27">
        <f t="shared" si="614"/>
        <v>19832.608</v>
      </c>
      <c r="K473" s="27">
        <f t="shared" si="615"/>
        <v>18582.290666666664</v>
      </c>
      <c r="L473" s="65"/>
      <c r="M473" s="67">
        <f t="shared" si="635"/>
        <v>0</v>
      </c>
      <c r="N473" s="65" t="str">
        <f t="shared" si="639"/>
        <v/>
      </c>
      <c r="O473" s="65" t="str">
        <f t="shared" ref="O473:P473" si="648">N473</f>
        <v/>
      </c>
      <c r="P473" s="65" t="str">
        <f t="shared" si="648"/>
        <v/>
      </c>
      <c r="Q473" s="38"/>
      <c r="R473" s="3" t="str">
        <f t="shared" si="619"/>
        <v>Thiruvarur</v>
      </c>
      <c r="S473" s="3" t="str">
        <f t="shared" si="642"/>
        <v>Tiruvarur</v>
      </c>
      <c r="T473" s="3" t="str">
        <f t="shared" si="643"/>
        <v>Tiruvarur</v>
      </c>
      <c r="U473" s="3" t="str">
        <f t="shared" si="644"/>
        <v>Thiruvarur_Tiruvarur_Tiruvarur</v>
      </c>
      <c r="V473" s="3">
        <f>IF(_xlfn.XLOOKUP($U473,GCA!$H$3:$H$593,GCA!E$3:E$593,"",0,1)="","",_xlfn.XLOOKUP($U473,GCA!$H$3:$H$593,GCA!E$3:E$593,"",0,1))</f>
        <v>17376.574000000001</v>
      </c>
      <c r="W473" s="3">
        <f>IF(_xlfn.XLOOKUP($U473,GCA!$H$3:$H$593,GCA!F$3:F$593,"",0,1)="","",_xlfn.XLOOKUP($U473,GCA!$H$3:$H$593,GCA!F$3:F$593,"",0,1))</f>
        <v>18537.689999999999</v>
      </c>
      <c r="X473" s="3">
        <f>IF(_xlfn.XLOOKUP($U473,GCA!$H$3:$H$593,GCA!G$3:G$593,"",0,1)="","",_xlfn.XLOOKUP($U473,GCA!$H$3:$H$593,GCA!G$3:G$593,"",0,1))</f>
        <v>19832.608</v>
      </c>
    </row>
    <row r="474" spans="1:24" ht="13.2">
      <c r="A474" s="49"/>
      <c r="B474" s="49"/>
      <c r="C474" s="48"/>
      <c r="D474" s="49"/>
      <c r="E474" s="50"/>
      <c r="F474" s="26" t="s">
        <v>897</v>
      </c>
      <c r="G474" s="26" t="s">
        <v>897</v>
      </c>
      <c r="H474" s="27">
        <f t="shared" si="612"/>
        <v>24675.584999999999</v>
      </c>
      <c r="I474" s="27">
        <f t="shared" si="613"/>
        <v>24965.31</v>
      </c>
      <c r="J474" s="27">
        <f t="shared" si="614"/>
        <v>28936.915000000001</v>
      </c>
      <c r="K474" s="27">
        <f t="shared" si="615"/>
        <v>26192.603333333333</v>
      </c>
      <c r="L474" s="65"/>
      <c r="M474" s="67">
        <f t="shared" si="635"/>
        <v>0</v>
      </c>
      <c r="N474" s="65" t="str">
        <f t="shared" si="639"/>
        <v/>
      </c>
      <c r="O474" s="65" t="str">
        <f t="shared" ref="O474:P474" si="649">N474</f>
        <v/>
      </c>
      <c r="P474" s="65" t="str">
        <f t="shared" si="649"/>
        <v/>
      </c>
      <c r="Q474" s="38"/>
      <c r="R474" s="3" t="str">
        <f t="shared" si="619"/>
        <v>Thiruvarur</v>
      </c>
      <c r="S474" s="3" t="str">
        <f t="shared" si="642"/>
        <v>Valangaiman</v>
      </c>
      <c r="T474" s="3" t="str">
        <f t="shared" si="643"/>
        <v>Valangaiman</v>
      </c>
      <c r="U474" s="3" t="str">
        <f t="shared" si="644"/>
        <v>Thiruvarur_Valangaiman_Valangaiman</v>
      </c>
      <c r="V474" s="3">
        <f>IF(_xlfn.XLOOKUP($U474,GCA!$H$3:$H$593,GCA!E$3:E$593,"",0,1)="","",_xlfn.XLOOKUP($U474,GCA!$H$3:$H$593,GCA!E$3:E$593,"",0,1))</f>
        <v>24675.584999999999</v>
      </c>
      <c r="W474" s="3">
        <f>IF(_xlfn.XLOOKUP($U474,GCA!$H$3:$H$593,GCA!F$3:F$593,"",0,1)="","",_xlfn.XLOOKUP($U474,GCA!$H$3:$H$593,GCA!F$3:F$593,"",0,1))</f>
        <v>24965.31</v>
      </c>
      <c r="X474" s="3">
        <f>IF(_xlfn.XLOOKUP($U474,GCA!$H$3:$H$593,GCA!G$3:G$593,"",0,1)="","",_xlfn.XLOOKUP($U474,GCA!$H$3:$H$593,GCA!G$3:G$593,"",0,1))</f>
        <v>28936.915000000001</v>
      </c>
    </row>
    <row r="475" spans="1:24" ht="13.2">
      <c r="A475" s="49"/>
      <c r="B475" s="49"/>
      <c r="C475" s="48"/>
      <c r="D475" s="49"/>
      <c r="E475" s="47" t="s">
        <v>564</v>
      </c>
      <c r="F475" s="47"/>
      <c r="G475" s="47"/>
      <c r="H475" s="29">
        <f t="shared" ref="H475:P475" si="650">SUM(H453:H474)</f>
        <v>277408.96100000001</v>
      </c>
      <c r="I475" s="29">
        <f t="shared" si="650"/>
        <v>300509.44500000001</v>
      </c>
      <c r="J475" s="29">
        <f t="shared" si="650"/>
        <v>317394.32499999995</v>
      </c>
      <c r="K475" s="29">
        <f t="shared" si="650"/>
        <v>298437.57699999999</v>
      </c>
      <c r="L475" s="29">
        <f t="shared" si="650"/>
        <v>298437.57699999999</v>
      </c>
      <c r="M475" s="30">
        <f t="shared" si="650"/>
        <v>12.52662945200391</v>
      </c>
      <c r="N475" s="31">
        <f t="shared" si="650"/>
        <v>12</v>
      </c>
      <c r="O475" s="31">
        <f t="shared" si="650"/>
        <v>12</v>
      </c>
      <c r="P475" s="31">
        <f t="shared" si="650"/>
        <v>12</v>
      </c>
      <c r="Q475" s="38"/>
      <c r="R475" s="3" t="str">
        <f t="shared" si="619"/>
        <v>Thiruvarur</v>
      </c>
      <c r="S475" s="3">
        <f t="shared" si="642"/>
        <v>0</v>
      </c>
      <c r="T475" s="3">
        <f t="shared" si="643"/>
        <v>0</v>
      </c>
      <c r="U475" s="3" t="str">
        <f t="shared" si="644"/>
        <v>Thiruvarur_0_0</v>
      </c>
      <c r="V475" s="3" t="str">
        <f>IF(_xlfn.XLOOKUP($U475,GCA!$H$3:$H$593,GCA!E$3:E$593,"",0,1)="","",_xlfn.XLOOKUP($U475,GCA!$H$3:$H$593,GCA!E$3:E$593,"",0,1))</f>
        <v/>
      </c>
      <c r="W475" s="3" t="str">
        <f>IF(_xlfn.XLOOKUP($U475,GCA!$H$3:$H$593,GCA!F$3:F$593,"",0,1)="","",_xlfn.XLOOKUP($U475,GCA!$H$3:$H$593,GCA!F$3:F$593,"",0,1))</f>
        <v/>
      </c>
      <c r="X475" s="3" t="str">
        <f>IF(_xlfn.XLOOKUP($U475,GCA!$H$3:$H$593,GCA!G$3:G$593,"",0,1)="","",_xlfn.XLOOKUP($U475,GCA!$H$3:$H$593,GCA!G$3:G$593,"",0,1))</f>
        <v/>
      </c>
    </row>
    <row r="476" spans="1:24" ht="13.2">
      <c r="A476" s="49"/>
      <c r="B476" s="49"/>
      <c r="C476" s="48" t="s">
        <v>241</v>
      </c>
      <c r="D476" s="49" t="s">
        <v>550</v>
      </c>
      <c r="E476" s="50">
        <v>1</v>
      </c>
      <c r="F476" s="26" t="s">
        <v>898</v>
      </c>
      <c r="G476" s="26" t="s">
        <v>898</v>
      </c>
      <c r="H476" s="27">
        <f t="shared" ref="H476:H497" si="651">V476</f>
        <v>14819.633</v>
      </c>
      <c r="I476" s="27">
        <f t="shared" ref="I476:I497" si="652">W476</f>
        <v>10894.695</v>
      </c>
      <c r="J476" s="27">
        <f t="shared" ref="J476:J497" si="653">X476</f>
        <v>17661.238000000001</v>
      </c>
      <c r="K476" s="27">
        <f t="shared" ref="K476:K497" si="654">IFERROR(AVERAGE(H476:J476),"")</f>
        <v>14458.522000000003</v>
      </c>
      <c r="L476" s="65">
        <f>SUM(K476:K480)</f>
        <v>48676.226333333339</v>
      </c>
      <c r="M476" s="67">
        <f t="shared" ref="M476:M481" si="655">L476*$L$643/$L$642</f>
        <v>2.0431376521983413</v>
      </c>
      <c r="N476" s="65">
        <f t="shared" si="639"/>
        <v>2</v>
      </c>
      <c r="O476" s="65">
        <f t="shared" ref="O476:P476" si="656">N476</f>
        <v>2</v>
      </c>
      <c r="P476" s="65">
        <f t="shared" si="656"/>
        <v>2</v>
      </c>
      <c r="Q476" s="38"/>
      <c r="R476" s="3" t="str">
        <f t="shared" ref="R476:R545" si="657">C476</f>
        <v>Thanjavur</v>
      </c>
      <c r="S476" s="3" t="str">
        <f t="shared" si="642"/>
        <v>Budalur</v>
      </c>
      <c r="T476" s="3" t="str">
        <f t="shared" si="643"/>
        <v>Budalur</v>
      </c>
      <c r="U476" s="3" t="str">
        <f t="shared" si="644"/>
        <v>Thanjavur_Budalur_Budalur</v>
      </c>
      <c r="V476" s="3">
        <f>IF(_xlfn.XLOOKUP($U476,GCA!$H$3:$H$593,GCA!E$3:E$593,"",0,1)="","",_xlfn.XLOOKUP($U476,GCA!$H$3:$H$593,GCA!E$3:E$593,"",0,1))</f>
        <v>14819.633</v>
      </c>
      <c r="W476" s="3">
        <f>IF(_xlfn.XLOOKUP($U476,GCA!$H$3:$H$593,GCA!F$3:F$593,"",0,1)="","",_xlfn.XLOOKUP($U476,GCA!$H$3:$H$593,GCA!F$3:F$593,"",0,1))</f>
        <v>10894.695</v>
      </c>
      <c r="X476" s="3">
        <f>IF(_xlfn.XLOOKUP($U476,GCA!$H$3:$H$593,GCA!G$3:G$593,"",0,1)="","",_xlfn.XLOOKUP($U476,GCA!$H$3:$H$593,GCA!G$3:G$593,"",0,1))</f>
        <v>17661.238000000001</v>
      </c>
    </row>
    <row r="477" spans="1:24" ht="13.2">
      <c r="A477" s="49"/>
      <c r="B477" s="49"/>
      <c r="C477" s="48"/>
      <c r="D477" s="49"/>
      <c r="E477" s="50"/>
      <c r="F477" s="26" t="s">
        <v>898</v>
      </c>
      <c r="G477" s="26" t="s">
        <v>241</v>
      </c>
      <c r="H477" s="27">
        <f t="shared" si="651"/>
        <v>1326.9749999999999</v>
      </c>
      <c r="I477" s="27">
        <f t="shared" si="652"/>
        <v>1317.11</v>
      </c>
      <c r="J477" s="27">
        <f t="shared" si="653"/>
        <v>2160.4250000000002</v>
      </c>
      <c r="K477" s="27">
        <f t="shared" si="654"/>
        <v>1601.5033333333333</v>
      </c>
      <c r="L477" s="65"/>
      <c r="M477" s="67">
        <f t="shared" si="655"/>
        <v>0</v>
      </c>
      <c r="N477" s="65" t="str">
        <f t="shared" si="639"/>
        <v/>
      </c>
      <c r="O477" s="65" t="str">
        <f t="shared" ref="O477:P477" si="658">N477</f>
        <v/>
      </c>
      <c r="P477" s="65" t="str">
        <f t="shared" si="658"/>
        <v/>
      </c>
      <c r="Q477" s="38"/>
      <c r="R477" s="3" t="str">
        <f t="shared" ref="R477:R498" si="659">R476</f>
        <v>Thanjavur</v>
      </c>
      <c r="S477" s="3" t="str">
        <f t="shared" si="642"/>
        <v>Budalur</v>
      </c>
      <c r="T477" s="3" t="str">
        <f t="shared" si="643"/>
        <v>Thanjavur</v>
      </c>
      <c r="U477" s="3" t="str">
        <f t="shared" si="644"/>
        <v>Thanjavur_Budalur_Thanjavur</v>
      </c>
      <c r="V477" s="3">
        <f>IF(_xlfn.XLOOKUP($U477,GCA!$H$3:$H$593,GCA!E$3:E$593,"",0,1)="","",_xlfn.XLOOKUP($U477,GCA!$H$3:$H$593,GCA!E$3:E$593,"",0,1))</f>
        <v>1326.9749999999999</v>
      </c>
      <c r="W477" s="3">
        <f>IF(_xlfn.XLOOKUP($U477,GCA!$H$3:$H$593,GCA!F$3:F$593,"",0,1)="","",_xlfn.XLOOKUP($U477,GCA!$H$3:$H$593,GCA!F$3:F$593,"",0,1))</f>
        <v>1317.11</v>
      </c>
      <c r="X477" s="3">
        <f>IF(_xlfn.XLOOKUP($U477,GCA!$H$3:$H$593,GCA!G$3:G$593,"",0,1)="","",_xlfn.XLOOKUP($U477,GCA!$H$3:$H$593,GCA!G$3:G$593,"",0,1))</f>
        <v>2160.4250000000002</v>
      </c>
    </row>
    <row r="478" spans="1:24" ht="13.2">
      <c r="A478" s="49"/>
      <c r="B478" s="49"/>
      <c r="C478" s="48"/>
      <c r="D478" s="49"/>
      <c r="E478" s="50"/>
      <c r="F478" s="26" t="s">
        <v>898</v>
      </c>
      <c r="G478" s="26" t="s">
        <v>899</v>
      </c>
      <c r="H478" s="27">
        <f t="shared" si="651"/>
        <v>2429.2550000000001</v>
      </c>
      <c r="I478" s="27">
        <f t="shared" si="652"/>
        <v>2551.83</v>
      </c>
      <c r="J478" s="27">
        <f t="shared" si="653"/>
        <v>2863.05</v>
      </c>
      <c r="K478" s="27">
        <f t="shared" si="654"/>
        <v>2614.7116666666666</v>
      </c>
      <c r="L478" s="65"/>
      <c r="M478" s="67">
        <f t="shared" si="655"/>
        <v>0</v>
      </c>
      <c r="N478" s="65" t="str">
        <f t="shared" si="639"/>
        <v/>
      </c>
      <c r="O478" s="65" t="str">
        <f t="shared" ref="O478:P478" si="660">N478</f>
        <v/>
      </c>
      <c r="P478" s="65" t="str">
        <f t="shared" si="660"/>
        <v/>
      </c>
      <c r="Q478" s="38"/>
      <c r="R478" s="3" t="str">
        <f t="shared" si="659"/>
        <v>Thanjavur</v>
      </c>
      <c r="S478" s="3" t="str">
        <f t="shared" si="642"/>
        <v>Budalur</v>
      </c>
      <c r="T478" s="3" t="str">
        <f t="shared" si="643"/>
        <v>Thiruvaiyaru</v>
      </c>
      <c r="U478" s="3" t="str">
        <f t="shared" si="644"/>
        <v>Thanjavur_Budalur_Thiruvaiyaru</v>
      </c>
      <c r="V478" s="3">
        <f>IF(_xlfn.XLOOKUP($U478,GCA!$H$3:$H$593,GCA!E$3:E$593,"",0,1)="","",_xlfn.XLOOKUP($U478,GCA!$H$3:$H$593,GCA!E$3:E$593,"",0,1))</f>
        <v>2429.2550000000001</v>
      </c>
      <c r="W478" s="3">
        <f>IF(_xlfn.XLOOKUP($U478,GCA!$H$3:$H$593,GCA!F$3:F$593,"",0,1)="","",_xlfn.XLOOKUP($U478,GCA!$H$3:$H$593,GCA!F$3:F$593,"",0,1))</f>
        <v>2551.83</v>
      </c>
      <c r="X478" s="3">
        <f>IF(_xlfn.XLOOKUP($U478,GCA!$H$3:$H$593,GCA!G$3:G$593,"",0,1)="","",_xlfn.XLOOKUP($U478,GCA!$H$3:$H$593,GCA!G$3:G$593,"",0,1))</f>
        <v>2863.05</v>
      </c>
    </row>
    <row r="479" spans="1:24" ht="13.2">
      <c r="A479" s="49"/>
      <c r="B479" s="49"/>
      <c r="C479" s="48"/>
      <c r="D479" s="49"/>
      <c r="E479" s="50"/>
      <c r="F479" s="26" t="s">
        <v>900</v>
      </c>
      <c r="G479" s="26" t="s">
        <v>900</v>
      </c>
      <c r="H479" s="27">
        <f t="shared" si="651"/>
        <v>14997.916999999999</v>
      </c>
      <c r="I479" s="27">
        <f t="shared" si="652"/>
        <v>16054.391</v>
      </c>
      <c r="J479" s="27">
        <f t="shared" si="653"/>
        <v>16816.490000000002</v>
      </c>
      <c r="K479" s="27">
        <f t="shared" si="654"/>
        <v>15956.265999999998</v>
      </c>
      <c r="L479" s="65"/>
      <c r="M479" s="67">
        <f t="shared" si="655"/>
        <v>0</v>
      </c>
      <c r="N479" s="65" t="str">
        <f t="shared" si="639"/>
        <v/>
      </c>
      <c r="O479" s="65" t="str">
        <f t="shared" ref="O479:P479" si="661">N479</f>
        <v/>
      </c>
      <c r="P479" s="65" t="str">
        <f t="shared" si="661"/>
        <v/>
      </c>
      <c r="Q479" s="38"/>
      <c r="R479" s="3" t="str">
        <f t="shared" si="659"/>
        <v>Thanjavur</v>
      </c>
      <c r="S479" s="3" t="str">
        <f t="shared" si="642"/>
        <v>Kumbakonam</v>
      </c>
      <c r="T479" s="3" t="str">
        <f t="shared" si="643"/>
        <v>Kumbakonam</v>
      </c>
      <c r="U479" s="3" t="str">
        <f t="shared" si="644"/>
        <v>Thanjavur_Kumbakonam_Kumbakonam</v>
      </c>
      <c r="V479" s="3">
        <f>IF(_xlfn.XLOOKUP($U479,GCA!$H$3:$H$593,GCA!E$3:E$593,"",0,1)="","",_xlfn.XLOOKUP($U479,GCA!$H$3:$H$593,GCA!E$3:E$593,"",0,1))</f>
        <v>14997.916999999999</v>
      </c>
      <c r="W479" s="3">
        <f>IF(_xlfn.XLOOKUP($U479,GCA!$H$3:$H$593,GCA!F$3:F$593,"",0,1)="","",_xlfn.XLOOKUP($U479,GCA!$H$3:$H$593,GCA!F$3:F$593,"",0,1))</f>
        <v>16054.391</v>
      </c>
      <c r="X479" s="3">
        <f>IF(_xlfn.XLOOKUP($U479,GCA!$H$3:$H$593,GCA!G$3:G$593,"",0,1)="","",_xlfn.XLOOKUP($U479,GCA!$H$3:$H$593,GCA!G$3:G$593,"",0,1))</f>
        <v>16816.490000000002</v>
      </c>
    </row>
    <row r="480" spans="1:24" ht="13.2">
      <c r="A480" s="49"/>
      <c r="B480" s="49"/>
      <c r="C480" s="48"/>
      <c r="D480" s="49"/>
      <c r="E480" s="50"/>
      <c r="F480" s="26" t="s">
        <v>900</v>
      </c>
      <c r="G480" s="26" t="s">
        <v>901</v>
      </c>
      <c r="H480" s="27">
        <f t="shared" si="651"/>
        <v>12729.602999999999</v>
      </c>
      <c r="I480" s="27">
        <f t="shared" si="652"/>
        <v>14156.237999999999</v>
      </c>
      <c r="J480" s="27">
        <f t="shared" si="653"/>
        <v>15249.829</v>
      </c>
      <c r="K480" s="27">
        <f t="shared" si="654"/>
        <v>14045.223333333333</v>
      </c>
      <c r="L480" s="65"/>
      <c r="M480" s="67">
        <f t="shared" si="655"/>
        <v>0</v>
      </c>
      <c r="N480" s="65" t="str">
        <f t="shared" si="639"/>
        <v/>
      </c>
      <c r="O480" s="65" t="str">
        <f t="shared" ref="O480:P480" si="662">N480</f>
        <v/>
      </c>
      <c r="P480" s="65" t="str">
        <f t="shared" si="662"/>
        <v/>
      </c>
      <c r="Q480" s="38"/>
      <c r="R480" s="3" t="str">
        <f t="shared" si="659"/>
        <v>Thanjavur</v>
      </c>
      <c r="S480" s="3" t="str">
        <f t="shared" si="642"/>
        <v>Kumbakonam</v>
      </c>
      <c r="T480" s="3" t="str">
        <f t="shared" si="643"/>
        <v>Thiruvidamarudur</v>
      </c>
      <c r="U480" s="3" t="str">
        <f t="shared" si="644"/>
        <v>Thanjavur_Kumbakonam_Thiruvidamarudur</v>
      </c>
      <c r="V480" s="3">
        <f>IF(_xlfn.XLOOKUP($U480,GCA!$H$3:$H$593,GCA!E$3:E$593,"",0,1)="","",_xlfn.XLOOKUP($U480,GCA!$H$3:$H$593,GCA!E$3:E$593,"",0,1))</f>
        <v>12729.602999999999</v>
      </c>
      <c r="W480" s="3">
        <f>IF(_xlfn.XLOOKUP($U480,GCA!$H$3:$H$593,GCA!F$3:F$593,"",0,1)="","",_xlfn.XLOOKUP($U480,GCA!$H$3:$H$593,GCA!F$3:F$593,"",0,1))</f>
        <v>14156.237999999999</v>
      </c>
      <c r="X480" s="3">
        <f>IF(_xlfn.XLOOKUP($U480,GCA!$H$3:$H$593,GCA!G$3:G$593,"",0,1)="","",_xlfn.XLOOKUP($U480,GCA!$H$3:$H$593,GCA!G$3:G$593,"",0,1))</f>
        <v>15249.829</v>
      </c>
    </row>
    <row r="481" spans="1:24" ht="13.2">
      <c r="A481" s="49"/>
      <c r="B481" s="49"/>
      <c r="C481" s="48"/>
      <c r="D481" s="49"/>
      <c r="E481" s="56">
        <v>2</v>
      </c>
      <c r="F481" s="26" t="s">
        <v>902</v>
      </c>
      <c r="G481" s="26" t="s">
        <v>903</v>
      </c>
      <c r="H481" s="27">
        <f t="shared" si="651"/>
        <v>44042.184999999998</v>
      </c>
      <c r="I481" s="27">
        <f t="shared" si="652"/>
        <v>45870.696000000004</v>
      </c>
      <c r="J481" s="27">
        <f t="shared" si="653"/>
        <v>54557.457000000002</v>
      </c>
      <c r="K481" s="27">
        <f t="shared" si="654"/>
        <v>48156.779333333332</v>
      </c>
      <c r="L481" s="62">
        <f>SUM(K481:K482)</f>
        <v>61065.330666666661</v>
      </c>
      <c r="M481" s="69">
        <f t="shared" si="655"/>
        <v>2.5631583573184691</v>
      </c>
      <c r="N481" s="62">
        <f t="shared" si="639"/>
        <v>3</v>
      </c>
      <c r="O481" s="62">
        <f t="shared" ref="O481:P481" si="663">N481</f>
        <v>3</v>
      </c>
      <c r="P481" s="62">
        <f t="shared" si="663"/>
        <v>3</v>
      </c>
      <c r="Q481" s="38"/>
      <c r="R481" s="3" t="str">
        <f t="shared" si="659"/>
        <v>Thanjavur</v>
      </c>
      <c r="S481" s="3" t="str">
        <f t="shared" si="642"/>
        <v>Orathanad</v>
      </c>
      <c r="T481" s="3" t="str">
        <f t="shared" si="643"/>
        <v>Orathanadu</v>
      </c>
      <c r="U481" s="3" t="str">
        <f t="shared" si="644"/>
        <v>Thanjavur_Orathanad_Orathanadu</v>
      </c>
      <c r="V481" s="3">
        <f>IF(_xlfn.XLOOKUP($U481,GCA!$H$3:$H$593,GCA!E$3:E$593,"",0,1)="","",_xlfn.XLOOKUP($U481,GCA!$H$3:$H$593,GCA!E$3:E$593,"",0,1))</f>
        <v>44042.184999999998</v>
      </c>
      <c r="W481" s="3">
        <f>IF(_xlfn.XLOOKUP($U481,GCA!$H$3:$H$593,GCA!F$3:F$593,"",0,1)="","",_xlfn.XLOOKUP($U481,GCA!$H$3:$H$593,GCA!F$3:F$593,"",0,1))</f>
        <v>45870.696000000004</v>
      </c>
      <c r="X481" s="3">
        <f>IF(_xlfn.XLOOKUP($U481,GCA!$H$3:$H$593,GCA!G$3:G$593,"",0,1)="","",_xlfn.XLOOKUP($U481,GCA!$H$3:$H$593,GCA!G$3:G$593,"",0,1))</f>
        <v>54557.457000000002</v>
      </c>
    </row>
    <row r="482" spans="1:24" ht="13.2">
      <c r="A482" s="49"/>
      <c r="B482" s="49"/>
      <c r="C482" s="48"/>
      <c r="D482" s="49"/>
      <c r="E482" s="58"/>
      <c r="F482" s="26" t="s">
        <v>902</v>
      </c>
      <c r="G482" s="26" t="s">
        <v>904</v>
      </c>
      <c r="H482" s="27">
        <f t="shared" si="651"/>
        <v>3391.4749999999999</v>
      </c>
      <c r="I482" s="27">
        <f t="shared" si="652"/>
        <v>16235.42</v>
      </c>
      <c r="J482" s="27">
        <f t="shared" si="653"/>
        <v>19098.758999999998</v>
      </c>
      <c r="K482" s="27">
        <f t="shared" si="654"/>
        <v>12908.551333333331</v>
      </c>
      <c r="L482" s="64"/>
      <c r="M482" s="71"/>
      <c r="N482" s="64"/>
      <c r="O482" s="64"/>
      <c r="P482" s="64"/>
      <c r="Q482" s="38"/>
      <c r="R482" s="3" t="str">
        <f t="shared" si="659"/>
        <v>Thanjavur</v>
      </c>
      <c r="S482" s="3" t="str">
        <f t="shared" si="642"/>
        <v>Orathanad</v>
      </c>
      <c r="T482" s="3" t="str">
        <f t="shared" si="643"/>
        <v>Thiruvonam</v>
      </c>
      <c r="U482" s="3" t="str">
        <f t="shared" si="644"/>
        <v>Thanjavur_Orathanad_Thiruvonam</v>
      </c>
      <c r="V482" s="3">
        <f>IF(_xlfn.XLOOKUP($U482,GCA!$H$3:$H$593,GCA!E$3:E$593,"",0,1)="","",_xlfn.XLOOKUP($U482,GCA!$H$3:$H$593,GCA!E$3:E$593,"",0,1))</f>
        <v>3391.4749999999999</v>
      </c>
      <c r="W482" s="3">
        <f>IF(_xlfn.XLOOKUP($U482,GCA!$H$3:$H$593,GCA!F$3:F$593,"",0,1)="","",_xlfn.XLOOKUP($U482,GCA!$H$3:$H$593,GCA!F$3:F$593,"",0,1))</f>
        <v>16235.42</v>
      </c>
      <c r="X482" s="3">
        <f>IF(_xlfn.XLOOKUP($U482,GCA!$H$3:$H$593,GCA!G$3:G$593,"",0,1)="","",_xlfn.XLOOKUP($U482,GCA!$H$3:$H$593,GCA!G$3:G$593,"",0,1))</f>
        <v>19098.758999999998</v>
      </c>
    </row>
    <row r="483" spans="1:24" ht="13.2">
      <c r="A483" s="49"/>
      <c r="B483" s="49"/>
      <c r="C483" s="48"/>
      <c r="D483" s="49"/>
      <c r="E483" s="56">
        <v>3</v>
      </c>
      <c r="F483" s="26" t="s">
        <v>905</v>
      </c>
      <c r="G483" s="26" t="s">
        <v>566</v>
      </c>
      <c r="H483" s="27">
        <f t="shared" si="651"/>
        <v>34341.33</v>
      </c>
      <c r="I483" s="27">
        <f t="shared" si="652"/>
        <v>34824.269</v>
      </c>
      <c r="J483" s="27">
        <f t="shared" si="653"/>
        <v>38217.232000000004</v>
      </c>
      <c r="K483" s="27">
        <f t="shared" si="654"/>
        <v>35794.277000000002</v>
      </c>
      <c r="L483" s="62">
        <f>SUM(K483:K484)</f>
        <v>46913.416000000005</v>
      </c>
      <c r="M483" s="69">
        <f>L483*$L$643/$L$642</f>
        <v>1.9691453886844537</v>
      </c>
      <c r="N483" s="62">
        <f t="shared" si="639"/>
        <v>2</v>
      </c>
      <c r="O483" s="62">
        <f t="shared" ref="O483:P483" si="664">N483</f>
        <v>2</v>
      </c>
      <c r="P483" s="62">
        <f t="shared" si="664"/>
        <v>2</v>
      </c>
      <c r="Q483" s="38"/>
      <c r="R483" s="3" t="str">
        <f t="shared" si="659"/>
        <v>Thanjavur</v>
      </c>
      <c r="S483" s="3" t="str">
        <f t="shared" si="642"/>
        <v>Papanasam</v>
      </c>
      <c r="T483" s="3" t="str">
        <f t="shared" si="643"/>
        <v>Ammapettai</v>
      </c>
      <c r="U483" s="3" t="str">
        <f t="shared" si="644"/>
        <v>Thanjavur_Papanasam_Ammapettai</v>
      </c>
      <c r="V483" s="3">
        <f>IF(_xlfn.XLOOKUP($U483,GCA!$H$3:$H$593,GCA!E$3:E$593,"",0,1)="","",_xlfn.XLOOKUP($U483,GCA!$H$3:$H$593,GCA!E$3:E$593,"",0,1))</f>
        <v>34341.33</v>
      </c>
      <c r="W483" s="3">
        <f>IF(_xlfn.XLOOKUP($U483,GCA!$H$3:$H$593,GCA!F$3:F$593,"",0,1)="","",_xlfn.XLOOKUP($U483,GCA!$H$3:$H$593,GCA!F$3:F$593,"",0,1))</f>
        <v>34824.269</v>
      </c>
      <c r="X483" s="3">
        <f>IF(_xlfn.XLOOKUP($U483,GCA!$H$3:$H$593,GCA!G$3:G$593,"",0,1)="","",_xlfn.XLOOKUP($U483,GCA!$H$3:$H$593,GCA!G$3:G$593,"",0,1))</f>
        <v>38217.232000000004</v>
      </c>
    </row>
    <row r="484" spans="1:24" ht="13.2">
      <c r="A484" s="49"/>
      <c r="B484" s="49"/>
      <c r="C484" s="48"/>
      <c r="D484" s="49"/>
      <c r="E484" s="58"/>
      <c r="F484" s="26" t="s">
        <v>905</v>
      </c>
      <c r="G484" s="26" t="s">
        <v>905</v>
      </c>
      <c r="H484" s="27">
        <f t="shared" si="651"/>
        <v>10960.079</v>
      </c>
      <c r="I484" s="27">
        <f t="shared" si="652"/>
        <v>11366.47</v>
      </c>
      <c r="J484" s="27">
        <f t="shared" si="653"/>
        <v>11030.868</v>
      </c>
      <c r="K484" s="27">
        <f t="shared" si="654"/>
        <v>11119.139000000001</v>
      </c>
      <c r="L484" s="64"/>
      <c r="M484" s="71"/>
      <c r="N484" s="64"/>
      <c r="O484" s="64"/>
      <c r="P484" s="64"/>
      <c r="Q484" s="38"/>
      <c r="R484" s="3" t="str">
        <f t="shared" si="659"/>
        <v>Thanjavur</v>
      </c>
      <c r="S484" s="3" t="str">
        <f t="shared" si="642"/>
        <v>Papanasam</v>
      </c>
      <c r="T484" s="3" t="str">
        <f t="shared" si="643"/>
        <v>Papanasam</v>
      </c>
      <c r="U484" s="3" t="str">
        <f t="shared" si="644"/>
        <v>Thanjavur_Papanasam_Papanasam</v>
      </c>
      <c r="V484" s="3">
        <f>IF(_xlfn.XLOOKUP($U484,GCA!$H$3:$H$593,GCA!E$3:E$593,"",0,1)="","",_xlfn.XLOOKUP($U484,GCA!$H$3:$H$593,GCA!E$3:E$593,"",0,1))</f>
        <v>10960.079</v>
      </c>
      <c r="W484" s="3">
        <f>IF(_xlfn.XLOOKUP($U484,GCA!$H$3:$H$593,GCA!F$3:F$593,"",0,1)="","",_xlfn.XLOOKUP($U484,GCA!$H$3:$H$593,GCA!F$3:F$593,"",0,1))</f>
        <v>11366.47</v>
      </c>
      <c r="X484" s="3">
        <f>IF(_xlfn.XLOOKUP($U484,GCA!$H$3:$H$593,GCA!G$3:G$593,"",0,1)="","",_xlfn.XLOOKUP($U484,GCA!$H$3:$H$593,GCA!G$3:G$593,"",0,1))</f>
        <v>11030.868</v>
      </c>
    </row>
    <row r="485" spans="1:24" ht="13.2">
      <c r="A485" s="49"/>
      <c r="B485" s="49"/>
      <c r="C485" s="48"/>
      <c r="D485" s="49"/>
      <c r="E485" s="50">
        <v>4</v>
      </c>
      <c r="F485" s="26" t="s">
        <v>906</v>
      </c>
      <c r="G485" s="26" t="s">
        <v>907</v>
      </c>
      <c r="H485" s="27">
        <f t="shared" si="651"/>
        <v>14287.815000000001</v>
      </c>
      <c r="I485" s="27">
        <f t="shared" si="652"/>
        <v>15105.763999999999</v>
      </c>
      <c r="J485" s="27">
        <f t="shared" si="653"/>
        <v>15443.382</v>
      </c>
      <c r="K485" s="27">
        <f t="shared" si="654"/>
        <v>14945.653666666665</v>
      </c>
      <c r="L485" s="65">
        <f>SUM(K485:K489)</f>
        <v>49983.032666666666</v>
      </c>
      <c r="M485" s="67">
        <f t="shared" ref="M485:M497" si="665">L485*$L$643/$L$642</f>
        <v>2.0979895876273655</v>
      </c>
      <c r="N485" s="65">
        <f t="shared" si="639"/>
        <v>2</v>
      </c>
      <c r="O485" s="65">
        <f t="shared" ref="O485:P485" si="666">N485</f>
        <v>2</v>
      </c>
      <c r="P485" s="65">
        <f t="shared" si="666"/>
        <v>2</v>
      </c>
      <c r="Q485" s="38"/>
      <c r="R485" s="3" t="str">
        <f t="shared" si="659"/>
        <v>Thanjavur</v>
      </c>
      <c r="S485" s="3" t="str">
        <f t="shared" si="642"/>
        <v>Pattukottai</v>
      </c>
      <c r="T485" s="3" t="str">
        <f t="shared" si="643"/>
        <v>Madukkur</v>
      </c>
      <c r="U485" s="3" t="str">
        <f t="shared" si="644"/>
        <v>Thanjavur_Pattukottai_Madukkur</v>
      </c>
      <c r="V485" s="3">
        <f>IF(_xlfn.XLOOKUP($U485,GCA!$H$3:$H$593,GCA!E$3:E$593,"",0,1)="","",_xlfn.XLOOKUP($U485,GCA!$H$3:$H$593,GCA!E$3:E$593,"",0,1))</f>
        <v>14287.815000000001</v>
      </c>
      <c r="W485" s="3">
        <f>IF(_xlfn.XLOOKUP($U485,GCA!$H$3:$H$593,GCA!F$3:F$593,"",0,1)="","",_xlfn.XLOOKUP($U485,GCA!$H$3:$H$593,GCA!F$3:F$593,"",0,1))</f>
        <v>15105.763999999999</v>
      </c>
      <c r="X485" s="3">
        <f>IF(_xlfn.XLOOKUP($U485,GCA!$H$3:$H$593,GCA!G$3:G$593,"",0,1)="","",_xlfn.XLOOKUP($U485,GCA!$H$3:$H$593,GCA!G$3:G$593,"",0,1))</f>
        <v>15443.382</v>
      </c>
    </row>
    <row r="486" spans="1:24" ht="13.2">
      <c r="A486" s="49"/>
      <c r="B486" s="49"/>
      <c r="C486" s="48"/>
      <c r="D486" s="49"/>
      <c r="E486" s="50"/>
      <c r="F486" s="26" t="s">
        <v>906</v>
      </c>
      <c r="G486" s="26" t="s">
        <v>908</v>
      </c>
      <c r="H486" s="27">
        <f t="shared" si="651"/>
        <v>18870.2</v>
      </c>
      <c r="I486" s="27">
        <f t="shared" si="652"/>
        <v>19065.388999999999</v>
      </c>
      <c r="J486" s="27">
        <f t="shared" si="653"/>
        <v>19977.21</v>
      </c>
      <c r="K486" s="27">
        <f t="shared" si="654"/>
        <v>19304.266333333333</v>
      </c>
      <c r="L486" s="65"/>
      <c r="M486" s="67">
        <f t="shared" si="665"/>
        <v>0</v>
      </c>
      <c r="N486" s="65" t="str">
        <f t="shared" si="639"/>
        <v/>
      </c>
      <c r="O486" s="65" t="str">
        <f t="shared" ref="O486:P486" si="667">N486</f>
        <v/>
      </c>
      <c r="P486" s="65" t="str">
        <f t="shared" si="667"/>
        <v/>
      </c>
      <c r="Q486" s="38"/>
      <c r="R486" s="3" t="str">
        <f t="shared" si="659"/>
        <v>Thanjavur</v>
      </c>
      <c r="S486" s="3" t="str">
        <f t="shared" si="642"/>
        <v>Pattukottai</v>
      </c>
      <c r="T486" s="3" t="str">
        <f t="shared" si="643"/>
        <v>Pattukkottai</v>
      </c>
      <c r="U486" s="3" t="str">
        <f t="shared" si="644"/>
        <v>Thanjavur_Pattukottai_Pattukkottai</v>
      </c>
      <c r="V486" s="3">
        <f>IF(_xlfn.XLOOKUP($U486,GCA!$H$3:$H$593,GCA!E$3:E$593,"",0,1)="","",_xlfn.XLOOKUP($U486,GCA!$H$3:$H$593,GCA!E$3:E$593,"",0,1))</f>
        <v>18870.2</v>
      </c>
      <c r="W486" s="3">
        <f>IF(_xlfn.XLOOKUP($U486,GCA!$H$3:$H$593,GCA!F$3:F$593,"",0,1)="","",_xlfn.XLOOKUP($U486,GCA!$H$3:$H$593,GCA!F$3:F$593,"",0,1))</f>
        <v>19065.388999999999</v>
      </c>
      <c r="X486" s="3">
        <f>IF(_xlfn.XLOOKUP($U486,GCA!$H$3:$H$593,GCA!G$3:G$593,"",0,1)="","",_xlfn.XLOOKUP($U486,GCA!$H$3:$H$593,GCA!G$3:G$593,"",0,1))</f>
        <v>19977.21</v>
      </c>
    </row>
    <row r="487" spans="1:24" ht="13.2">
      <c r="A487" s="49"/>
      <c r="B487" s="49"/>
      <c r="C487" s="48"/>
      <c r="D487" s="49"/>
      <c r="E487" s="50"/>
      <c r="F487" s="26" t="s">
        <v>906</v>
      </c>
      <c r="G487" s="26" t="s">
        <v>909</v>
      </c>
      <c r="H487" s="27">
        <f t="shared" si="651"/>
        <v>7385.9160000000002</v>
      </c>
      <c r="I487" s="27">
        <f t="shared" si="652"/>
        <v>8753.9050000000007</v>
      </c>
      <c r="J487" s="27">
        <f t="shared" si="653"/>
        <v>9278.2999999999993</v>
      </c>
      <c r="K487" s="27">
        <f t="shared" si="654"/>
        <v>8472.7070000000003</v>
      </c>
      <c r="L487" s="65"/>
      <c r="M487" s="67">
        <f t="shared" si="665"/>
        <v>0</v>
      </c>
      <c r="N487" s="65" t="str">
        <f t="shared" si="639"/>
        <v/>
      </c>
      <c r="O487" s="65" t="str">
        <f t="shared" ref="O487:P487" si="668">N487</f>
        <v/>
      </c>
      <c r="P487" s="65" t="str">
        <f t="shared" si="668"/>
        <v/>
      </c>
      <c r="Q487" s="38"/>
      <c r="R487" s="3" t="str">
        <f t="shared" si="659"/>
        <v>Thanjavur</v>
      </c>
      <c r="S487" s="3" t="str">
        <f t="shared" si="642"/>
        <v>Pattukottai</v>
      </c>
      <c r="T487" s="3" t="str">
        <f t="shared" si="643"/>
        <v>Peravurani</v>
      </c>
      <c r="U487" s="3" t="str">
        <f t="shared" si="644"/>
        <v>Thanjavur_Pattukottai_Peravurani</v>
      </c>
      <c r="V487" s="3">
        <f>IF(_xlfn.XLOOKUP($U487,GCA!$H$3:$H$593,GCA!E$3:E$593,"",0,1)="","",_xlfn.XLOOKUP($U487,GCA!$H$3:$H$593,GCA!E$3:E$593,"",0,1))</f>
        <v>7385.9160000000002</v>
      </c>
      <c r="W487" s="3">
        <f>IF(_xlfn.XLOOKUP($U487,GCA!$H$3:$H$593,GCA!F$3:F$593,"",0,1)="","",_xlfn.XLOOKUP($U487,GCA!$H$3:$H$593,GCA!F$3:F$593,"",0,1))</f>
        <v>8753.9050000000007</v>
      </c>
      <c r="X487" s="3">
        <f>IF(_xlfn.XLOOKUP($U487,GCA!$H$3:$H$593,GCA!G$3:G$593,"",0,1)="","",_xlfn.XLOOKUP($U487,GCA!$H$3:$H$593,GCA!G$3:G$593,"",0,1))</f>
        <v>9278.2999999999993</v>
      </c>
    </row>
    <row r="488" spans="1:24" ht="13.2">
      <c r="A488" s="49"/>
      <c r="B488" s="49"/>
      <c r="C488" s="48"/>
      <c r="D488" s="49"/>
      <c r="E488" s="50"/>
      <c r="F488" s="26" t="s">
        <v>906</v>
      </c>
      <c r="G488" s="26" t="s">
        <v>910</v>
      </c>
      <c r="H488" s="27">
        <f t="shared" si="651"/>
        <v>4506.3999999999996</v>
      </c>
      <c r="I488" s="27">
        <f t="shared" si="652"/>
        <v>4371.5069999999996</v>
      </c>
      <c r="J488" s="27">
        <f t="shared" si="653"/>
        <v>4669.4549999999999</v>
      </c>
      <c r="K488" s="27">
        <f t="shared" si="654"/>
        <v>4515.7873333333328</v>
      </c>
      <c r="L488" s="65"/>
      <c r="M488" s="67">
        <f t="shared" si="665"/>
        <v>0</v>
      </c>
      <c r="N488" s="65" t="str">
        <f t="shared" si="639"/>
        <v/>
      </c>
      <c r="O488" s="65" t="str">
        <f t="shared" ref="O488:P488" si="669">N488</f>
        <v/>
      </c>
      <c r="P488" s="65" t="str">
        <f t="shared" si="669"/>
        <v/>
      </c>
      <c r="Q488" s="38"/>
      <c r="R488" s="3" t="str">
        <f t="shared" si="659"/>
        <v>Thanjavur</v>
      </c>
      <c r="S488" s="3" t="str">
        <f t="shared" si="642"/>
        <v>Pattukottai</v>
      </c>
      <c r="T488" s="3" t="str">
        <f t="shared" si="643"/>
        <v>Sethubavachatram</v>
      </c>
      <c r="U488" s="3" t="str">
        <f t="shared" si="644"/>
        <v>Thanjavur_Pattukottai_Sethubavachatram</v>
      </c>
      <c r="V488" s="3">
        <f>IF(_xlfn.XLOOKUP($U488,GCA!$H$3:$H$593,GCA!E$3:E$593,"",0,1)="","",_xlfn.XLOOKUP($U488,GCA!$H$3:$H$593,GCA!E$3:E$593,"",0,1))</f>
        <v>4506.3999999999996</v>
      </c>
      <c r="W488" s="3">
        <f>IF(_xlfn.XLOOKUP($U488,GCA!$H$3:$H$593,GCA!F$3:F$593,"",0,1)="","",_xlfn.XLOOKUP($U488,GCA!$H$3:$H$593,GCA!F$3:F$593,"",0,1))</f>
        <v>4371.5069999999996</v>
      </c>
      <c r="X488" s="3">
        <f>IF(_xlfn.XLOOKUP($U488,GCA!$H$3:$H$593,GCA!G$3:G$593,"",0,1)="","",_xlfn.XLOOKUP($U488,GCA!$H$3:$H$593,GCA!G$3:G$593,"",0,1))</f>
        <v>4669.4549999999999</v>
      </c>
    </row>
    <row r="489" spans="1:24" ht="13.2">
      <c r="A489" s="49"/>
      <c r="B489" s="49"/>
      <c r="C489" s="48"/>
      <c r="D489" s="49"/>
      <c r="E489" s="50"/>
      <c r="F489" s="26" t="s">
        <v>906</v>
      </c>
      <c r="G489" s="26" t="s">
        <v>904</v>
      </c>
      <c r="H489" s="27">
        <f t="shared" si="651"/>
        <v>1712.44</v>
      </c>
      <c r="I489" s="27">
        <f t="shared" si="652"/>
        <v>3081.6350000000002</v>
      </c>
      <c r="J489" s="27">
        <f t="shared" si="653"/>
        <v>3439.78</v>
      </c>
      <c r="K489" s="27">
        <f t="shared" si="654"/>
        <v>2744.6183333333338</v>
      </c>
      <c r="L489" s="65"/>
      <c r="M489" s="67">
        <f t="shared" si="665"/>
        <v>0</v>
      </c>
      <c r="N489" s="65" t="str">
        <f t="shared" si="639"/>
        <v/>
      </c>
      <c r="O489" s="65" t="str">
        <f t="shared" ref="O489:P489" si="670">N489</f>
        <v/>
      </c>
      <c r="P489" s="65" t="str">
        <f t="shared" si="670"/>
        <v/>
      </c>
      <c r="Q489" s="38"/>
      <c r="R489" s="3" t="str">
        <f t="shared" si="659"/>
        <v>Thanjavur</v>
      </c>
      <c r="S489" s="3" t="str">
        <f t="shared" si="642"/>
        <v>Pattukottai</v>
      </c>
      <c r="T489" s="3" t="str">
        <f t="shared" si="643"/>
        <v>Thiruvonam</v>
      </c>
      <c r="U489" s="3" t="str">
        <f t="shared" si="644"/>
        <v>Thanjavur_Pattukottai_Thiruvonam</v>
      </c>
      <c r="V489" s="3">
        <f>IF(_xlfn.XLOOKUP($U489,GCA!$H$3:$H$593,GCA!E$3:E$593,"",0,1)="","",_xlfn.XLOOKUP($U489,GCA!$H$3:$H$593,GCA!E$3:E$593,"",0,1))</f>
        <v>1712.44</v>
      </c>
      <c r="W489" s="3">
        <f>IF(_xlfn.XLOOKUP($U489,GCA!$H$3:$H$593,GCA!F$3:F$593,"",0,1)="","",_xlfn.XLOOKUP($U489,GCA!$H$3:$H$593,GCA!F$3:F$593,"",0,1))</f>
        <v>3081.6350000000002</v>
      </c>
      <c r="X489" s="3">
        <f>IF(_xlfn.XLOOKUP($U489,GCA!$H$3:$H$593,GCA!G$3:G$593,"",0,1)="","",_xlfn.XLOOKUP($U489,GCA!$H$3:$H$593,GCA!G$3:G$593,"",0,1))</f>
        <v>3439.78</v>
      </c>
    </row>
    <row r="490" spans="1:24" ht="13.2">
      <c r="A490" s="49"/>
      <c r="B490" s="49"/>
      <c r="C490" s="48"/>
      <c r="D490" s="49"/>
      <c r="E490" s="50">
        <v>5</v>
      </c>
      <c r="F490" s="26" t="s">
        <v>909</v>
      </c>
      <c r="G490" s="26" t="s">
        <v>909</v>
      </c>
      <c r="H490" s="27">
        <f t="shared" si="651"/>
        <v>7648.5010000000002</v>
      </c>
      <c r="I490" s="27">
        <f t="shared" si="652"/>
        <v>7274.5360000000001</v>
      </c>
      <c r="J490" s="27">
        <f t="shared" si="653"/>
        <v>7707.09</v>
      </c>
      <c r="K490" s="27">
        <f t="shared" si="654"/>
        <v>7543.3756666666668</v>
      </c>
      <c r="L490" s="65">
        <f>SUM(K490:K492)</f>
        <v>49168.815666666662</v>
      </c>
      <c r="M490" s="67">
        <f t="shared" si="665"/>
        <v>2.0638136143633745</v>
      </c>
      <c r="N490" s="65">
        <f t="shared" si="639"/>
        <v>2</v>
      </c>
      <c r="O490" s="65">
        <f t="shared" ref="O490:P490" si="671">N490</f>
        <v>2</v>
      </c>
      <c r="P490" s="65">
        <f t="shared" si="671"/>
        <v>2</v>
      </c>
      <c r="Q490" s="38"/>
      <c r="R490" s="3" t="str">
        <f t="shared" si="659"/>
        <v>Thanjavur</v>
      </c>
      <c r="S490" s="3" t="str">
        <f t="shared" si="642"/>
        <v>Peravurani</v>
      </c>
      <c r="T490" s="3" t="str">
        <f t="shared" si="643"/>
        <v>Peravurani</v>
      </c>
      <c r="U490" s="3" t="str">
        <f t="shared" si="644"/>
        <v>Thanjavur_Peravurani_Peravurani</v>
      </c>
      <c r="V490" s="3">
        <f>IF(_xlfn.XLOOKUP($U490,GCA!$H$3:$H$593,GCA!E$3:E$593,"",0,1)="","",_xlfn.XLOOKUP($U490,GCA!$H$3:$H$593,GCA!E$3:E$593,"",0,1))</f>
        <v>7648.5010000000002</v>
      </c>
      <c r="W490" s="3">
        <f>IF(_xlfn.XLOOKUP($U490,GCA!$H$3:$H$593,GCA!F$3:F$593,"",0,1)="","",_xlfn.XLOOKUP($U490,GCA!$H$3:$H$593,GCA!F$3:F$593,"",0,1))</f>
        <v>7274.5360000000001</v>
      </c>
      <c r="X490" s="3">
        <f>IF(_xlfn.XLOOKUP($U490,GCA!$H$3:$H$593,GCA!G$3:G$593,"",0,1)="","",_xlfn.XLOOKUP($U490,GCA!$H$3:$H$593,GCA!G$3:G$593,"",0,1))</f>
        <v>7707.09</v>
      </c>
    </row>
    <row r="491" spans="1:24" ht="13.2">
      <c r="A491" s="49"/>
      <c r="B491" s="49"/>
      <c r="C491" s="48"/>
      <c r="D491" s="49"/>
      <c r="E491" s="50"/>
      <c r="F491" s="26" t="s">
        <v>909</v>
      </c>
      <c r="G491" s="26" t="s">
        <v>910</v>
      </c>
      <c r="H491" s="27">
        <f t="shared" si="651"/>
        <v>10096.055</v>
      </c>
      <c r="I491" s="27">
        <f t="shared" si="652"/>
        <v>9270.1790000000001</v>
      </c>
      <c r="J491" s="27">
        <f t="shared" si="653"/>
        <v>10262.805</v>
      </c>
      <c r="K491" s="27">
        <f t="shared" si="654"/>
        <v>9876.346333333333</v>
      </c>
      <c r="L491" s="65"/>
      <c r="M491" s="67">
        <f t="shared" si="665"/>
        <v>0</v>
      </c>
      <c r="N491" s="65" t="str">
        <f t="shared" si="639"/>
        <v/>
      </c>
      <c r="O491" s="65" t="str">
        <f t="shared" ref="O491:P491" si="672">N491</f>
        <v/>
      </c>
      <c r="P491" s="65" t="str">
        <f t="shared" si="672"/>
        <v/>
      </c>
      <c r="Q491" s="38"/>
      <c r="R491" s="3" t="str">
        <f t="shared" si="659"/>
        <v>Thanjavur</v>
      </c>
      <c r="S491" s="3" t="str">
        <f t="shared" si="642"/>
        <v>Peravurani</v>
      </c>
      <c r="T491" s="3" t="str">
        <f t="shared" si="643"/>
        <v>Sethubavachatram</v>
      </c>
      <c r="U491" s="3" t="str">
        <f t="shared" si="644"/>
        <v>Thanjavur_Peravurani_Sethubavachatram</v>
      </c>
      <c r="V491" s="3">
        <f>IF(_xlfn.XLOOKUP($U491,GCA!$H$3:$H$593,GCA!E$3:E$593,"",0,1)="","",_xlfn.XLOOKUP($U491,GCA!$H$3:$H$593,GCA!E$3:E$593,"",0,1))</f>
        <v>10096.055</v>
      </c>
      <c r="W491" s="3">
        <f>IF(_xlfn.XLOOKUP($U491,GCA!$H$3:$H$593,GCA!F$3:F$593,"",0,1)="","",_xlfn.XLOOKUP($U491,GCA!$H$3:$H$593,GCA!F$3:F$593,"",0,1))</f>
        <v>9270.1790000000001</v>
      </c>
      <c r="X491" s="3">
        <f>IF(_xlfn.XLOOKUP($U491,GCA!$H$3:$H$593,GCA!G$3:G$593,"",0,1)="","",_xlfn.XLOOKUP($U491,GCA!$H$3:$H$593,GCA!G$3:G$593,"",0,1))</f>
        <v>10262.805</v>
      </c>
    </row>
    <row r="492" spans="1:24" ht="13.2">
      <c r="A492" s="49"/>
      <c r="B492" s="49"/>
      <c r="C492" s="48"/>
      <c r="D492" s="49"/>
      <c r="E492" s="50"/>
      <c r="F492" s="26" t="s">
        <v>241</v>
      </c>
      <c r="G492" s="26" t="s">
        <v>241</v>
      </c>
      <c r="H492" s="27">
        <f t="shared" si="651"/>
        <v>29433.324000000001</v>
      </c>
      <c r="I492" s="27">
        <f t="shared" si="652"/>
        <v>31116.641</v>
      </c>
      <c r="J492" s="27">
        <f t="shared" si="653"/>
        <v>34697.315999999999</v>
      </c>
      <c r="K492" s="27">
        <f t="shared" si="654"/>
        <v>31749.093666666664</v>
      </c>
      <c r="L492" s="65"/>
      <c r="M492" s="67">
        <f t="shared" si="665"/>
        <v>0</v>
      </c>
      <c r="N492" s="65" t="str">
        <f t="shared" si="639"/>
        <v/>
      </c>
      <c r="O492" s="65" t="str">
        <f t="shared" ref="O492:P492" si="673">N492</f>
        <v/>
      </c>
      <c r="P492" s="65" t="str">
        <f t="shared" si="673"/>
        <v/>
      </c>
      <c r="Q492" s="38"/>
      <c r="R492" s="3" t="str">
        <f t="shared" si="659"/>
        <v>Thanjavur</v>
      </c>
      <c r="S492" s="3" t="str">
        <f t="shared" si="642"/>
        <v>Thanjavur</v>
      </c>
      <c r="T492" s="3" t="str">
        <f t="shared" si="643"/>
        <v>Thanjavur</v>
      </c>
      <c r="U492" s="3" t="str">
        <f t="shared" si="644"/>
        <v>Thanjavur_Thanjavur_Thanjavur</v>
      </c>
      <c r="V492" s="3">
        <f>IF(_xlfn.XLOOKUP($U492,GCA!$H$3:$H$593,GCA!E$3:E$593,"",0,1)="","",_xlfn.XLOOKUP($U492,GCA!$H$3:$H$593,GCA!E$3:E$593,"",0,1))</f>
        <v>29433.324000000001</v>
      </c>
      <c r="W492" s="3">
        <f>IF(_xlfn.XLOOKUP($U492,GCA!$H$3:$H$593,GCA!F$3:F$593,"",0,1)="","",_xlfn.XLOOKUP($U492,GCA!$H$3:$H$593,GCA!F$3:F$593,"",0,1))</f>
        <v>31116.641</v>
      </c>
      <c r="X492" s="3">
        <f>IF(_xlfn.XLOOKUP($U492,GCA!$H$3:$H$593,GCA!G$3:G$593,"",0,1)="","",_xlfn.XLOOKUP($U492,GCA!$H$3:$H$593,GCA!G$3:G$593,"",0,1))</f>
        <v>34697.315999999999</v>
      </c>
    </row>
    <row r="493" spans="1:24" ht="13.2">
      <c r="A493" s="49"/>
      <c r="B493" s="49"/>
      <c r="C493" s="48"/>
      <c r="D493" s="49"/>
      <c r="E493" s="50">
        <v>6</v>
      </c>
      <c r="F493" s="26" t="s">
        <v>899</v>
      </c>
      <c r="G493" s="26" t="s">
        <v>241</v>
      </c>
      <c r="H493" s="27">
        <f t="shared" si="651"/>
        <v>2082.7170000000001</v>
      </c>
      <c r="I493" s="27">
        <f t="shared" si="652"/>
        <v>2094.8069999999998</v>
      </c>
      <c r="J493" s="27">
        <f t="shared" si="653"/>
        <v>2150.0459999999998</v>
      </c>
      <c r="K493" s="27">
        <f t="shared" si="654"/>
        <v>2109.19</v>
      </c>
      <c r="L493" s="65">
        <f>SUM(K493:K497)</f>
        <v>51502.505333333334</v>
      </c>
      <c r="M493" s="67">
        <f t="shared" si="665"/>
        <v>2.1617679872817148</v>
      </c>
      <c r="N493" s="65">
        <f t="shared" si="639"/>
        <v>2</v>
      </c>
      <c r="O493" s="65">
        <f t="shared" ref="O493:P493" si="674">N493</f>
        <v>2</v>
      </c>
      <c r="P493" s="65">
        <f t="shared" si="674"/>
        <v>2</v>
      </c>
      <c r="Q493" s="38"/>
      <c r="R493" s="3" t="str">
        <f t="shared" si="659"/>
        <v>Thanjavur</v>
      </c>
      <c r="S493" s="3" t="str">
        <f t="shared" si="642"/>
        <v>Thiruvaiyaru</v>
      </c>
      <c r="T493" s="3" t="str">
        <f t="shared" si="643"/>
        <v>Thanjavur</v>
      </c>
      <c r="U493" s="3" t="str">
        <f t="shared" si="644"/>
        <v>Thanjavur_Thiruvaiyaru_Thanjavur</v>
      </c>
      <c r="V493" s="3">
        <f>IF(_xlfn.XLOOKUP($U493,GCA!$H$3:$H$593,GCA!E$3:E$593,"",0,1)="","",_xlfn.XLOOKUP($U493,GCA!$H$3:$H$593,GCA!E$3:E$593,"",0,1))</f>
        <v>2082.7170000000001</v>
      </c>
      <c r="W493" s="3">
        <f>IF(_xlfn.XLOOKUP($U493,GCA!$H$3:$H$593,GCA!F$3:F$593,"",0,1)="","",_xlfn.XLOOKUP($U493,GCA!$H$3:$H$593,GCA!F$3:F$593,"",0,1))</f>
        <v>2094.8069999999998</v>
      </c>
      <c r="X493" s="3">
        <f>IF(_xlfn.XLOOKUP($U493,GCA!$H$3:$H$593,GCA!G$3:G$593,"",0,1)="","",_xlfn.XLOOKUP($U493,GCA!$H$3:$H$593,GCA!G$3:G$593,"",0,1))</f>
        <v>2150.0459999999998</v>
      </c>
    </row>
    <row r="494" spans="1:24" ht="13.2">
      <c r="A494" s="49"/>
      <c r="B494" s="49"/>
      <c r="C494" s="48"/>
      <c r="D494" s="49"/>
      <c r="E494" s="50"/>
      <c r="F494" s="26" t="s">
        <v>899</v>
      </c>
      <c r="G494" s="26" t="s">
        <v>899</v>
      </c>
      <c r="H494" s="27">
        <f t="shared" si="651"/>
        <v>13766.11</v>
      </c>
      <c r="I494" s="27">
        <f t="shared" si="652"/>
        <v>14807.824000000001</v>
      </c>
      <c r="J494" s="27">
        <f t="shared" si="653"/>
        <v>14527.375</v>
      </c>
      <c r="K494" s="27">
        <f t="shared" si="654"/>
        <v>14367.103000000001</v>
      </c>
      <c r="L494" s="65"/>
      <c r="M494" s="67">
        <f t="shared" si="665"/>
        <v>0</v>
      </c>
      <c r="N494" s="65" t="str">
        <f t="shared" si="639"/>
        <v/>
      </c>
      <c r="O494" s="65" t="str">
        <f t="shared" ref="O494:P494" si="675">N494</f>
        <v/>
      </c>
      <c r="P494" s="65" t="str">
        <f t="shared" si="675"/>
        <v/>
      </c>
      <c r="Q494" s="38"/>
      <c r="R494" s="3" t="str">
        <f t="shared" si="659"/>
        <v>Thanjavur</v>
      </c>
      <c r="S494" s="3" t="str">
        <f t="shared" si="642"/>
        <v>Thiruvaiyaru</v>
      </c>
      <c r="T494" s="3" t="str">
        <f t="shared" si="643"/>
        <v>Thiruvaiyaru</v>
      </c>
      <c r="U494" s="3" t="str">
        <f t="shared" si="644"/>
        <v>Thanjavur_Thiruvaiyaru_Thiruvaiyaru</v>
      </c>
      <c r="V494" s="3">
        <f>IF(_xlfn.XLOOKUP($U494,GCA!$H$3:$H$593,GCA!E$3:E$593,"",0,1)="","",_xlfn.XLOOKUP($U494,GCA!$H$3:$H$593,GCA!E$3:E$593,"",0,1))</f>
        <v>13766.11</v>
      </c>
      <c r="W494" s="3">
        <f>IF(_xlfn.XLOOKUP($U494,GCA!$H$3:$H$593,GCA!F$3:F$593,"",0,1)="","",_xlfn.XLOOKUP($U494,GCA!$H$3:$H$593,GCA!F$3:F$593,"",0,1))</f>
        <v>14807.824000000001</v>
      </c>
      <c r="X494" s="3">
        <f>IF(_xlfn.XLOOKUP($U494,GCA!$H$3:$H$593,GCA!G$3:G$593,"",0,1)="","",_xlfn.XLOOKUP($U494,GCA!$H$3:$H$593,GCA!G$3:G$593,"",0,1))</f>
        <v>14527.375</v>
      </c>
    </row>
    <row r="495" spans="1:24" ht="13.2">
      <c r="A495" s="49"/>
      <c r="B495" s="49"/>
      <c r="C495" s="48"/>
      <c r="D495" s="49"/>
      <c r="E495" s="50"/>
      <c r="F495" s="26" t="s">
        <v>911</v>
      </c>
      <c r="G495" s="26" t="s">
        <v>900</v>
      </c>
      <c r="H495" s="27">
        <f t="shared" si="651"/>
        <v>2155.9749999999999</v>
      </c>
      <c r="I495" s="27">
        <f t="shared" si="652"/>
        <v>2280</v>
      </c>
      <c r="J495" s="27">
        <f t="shared" si="653"/>
        <v>2189.85</v>
      </c>
      <c r="K495" s="27">
        <f t="shared" si="654"/>
        <v>2208.6083333333336</v>
      </c>
      <c r="L495" s="65"/>
      <c r="M495" s="67">
        <f t="shared" si="665"/>
        <v>0</v>
      </c>
      <c r="N495" s="65" t="str">
        <f t="shared" si="639"/>
        <v/>
      </c>
      <c r="O495" s="65" t="str">
        <f t="shared" ref="O495:P495" si="676">N495</f>
        <v/>
      </c>
      <c r="P495" s="65" t="str">
        <f t="shared" si="676"/>
        <v/>
      </c>
      <c r="Q495" s="38"/>
      <c r="R495" s="3" t="str">
        <f t="shared" si="659"/>
        <v>Thanjavur</v>
      </c>
      <c r="S495" s="3" t="str">
        <f t="shared" si="642"/>
        <v>Thiruvidaimaruthur</v>
      </c>
      <c r="T495" s="3" t="str">
        <f t="shared" si="643"/>
        <v>Kumbakonam</v>
      </c>
      <c r="U495" s="3" t="str">
        <f t="shared" si="644"/>
        <v>Thanjavur_Thiruvidaimaruthur_Kumbakonam</v>
      </c>
      <c r="V495" s="3">
        <f>IF(_xlfn.XLOOKUP($U495,GCA!$H$3:$H$593,GCA!E$3:E$593,"",0,1)="","",_xlfn.XLOOKUP($U495,GCA!$H$3:$H$593,GCA!E$3:E$593,"",0,1))</f>
        <v>2155.9749999999999</v>
      </c>
      <c r="W495" s="3">
        <f>IF(_xlfn.XLOOKUP($U495,GCA!$H$3:$H$593,GCA!F$3:F$593,"",0,1)="","",_xlfn.XLOOKUP($U495,GCA!$H$3:$H$593,GCA!F$3:F$593,"",0,1))</f>
        <v>2280</v>
      </c>
      <c r="X495" s="3">
        <f>IF(_xlfn.XLOOKUP($U495,GCA!$H$3:$H$593,GCA!G$3:G$593,"",0,1)="","",_xlfn.XLOOKUP($U495,GCA!$H$3:$H$593,GCA!G$3:G$593,"",0,1))</f>
        <v>2189.85</v>
      </c>
    </row>
    <row r="496" spans="1:24" ht="13.2">
      <c r="A496" s="49"/>
      <c r="B496" s="49"/>
      <c r="C496" s="48"/>
      <c r="D496" s="49"/>
      <c r="E496" s="50"/>
      <c r="F496" s="26" t="s">
        <v>911</v>
      </c>
      <c r="G496" s="26" t="s">
        <v>901</v>
      </c>
      <c r="H496" s="27">
        <f t="shared" si="651"/>
        <v>8911.7549999999992</v>
      </c>
      <c r="I496" s="27">
        <f t="shared" si="652"/>
        <v>9494.2250000000004</v>
      </c>
      <c r="J496" s="27">
        <f t="shared" si="653"/>
        <v>10301.512000000001</v>
      </c>
      <c r="K496" s="27">
        <f t="shared" si="654"/>
        <v>9569.1639999999989</v>
      </c>
      <c r="L496" s="65"/>
      <c r="M496" s="67">
        <f t="shared" si="665"/>
        <v>0</v>
      </c>
      <c r="N496" s="65" t="str">
        <f t="shared" si="639"/>
        <v/>
      </c>
      <c r="O496" s="65" t="str">
        <f t="shared" ref="O496:P496" si="677">N496</f>
        <v/>
      </c>
      <c r="P496" s="65" t="str">
        <f t="shared" si="677"/>
        <v/>
      </c>
      <c r="Q496" s="38"/>
      <c r="R496" s="3" t="str">
        <f t="shared" si="659"/>
        <v>Thanjavur</v>
      </c>
      <c r="S496" s="3" t="str">
        <f t="shared" si="642"/>
        <v>Thiruvidaimaruthur</v>
      </c>
      <c r="T496" s="3" t="str">
        <f t="shared" si="643"/>
        <v>Thiruvidamarudur</v>
      </c>
      <c r="U496" s="3" t="str">
        <f t="shared" si="644"/>
        <v>Thanjavur_Thiruvidaimaruthur_Thiruvidamarudur</v>
      </c>
      <c r="V496" s="3">
        <f>IF(_xlfn.XLOOKUP($U496,GCA!$H$3:$H$593,GCA!E$3:E$593,"",0,1)="","",_xlfn.XLOOKUP($U496,GCA!$H$3:$H$593,GCA!E$3:E$593,"",0,1))</f>
        <v>8911.7549999999992</v>
      </c>
      <c r="W496" s="3">
        <f>IF(_xlfn.XLOOKUP($U496,GCA!$H$3:$H$593,GCA!F$3:F$593,"",0,1)="","",_xlfn.XLOOKUP($U496,GCA!$H$3:$H$593,GCA!F$3:F$593,"",0,1))</f>
        <v>9494.2250000000004</v>
      </c>
      <c r="X496" s="3">
        <f>IF(_xlfn.XLOOKUP($U496,GCA!$H$3:$H$593,GCA!G$3:G$593,"",0,1)="","",_xlfn.XLOOKUP($U496,GCA!$H$3:$H$593,GCA!G$3:G$593,"",0,1))</f>
        <v>10301.512000000001</v>
      </c>
    </row>
    <row r="497" spans="1:24" ht="13.2">
      <c r="A497" s="49"/>
      <c r="B497" s="49"/>
      <c r="C497" s="48"/>
      <c r="D497" s="49"/>
      <c r="E497" s="50"/>
      <c r="F497" s="26" t="s">
        <v>911</v>
      </c>
      <c r="G497" s="26" t="s">
        <v>912</v>
      </c>
      <c r="H497" s="27">
        <f t="shared" si="651"/>
        <v>21903.325000000001</v>
      </c>
      <c r="I497" s="27">
        <f t="shared" si="652"/>
        <v>22807.09</v>
      </c>
      <c r="J497" s="27">
        <f t="shared" si="653"/>
        <v>25034.904999999999</v>
      </c>
      <c r="K497" s="27">
        <f t="shared" si="654"/>
        <v>23248.440000000002</v>
      </c>
      <c r="L497" s="65"/>
      <c r="M497" s="67">
        <f t="shared" si="665"/>
        <v>0</v>
      </c>
      <c r="N497" s="65" t="str">
        <f t="shared" si="639"/>
        <v/>
      </c>
      <c r="O497" s="65" t="str">
        <f t="shared" ref="O497:P497" si="678">N497</f>
        <v/>
      </c>
      <c r="P497" s="65" t="str">
        <f t="shared" si="678"/>
        <v/>
      </c>
      <c r="Q497" s="38"/>
      <c r="R497" s="3" t="str">
        <f t="shared" si="659"/>
        <v>Thanjavur</v>
      </c>
      <c r="S497" s="3" t="str">
        <f t="shared" si="642"/>
        <v>Thiruvidaimaruthur</v>
      </c>
      <c r="T497" s="3" t="str">
        <f t="shared" si="643"/>
        <v>Tiruppanandal</v>
      </c>
      <c r="U497" s="3" t="str">
        <f t="shared" si="644"/>
        <v>Thanjavur_Thiruvidaimaruthur_Tiruppanandal</v>
      </c>
      <c r="V497" s="3">
        <f>IF(_xlfn.XLOOKUP($U497,GCA!$H$3:$H$593,GCA!E$3:E$593,"",0,1)="","",_xlfn.XLOOKUP($U497,GCA!$H$3:$H$593,GCA!E$3:E$593,"",0,1))</f>
        <v>21903.325000000001</v>
      </c>
      <c r="W497" s="3">
        <f>IF(_xlfn.XLOOKUP($U497,GCA!$H$3:$H$593,GCA!F$3:F$593,"",0,1)="","",_xlfn.XLOOKUP($U497,GCA!$H$3:$H$593,GCA!F$3:F$593,"",0,1))</f>
        <v>22807.09</v>
      </c>
      <c r="X497" s="3">
        <f>IF(_xlfn.XLOOKUP($U497,GCA!$H$3:$H$593,GCA!G$3:G$593,"",0,1)="","",_xlfn.XLOOKUP($U497,GCA!$H$3:$H$593,GCA!G$3:G$593,"",0,1))</f>
        <v>25034.904999999999</v>
      </c>
    </row>
    <row r="498" spans="1:24" ht="13.2">
      <c r="A498" s="49"/>
      <c r="B498" s="49"/>
      <c r="C498" s="48"/>
      <c r="D498" s="49"/>
      <c r="E498" s="47" t="s">
        <v>564</v>
      </c>
      <c r="F498" s="47"/>
      <c r="G498" s="47"/>
      <c r="H498" s="29">
        <f t="shared" ref="H498:P498" si="679">SUM(H476:H497)</f>
        <v>281798.98499999999</v>
      </c>
      <c r="I498" s="29">
        <f t="shared" si="679"/>
        <v>302794.62099999998</v>
      </c>
      <c r="J498" s="29">
        <f t="shared" si="679"/>
        <v>337334.37399999984</v>
      </c>
      <c r="K498" s="29">
        <f t="shared" si="679"/>
        <v>307309.3266666666</v>
      </c>
      <c r="L498" s="29">
        <f t="shared" si="679"/>
        <v>307309.32666666666</v>
      </c>
      <c r="M498" s="30">
        <f t="shared" si="679"/>
        <v>12.89901258747372</v>
      </c>
      <c r="N498" s="31">
        <f t="shared" si="679"/>
        <v>13</v>
      </c>
      <c r="O498" s="31">
        <f t="shared" si="679"/>
        <v>13</v>
      </c>
      <c r="P498" s="31">
        <f t="shared" si="679"/>
        <v>13</v>
      </c>
      <c r="Q498" s="38"/>
      <c r="R498" s="3" t="str">
        <f t="shared" si="659"/>
        <v>Thanjavur</v>
      </c>
      <c r="S498" s="3">
        <f t="shared" si="642"/>
        <v>0</v>
      </c>
      <c r="T498" s="3">
        <f t="shared" si="643"/>
        <v>0</v>
      </c>
      <c r="U498" s="3" t="str">
        <f t="shared" si="644"/>
        <v>Thanjavur_0_0</v>
      </c>
      <c r="V498" s="3" t="str">
        <f>IF(_xlfn.XLOOKUP($U498,GCA!$H$3:$H$593,GCA!E$3:E$593,"",0,1)="","",_xlfn.XLOOKUP($U498,GCA!$H$3:$H$593,GCA!E$3:E$593,"",0,1))</f>
        <v/>
      </c>
      <c r="W498" s="3" t="str">
        <f>IF(_xlfn.XLOOKUP($U498,GCA!$H$3:$H$593,GCA!F$3:F$593,"",0,1)="","",_xlfn.XLOOKUP($U498,GCA!$H$3:$H$593,GCA!F$3:F$593,"",0,1))</f>
        <v/>
      </c>
      <c r="X498" s="3" t="str">
        <f>IF(_xlfn.XLOOKUP($U498,GCA!$H$3:$H$593,GCA!G$3:G$593,"",0,1)="","",_xlfn.XLOOKUP($U498,GCA!$H$3:$H$593,GCA!G$3:G$593,"",0,1))</f>
        <v/>
      </c>
    </row>
    <row r="499" spans="1:24" ht="13.2">
      <c r="A499" s="49"/>
      <c r="B499" s="49"/>
      <c r="C499" s="48" t="s">
        <v>235</v>
      </c>
      <c r="D499" s="49" t="s">
        <v>534</v>
      </c>
      <c r="E499" s="50">
        <v>1</v>
      </c>
      <c r="F499" s="26" t="s">
        <v>712</v>
      </c>
      <c r="G499" s="26" t="s">
        <v>713</v>
      </c>
      <c r="H499" s="27">
        <f t="shared" ref="H499:H519" si="680">V499</f>
        <v>13866.933000000001</v>
      </c>
      <c r="I499" s="27">
        <f t="shared" ref="I499:I519" si="681">W499</f>
        <v>13337.575999999999</v>
      </c>
      <c r="J499" s="27">
        <f t="shared" ref="J499:J519" si="682">X499</f>
        <v>13914.645</v>
      </c>
      <c r="K499" s="27">
        <f t="shared" ref="K499:K519" si="683">IFERROR(AVERAGE(H499:J499),"")</f>
        <v>13706.384666666665</v>
      </c>
      <c r="L499" s="65">
        <f>SUM(K499:K503)</f>
        <v>51960.142666666667</v>
      </c>
      <c r="M499" s="67">
        <f t="shared" ref="M499:M519" si="684">L499*$L$643/$L$642</f>
        <v>2.1809768729578973</v>
      </c>
      <c r="N499" s="65">
        <f t="shared" ref="N499:N519" si="685">IF(M499&gt;=2, ROUND(M499,0), IF(M499&gt;1.1,2,""))</f>
        <v>2</v>
      </c>
      <c r="O499" s="65">
        <f t="shared" ref="O499:O519" si="686">N499</f>
        <v>2</v>
      </c>
      <c r="P499" s="65">
        <f t="shared" ref="P499:P519" si="687">O499</f>
        <v>2</v>
      </c>
      <c r="Q499" s="38"/>
      <c r="R499" s="3" t="str">
        <f t="shared" ref="R499" si="688">C499</f>
        <v>Pudukkottai</v>
      </c>
      <c r="S499" s="3" t="str">
        <f t="shared" si="642"/>
        <v>Alangudy</v>
      </c>
      <c r="T499" s="3" t="str">
        <f t="shared" si="643"/>
        <v>Thiruvarankulam</v>
      </c>
      <c r="U499" s="3" t="str">
        <f t="shared" si="644"/>
        <v>Pudukkottai_Alangudy_Thiruvarankulam</v>
      </c>
      <c r="V499" s="3">
        <f>IF(_xlfn.XLOOKUP($U499,GCA!$H$3:$H$593,GCA!E$3:E$593,"",0,1)="","",_xlfn.XLOOKUP($U499,GCA!$H$3:$H$593,GCA!E$3:E$593,"",0,1))</f>
        <v>13866.933000000001</v>
      </c>
      <c r="W499" s="3">
        <f>IF(_xlfn.XLOOKUP($U499,GCA!$H$3:$H$593,GCA!F$3:F$593,"",0,1)="","",_xlfn.XLOOKUP($U499,GCA!$H$3:$H$593,GCA!F$3:F$593,"",0,1))</f>
        <v>13337.575999999999</v>
      </c>
      <c r="X499" s="3">
        <f>IF(_xlfn.XLOOKUP($U499,GCA!$H$3:$H$593,GCA!G$3:G$593,"",0,1)="","",_xlfn.XLOOKUP($U499,GCA!$H$3:$H$593,GCA!G$3:G$593,"",0,1))</f>
        <v>13914.645</v>
      </c>
    </row>
    <row r="500" spans="1:24" ht="13.2">
      <c r="A500" s="49"/>
      <c r="B500" s="49"/>
      <c r="C500" s="48"/>
      <c r="D500" s="49"/>
      <c r="E500" s="50"/>
      <c r="F500" s="26" t="s">
        <v>714</v>
      </c>
      <c r="G500" s="26" t="s">
        <v>714</v>
      </c>
      <c r="H500" s="27">
        <f t="shared" si="680"/>
        <v>17892.467000000001</v>
      </c>
      <c r="I500" s="27">
        <f t="shared" si="681"/>
        <v>18197.244999999999</v>
      </c>
      <c r="J500" s="27">
        <f t="shared" si="682"/>
        <v>18783.150000000001</v>
      </c>
      <c r="K500" s="27">
        <f t="shared" si="683"/>
        <v>18290.954000000002</v>
      </c>
      <c r="L500" s="65"/>
      <c r="M500" s="67">
        <f t="shared" si="684"/>
        <v>0</v>
      </c>
      <c r="N500" s="65" t="str">
        <f t="shared" si="685"/>
        <v/>
      </c>
      <c r="O500" s="65" t="str">
        <f t="shared" si="686"/>
        <v/>
      </c>
      <c r="P500" s="65" t="str">
        <f t="shared" si="687"/>
        <v/>
      </c>
      <c r="Q500" s="38"/>
      <c r="R500" s="3" t="str">
        <f t="shared" ref="R500:R520" si="689">R499</f>
        <v>Pudukkottai</v>
      </c>
      <c r="S500" s="3" t="str">
        <f t="shared" si="642"/>
        <v>Aranthangi</v>
      </c>
      <c r="T500" s="3" t="str">
        <f t="shared" si="643"/>
        <v>Aranthangi</v>
      </c>
      <c r="U500" s="3" t="str">
        <f t="shared" si="644"/>
        <v>Pudukkottai_Aranthangi_Aranthangi</v>
      </c>
      <c r="V500" s="3">
        <f>IF(_xlfn.XLOOKUP($U500,GCA!$H$3:$H$593,GCA!E$3:E$593,"",0,1)="","",_xlfn.XLOOKUP($U500,GCA!$H$3:$H$593,GCA!E$3:E$593,"",0,1))</f>
        <v>17892.467000000001</v>
      </c>
      <c r="W500" s="3">
        <f>IF(_xlfn.XLOOKUP($U500,GCA!$H$3:$H$593,GCA!F$3:F$593,"",0,1)="","",_xlfn.XLOOKUP($U500,GCA!$H$3:$H$593,GCA!F$3:F$593,"",0,1))</f>
        <v>18197.244999999999</v>
      </c>
      <c r="X500" s="3">
        <f>IF(_xlfn.XLOOKUP($U500,GCA!$H$3:$H$593,GCA!G$3:G$593,"",0,1)="","",_xlfn.XLOOKUP($U500,GCA!$H$3:$H$593,GCA!G$3:G$593,"",0,1))</f>
        <v>18783.150000000001</v>
      </c>
    </row>
    <row r="501" spans="1:24" ht="13.2">
      <c r="A501" s="49"/>
      <c r="B501" s="49"/>
      <c r="C501" s="48"/>
      <c r="D501" s="49"/>
      <c r="E501" s="50"/>
      <c r="F501" s="26" t="s">
        <v>714</v>
      </c>
      <c r="G501" s="26" t="s">
        <v>715</v>
      </c>
      <c r="H501" s="27">
        <f t="shared" si="680"/>
        <v>1978.89</v>
      </c>
      <c r="I501" s="27">
        <f t="shared" si="681"/>
        <v>1967.865</v>
      </c>
      <c r="J501" s="27">
        <f t="shared" si="682"/>
        <v>1956</v>
      </c>
      <c r="K501" s="27">
        <f t="shared" si="683"/>
        <v>1967.585</v>
      </c>
      <c r="L501" s="65"/>
      <c r="M501" s="67">
        <f t="shared" si="684"/>
        <v>0</v>
      </c>
      <c r="N501" s="65" t="str">
        <f t="shared" si="685"/>
        <v/>
      </c>
      <c r="O501" s="65" t="str">
        <f t="shared" si="686"/>
        <v/>
      </c>
      <c r="P501" s="65" t="str">
        <f t="shared" si="687"/>
        <v/>
      </c>
      <c r="Q501" s="38"/>
      <c r="R501" s="3" t="str">
        <f t="shared" si="689"/>
        <v>Pudukkottai</v>
      </c>
      <c r="S501" s="3" t="str">
        <f t="shared" si="642"/>
        <v>Aranthangi</v>
      </c>
      <c r="T501" s="3" t="str">
        <f t="shared" si="643"/>
        <v>Avudaiyarkoil</v>
      </c>
      <c r="U501" s="3" t="str">
        <f t="shared" si="644"/>
        <v>Pudukkottai_Aranthangi_Avudaiyarkoil</v>
      </c>
      <c r="V501" s="3">
        <f>IF(_xlfn.XLOOKUP($U501,GCA!$H$3:$H$593,GCA!E$3:E$593,"",0,1)="","",_xlfn.XLOOKUP($U501,GCA!$H$3:$H$593,GCA!E$3:E$593,"",0,1))</f>
        <v>1978.89</v>
      </c>
      <c r="W501" s="3">
        <f>IF(_xlfn.XLOOKUP($U501,GCA!$H$3:$H$593,GCA!F$3:F$593,"",0,1)="","",_xlfn.XLOOKUP($U501,GCA!$H$3:$H$593,GCA!F$3:F$593,"",0,1))</f>
        <v>1967.865</v>
      </c>
      <c r="X501" s="3">
        <f>IF(_xlfn.XLOOKUP($U501,GCA!$H$3:$H$593,GCA!G$3:G$593,"",0,1)="","",_xlfn.XLOOKUP($U501,GCA!$H$3:$H$593,GCA!G$3:G$593,"",0,1))</f>
        <v>1956</v>
      </c>
    </row>
    <row r="502" spans="1:24" ht="13.2">
      <c r="A502" s="49"/>
      <c r="B502" s="49"/>
      <c r="C502" s="48"/>
      <c r="D502" s="49"/>
      <c r="E502" s="50"/>
      <c r="F502" s="26" t="s">
        <v>715</v>
      </c>
      <c r="G502" s="26" t="s">
        <v>716</v>
      </c>
      <c r="H502" s="27">
        <f t="shared" si="680"/>
        <v>2707.145</v>
      </c>
      <c r="I502" s="27">
        <f t="shared" si="681"/>
        <v>2714.94</v>
      </c>
      <c r="J502" s="27">
        <f t="shared" si="682"/>
        <v>2720.5450000000001</v>
      </c>
      <c r="K502" s="27">
        <f t="shared" si="683"/>
        <v>2714.21</v>
      </c>
      <c r="L502" s="65"/>
      <c r="M502" s="67">
        <f t="shared" si="684"/>
        <v>0</v>
      </c>
      <c r="N502" s="65" t="str">
        <f t="shared" si="685"/>
        <v/>
      </c>
      <c r="O502" s="65" t="str">
        <f t="shared" si="686"/>
        <v/>
      </c>
      <c r="P502" s="65" t="str">
        <f t="shared" si="687"/>
        <v/>
      </c>
      <c r="Q502" s="38"/>
      <c r="R502" s="3" t="str">
        <f t="shared" si="689"/>
        <v>Pudukkottai</v>
      </c>
      <c r="S502" s="3" t="str">
        <f t="shared" si="642"/>
        <v>Avudaiyarkoil</v>
      </c>
      <c r="T502" s="3" t="str">
        <f t="shared" si="643"/>
        <v>Arimalam</v>
      </c>
      <c r="U502" s="3" t="str">
        <f t="shared" si="644"/>
        <v>Pudukkottai_Avudaiyarkoil_Arimalam</v>
      </c>
      <c r="V502" s="3">
        <f>IF(_xlfn.XLOOKUP($U502,GCA!$H$3:$H$593,GCA!E$3:E$593,"",0,1)="","",_xlfn.XLOOKUP($U502,GCA!$H$3:$H$593,GCA!E$3:E$593,"",0,1))</f>
        <v>2707.145</v>
      </c>
      <c r="W502" s="3">
        <f>IF(_xlfn.XLOOKUP($U502,GCA!$H$3:$H$593,GCA!F$3:F$593,"",0,1)="","",_xlfn.XLOOKUP($U502,GCA!$H$3:$H$593,GCA!F$3:F$593,"",0,1))</f>
        <v>2714.94</v>
      </c>
      <c r="X502" s="3">
        <f>IF(_xlfn.XLOOKUP($U502,GCA!$H$3:$H$593,GCA!G$3:G$593,"",0,1)="","",_xlfn.XLOOKUP($U502,GCA!$H$3:$H$593,GCA!G$3:G$593,"",0,1))</f>
        <v>2720.5450000000001</v>
      </c>
    </row>
    <row r="503" spans="1:24" ht="13.2">
      <c r="A503" s="49"/>
      <c r="B503" s="49"/>
      <c r="C503" s="48"/>
      <c r="D503" s="49"/>
      <c r="E503" s="50"/>
      <c r="F503" s="26" t="s">
        <v>715</v>
      </c>
      <c r="G503" s="26" t="s">
        <v>715</v>
      </c>
      <c r="H503" s="27">
        <f t="shared" si="680"/>
        <v>15256.267</v>
      </c>
      <c r="I503" s="27">
        <f t="shared" si="681"/>
        <v>15281.09</v>
      </c>
      <c r="J503" s="27">
        <f t="shared" si="682"/>
        <v>15305.67</v>
      </c>
      <c r="K503" s="27">
        <f t="shared" si="683"/>
        <v>15281.009</v>
      </c>
      <c r="L503" s="65"/>
      <c r="M503" s="67">
        <f t="shared" si="684"/>
        <v>0</v>
      </c>
      <c r="N503" s="65" t="str">
        <f t="shared" si="685"/>
        <v/>
      </c>
      <c r="O503" s="65" t="str">
        <f t="shared" si="686"/>
        <v/>
      </c>
      <c r="P503" s="65" t="str">
        <f t="shared" si="687"/>
        <v/>
      </c>
      <c r="Q503" s="38"/>
      <c r="R503" s="3" t="str">
        <f t="shared" si="689"/>
        <v>Pudukkottai</v>
      </c>
      <c r="S503" s="3" t="str">
        <f t="shared" si="642"/>
        <v>Avudaiyarkoil</v>
      </c>
      <c r="T503" s="3" t="str">
        <f t="shared" si="643"/>
        <v>Avudaiyarkoil</v>
      </c>
      <c r="U503" s="3" t="str">
        <f t="shared" si="644"/>
        <v>Pudukkottai_Avudaiyarkoil_Avudaiyarkoil</v>
      </c>
      <c r="V503" s="3">
        <f>IF(_xlfn.XLOOKUP($U503,GCA!$H$3:$H$593,GCA!E$3:E$593,"",0,1)="","",_xlfn.XLOOKUP($U503,GCA!$H$3:$H$593,GCA!E$3:E$593,"",0,1))</f>
        <v>15256.267</v>
      </c>
      <c r="W503" s="3">
        <f>IF(_xlfn.XLOOKUP($U503,GCA!$H$3:$H$593,GCA!F$3:F$593,"",0,1)="","",_xlfn.XLOOKUP($U503,GCA!$H$3:$H$593,GCA!F$3:F$593,"",0,1))</f>
        <v>15281.09</v>
      </c>
      <c r="X503" s="3">
        <f>IF(_xlfn.XLOOKUP($U503,GCA!$H$3:$H$593,GCA!G$3:G$593,"",0,1)="","",_xlfn.XLOOKUP($U503,GCA!$H$3:$H$593,GCA!G$3:G$593,"",0,1))</f>
        <v>15305.67</v>
      </c>
    </row>
    <row r="504" spans="1:24" ht="13.2">
      <c r="A504" s="49"/>
      <c r="B504" s="49"/>
      <c r="C504" s="48"/>
      <c r="D504" s="49"/>
      <c r="E504" s="50">
        <v>2</v>
      </c>
      <c r="F504" s="26" t="s">
        <v>717</v>
      </c>
      <c r="G504" s="26" t="s">
        <v>717</v>
      </c>
      <c r="H504" s="27">
        <f t="shared" si="680"/>
        <v>15239.156000000001</v>
      </c>
      <c r="I504" s="27">
        <f t="shared" si="681"/>
        <v>15222.805</v>
      </c>
      <c r="J504" s="27">
        <f t="shared" si="682"/>
        <v>15945.76</v>
      </c>
      <c r="K504" s="27">
        <f t="shared" si="683"/>
        <v>15469.240333333335</v>
      </c>
      <c r="L504" s="65">
        <f>SUM(K504:K512)</f>
        <v>55023.923666666669</v>
      </c>
      <c r="M504" s="67">
        <f t="shared" si="684"/>
        <v>2.3095761254209677</v>
      </c>
      <c r="N504" s="65">
        <f t="shared" si="685"/>
        <v>2</v>
      </c>
      <c r="O504" s="65">
        <f t="shared" si="686"/>
        <v>2</v>
      </c>
      <c r="P504" s="65">
        <f t="shared" si="687"/>
        <v>2</v>
      </c>
      <c r="Q504" s="38"/>
      <c r="R504" s="3" t="str">
        <f t="shared" si="689"/>
        <v>Pudukkottai</v>
      </c>
      <c r="S504" s="3" t="str">
        <f t="shared" si="642"/>
        <v>Gandarvakottai</v>
      </c>
      <c r="T504" s="3" t="str">
        <f t="shared" si="643"/>
        <v>Gandarvakottai</v>
      </c>
      <c r="U504" s="3" t="str">
        <f t="shared" si="644"/>
        <v>Pudukkottai_Gandarvakottai_Gandarvakottai</v>
      </c>
      <c r="V504" s="3">
        <f>IF(_xlfn.XLOOKUP($U504,GCA!$H$3:$H$593,GCA!E$3:E$593,"",0,1)="","",_xlfn.XLOOKUP($U504,GCA!$H$3:$H$593,GCA!E$3:E$593,"",0,1))</f>
        <v>15239.156000000001</v>
      </c>
      <c r="W504" s="3">
        <f>IF(_xlfn.XLOOKUP($U504,GCA!$H$3:$H$593,GCA!F$3:F$593,"",0,1)="","",_xlfn.XLOOKUP($U504,GCA!$H$3:$H$593,GCA!F$3:F$593,"",0,1))</f>
        <v>15222.805</v>
      </c>
      <c r="X504" s="3">
        <f>IF(_xlfn.XLOOKUP($U504,GCA!$H$3:$H$593,GCA!G$3:G$593,"",0,1)="","",_xlfn.XLOOKUP($U504,GCA!$H$3:$H$593,GCA!G$3:G$593,"",0,1))</f>
        <v>15945.76</v>
      </c>
    </row>
    <row r="505" spans="1:24" ht="13.2">
      <c r="A505" s="49"/>
      <c r="B505" s="49"/>
      <c r="C505" s="48"/>
      <c r="D505" s="49"/>
      <c r="E505" s="50"/>
      <c r="F505" s="26" t="s">
        <v>717</v>
      </c>
      <c r="G505" s="26" t="s">
        <v>235</v>
      </c>
      <c r="H505" s="27">
        <f t="shared" si="680"/>
        <v>425.27499999999998</v>
      </c>
      <c r="I505" s="27">
        <f t="shared" si="681"/>
        <v>398.77</v>
      </c>
      <c r="J505" s="27">
        <f t="shared" si="682"/>
        <v>312.64499999999998</v>
      </c>
      <c r="K505" s="27">
        <f t="shared" si="683"/>
        <v>378.8966666666667</v>
      </c>
      <c r="L505" s="65"/>
      <c r="M505" s="67">
        <f t="shared" si="684"/>
        <v>0</v>
      </c>
      <c r="N505" s="65" t="str">
        <f t="shared" si="685"/>
        <v/>
      </c>
      <c r="O505" s="65" t="str">
        <f t="shared" si="686"/>
        <v/>
      </c>
      <c r="P505" s="65" t="str">
        <f t="shared" si="687"/>
        <v/>
      </c>
      <c r="Q505" s="38"/>
      <c r="R505" s="3" t="str">
        <f t="shared" si="689"/>
        <v>Pudukkottai</v>
      </c>
      <c r="S505" s="3" t="str">
        <f t="shared" si="642"/>
        <v>Gandarvakottai</v>
      </c>
      <c r="T505" s="3" t="str">
        <f t="shared" si="643"/>
        <v>Pudukkottai</v>
      </c>
      <c r="U505" s="3" t="str">
        <f t="shared" si="644"/>
        <v>Pudukkottai_Gandarvakottai_Pudukkottai</v>
      </c>
      <c r="V505" s="3">
        <f>IF(_xlfn.XLOOKUP($U505,GCA!$H$3:$H$593,GCA!E$3:E$593,"",0,1)="","",_xlfn.XLOOKUP($U505,GCA!$H$3:$H$593,GCA!E$3:E$593,"",0,1))</f>
        <v>425.27499999999998</v>
      </c>
      <c r="W505" s="3">
        <f>IF(_xlfn.XLOOKUP($U505,GCA!$H$3:$H$593,GCA!F$3:F$593,"",0,1)="","",_xlfn.XLOOKUP($U505,GCA!$H$3:$H$593,GCA!F$3:F$593,"",0,1))</f>
        <v>398.77</v>
      </c>
      <c r="X505" s="3">
        <f>IF(_xlfn.XLOOKUP($U505,GCA!$H$3:$H$593,GCA!G$3:G$593,"",0,1)="","",_xlfn.XLOOKUP($U505,GCA!$H$3:$H$593,GCA!G$3:G$593,"",0,1))</f>
        <v>312.64499999999998</v>
      </c>
    </row>
    <row r="506" spans="1:24" ht="13.2">
      <c r="A506" s="49"/>
      <c r="B506" s="49"/>
      <c r="C506" s="48"/>
      <c r="D506" s="49"/>
      <c r="E506" s="50"/>
      <c r="F506" s="26" t="s">
        <v>718</v>
      </c>
      <c r="G506" s="26" t="s">
        <v>719</v>
      </c>
      <c r="H506" s="27">
        <f t="shared" si="680"/>
        <v>6907.87</v>
      </c>
      <c r="I506" s="27">
        <f t="shared" si="681"/>
        <v>6447.5550000000003</v>
      </c>
      <c r="J506" s="27">
        <f t="shared" si="682"/>
        <v>8281.1200000000008</v>
      </c>
      <c r="K506" s="27">
        <f t="shared" si="683"/>
        <v>7212.1816666666664</v>
      </c>
      <c r="L506" s="65"/>
      <c r="M506" s="67">
        <f t="shared" si="684"/>
        <v>0</v>
      </c>
      <c r="N506" s="65" t="str">
        <f t="shared" si="685"/>
        <v/>
      </c>
      <c r="O506" s="65" t="str">
        <f t="shared" si="686"/>
        <v/>
      </c>
      <c r="P506" s="65" t="str">
        <f t="shared" si="687"/>
        <v/>
      </c>
      <c r="Q506" s="38"/>
      <c r="R506" s="3" t="str">
        <f t="shared" si="689"/>
        <v>Pudukkottai</v>
      </c>
      <c r="S506" s="3" t="str">
        <f t="shared" si="642"/>
        <v>Illuppur</v>
      </c>
      <c r="T506" s="3" t="str">
        <f t="shared" si="643"/>
        <v>Annavasal</v>
      </c>
      <c r="U506" s="3" t="str">
        <f t="shared" si="644"/>
        <v>Pudukkottai_Illuppur_Annavasal</v>
      </c>
      <c r="V506" s="3">
        <f>IF(_xlfn.XLOOKUP($U506,GCA!$H$3:$H$593,GCA!E$3:E$593,"",0,1)="","",_xlfn.XLOOKUP($U506,GCA!$H$3:$H$593,GCA!E$3:E$593,"",0,1))</f>
        <v>6907.87</v>
      </c>
      <c r="W506" s="3">
        <f>IF(_xlfn.XLOOKUP($U506,GCA!$H$3:$H$593,GCA!F$3:F$593,"",0,1)="","",_xlfn.XLOOKUP($U506,GCA!$H$3:$H$593,GCA!F$3:F$593,"",0,1))</f>
        <v>6447.5550000000003</v>
      </c>
      <c r="X506" s="3">
        <f>IF(_xlfn.XLOOKUP($U506,GCA!$H$3:$H$593,GCA!G$3:G$593,"",0,1)="","",_xlfn.XLOOKUP($U506,GCA!$H$3:$H$593,GCA!G$3:G$593,"",0,1))</f>
        <v>8281.1200000000008</v>
      </c>
    </row>
    <row r="507" spans="1:24" ht="13.2">
      <c r="A507" s="49"/>
      <c r="B507" s="49"/>
      <c r="C507" s="48"/>
      <c r="D507" s="49"/>
      <c r="E507" s="50"/>
      <c r="F507" s="26" t="s">
        <v>718</v>
      </c>
      <c r="G507" s="26" t="s">
        <v>720</v>
      </c>
      <c r="H507" s="27">
        <f t="shared" si="680"/>
        <v>530.41499999999996</v>
      </c>
      <c r="I507" s="27">
        <f t="shared" si="681"/>
        <v>506.12</v>
      </c>
      <c r="J507" s="27">
        <f t="shared" si="682"/>
        <v>473.85</v>
      </c>
      <c r="K507" s="27">
        <f t="shared" si="683"/>
        <v>503.46166666666659</v>
      </c>
      <c r="L507" s="65"/>
      <c r="M507" s="67">
        <f t="shared" si="684"/>
        <v>0</v>
      </c>
      <c r="N507" s="65" t="str">
        <f t="shared" si="685"/>
        <v/>
      </c>
      <c r="O507" s="65" t="str">
        <f t="shared" si="686"/>
        <v/>
      </c>
      <c r="P507" s="65" t="str">
        <f t="shared" si="687"/>
        <v/>
      </c>
      <c r="Q507" s="38"/>
      <c r="R507" s="3" t="str">
        <f t="shared" si="689"/>
        <v>Pudukkottai</v>
      </c>
      <c r="S507" s="3" t="str">
        <f t="shared" si="642"/>
        <v>Illuppur</v>
      </c>
      <c r="T507" s="3" t="str">
        <f t="shared" si="643"/>
        <v>Kunnandarkoil</v>
      </c>
      <c r="U507" s="3" t="str">
        <f t="shared" si="644"/>
        <v>Pudukkottai_Illuppur_Kunnandarkoil</v>
      </c>
      <c r="V507" s="3">
        <f>IF(_xlfn.XLOOKUP($U507,GCA!$H$3:$H$593,GCA!E$3:E$593,"",0,1)="","",_xlfn.XLOOKUP($U507,GCA!$H$3:$H$593,GCA!E$3:E$593,"",0,1))</f>
        <v>530.41499999999996</v>
      </c>
      <c r="W507" s="3">
        <f>IF(_xlfn.XLOOKUP($U507,GCA!$H$3:$H$593,GCA!F$3:F$593,"",0,1)="","",_xlfn.XLOOKUP($U507,GCA!$H$3:$H$593,GCA!F$3:F$593,"",0,1))</f>
        <v>506.12</v>
      </c>
      <c r="X507" s="3">
        <f>IF(_xlfn.XLOOKUP($U507,GCA!$H$3:$H$593,GCA!G$3:G$593,"",0,1)="","",_xlfn.XLOOKUP($U507,GCA!$H$3:$H$593,GCA!G$3:G$593,"",0,1))</f>
        <v>473.85</v>
      </c>
    </row>
    <row r="508" spans="1:24" ht="13.2">
      <c r="A508" s="49"/>
      <c r="B508" s="49"/>
      <c r="C508" s="48"/>
      <c r="D508" s="49"/>
      <c r="E508" s="50"/>
      <c r="F508" s="26" t="s">
        <v>718</v>
      </c>
      <c r="G508" s="26" t="s">
        <v>721</v>
      </c>
      <c r="H508" s="27">
        <f t="shared" si="680"/>
        <v>1318.28</v>
      </c>
      <c r="I508" s="27">
        <f t="shared" si="681"/>
        <v>1362.635</v>
      </c>
      <c r="J508" s="27">
        <f t="shared" si="682"/>
        <v>1495.9549999999999</v>
      </c>
      <c r="K508" s="27">
        <f t="shared" si="683"/>
        <v>1392.29</v>
      </c>
      <c r="L508" s="65"/>
      <c r="M508" s="67">
        <f t="shared" si="684"/>
        <v>0</v>
      </c>
      <c r="N508" s="65" t="str">
        <f t="shared" si="685"/>
        <v/>
      </c>
      <c r="O508" s="65" t="str">
        <f t="shared" si="686"/>
        <v/>
      </c>
      <c r="P508" s="65" t="str">
        <f t="shared" si="687"/>
        <v/>
      </c>
      <c r="Q508" s="38"/>
      <c r="R508" s="3" t="str">
        <f t="shared" si="689"/>
        <v>Pudukkottai</v>
      </c>
      <c r="S508" s="3" t="str">
        <f t="shared" si="642"/>
        <v>Illuppur</v>
      </c>
      <c r="T508" s="3" t="str">
        <f t="shared" si="643"/>
        <v>Viralimalai</v>
      </c>
      <c r="U508" s="3" t="str">
        <f t="shared" si="644"/>
        <v>Pudukkottai_Illuppur_Viralimalai</v>
      </c>
      <c r="V508" s="3">
        <f>IF(_xlfn.XLOOKUP($U508,GCA!$H$3:$H$593,GCA!E$3:E$593,"",0,1)="","",_xlfn.XLOOKUP($U508,GCA!$H$3:$H$593,GCA!E$3:E$593,"",0,1))</f>
        <v>1318.28</v>
      </c>
      <c r="W508" s="3">
        <f>IF(_xlfn.XLOOKUP($U508,GCA!$H$3:$H$593,GCA!F$3:F$593,"",0,1)="","",_xlfn.XLOOKUP($U508,GCA!$H$3:$H$593,GCA!F$3:F$593,"",0,1))</f>
        <v>1362.635</v>
      </c>
      <c r="X508" s="3">
        <f>IF(_xlfn.XLOOKUP($U508,GCA!$H$3:$H$593,GCA!G$3:G$593,"",0,1)="","",_xlfn.XLOOKUP($U508,GCA!$H$3:$H$593,GCA!G$3:G$593,"",0,1))</f>
        <v>1495.9549999999999</v>
      </c>
    </row>
    <row r="509" spans="1:24" ht="13.2">
      <c r="A509" s="49"/>
      <c r="B509" s="49"/>
      <c r="C509" s="48"/>
      <c r="D509" s="49"/>
      <c r="E509" s="50"/>
      <c r="F509" s="26" t="s">
        <v>722</v>
      </c>
      <c r="G509" s="26" t="s">
        <v>722</v>
      </c>
      <c r="H509" s="27">
        <f t="shared" si="680"/>
        <v>16047.39</v>
      </c>
      <c r="I509" s="27">
        <f t="shared" si="681"/>
        <v>16671.169999999998</v>
      </c>
      <c r="J509" s="27">
        <f t="shared" si="682"/>
        <v>15996.91</v>
      </c>
      <c r="K509" s="27">
        <f t="shared" si="683"/>
        <v>16238.49</v>
      </c>
      <c r="L509" s="65"/>
      <c r="M509" s="67">
        <f t="shared" si="684"/>
        <v>0</v>
      </c>
      <c r="N509" s="65" t="str">
        <f t="shared" si="685"/>
        <v/>
      </c>
      <c r="O509" s="65" t="str">
        <f t="shared" si="686"/>
        <v/>
      </c>
      <c r="P509" s="65" t="str">
        <f t="shared" si="687"/>
        <v/>
      </c>
      <c r="Q509" s="38"/>
      <c r="R509" s="3" t="str">
        <f t="shared" si="689"/>
        <v>Pudukkottai</v>
      </c>
      <c r="S509" s="3" t="str">
        <f t="shared" si="642"/>
        <v>Karambakudi</v>
      </c>
      <c r="T509" s="3" t="str">
        <f t="shared" si="643"/>
        <v>Karambakudi</v>
      </c>
      <c r="U509" s="3" t="str">
        <f t="shared" si="644"/>
        <v>Pudukkottai_Karambakudi_Karambakudi</v>
      </c>
      <c r="V509" s="3">
        <f>IF(_xlfn.XLOOKUP($U509,GCA!$H$3:$H$593,GCA!E$3:E$593,"",0,1)="","",_xlfn.XLOOKUP($U509,GCA!$H$3:$H$593,GCA!E$3:E$593,"",0,1))</f>
        <v>16047.39</v>
      </c>
      <c r="W509" s="3">
        <f>IF(_xlfn.XLOOKUP($U509,GCA!$H$3:$H$593,GCA!F$3:F$593,"",0,1)="","",_xlfn.XLOOKUP($U509,GCA!$H$3:$H$593,GCA!F$3:F$593,"",0,1))</f>
        <v>16671.169999999998</v>
      </c>
      <c r="X509" s="3">
        <f>IF(_xlfn.XLOOKUP($U509,GCA!$H$3:$H$593,GCA!G$3:G$593,"",0,1)="","",_xlfn.XLOOKUP($U509,GCA!$H$3:$H$593,GCA!G$3:G$593,"",0,1))</f>
        <v>15996.91</v>
      </c>
    </row>
    <row r="510" spans="1:24" ht="13.2">
      <c r="A510" s="49"/>
      <c r="B510" s="49"/>
      <c r="C510" s="48"/>
      <c r="D510" s="49"/>
      <c r="E510" s="50"/>
      <c r="F510" s="26" t="s">
        <v>723</v>
      </c>
      <c r="G510" s="26" t="s">
        <v>719</v>
      </c>
      <c r="H510" s="27">
        <f t="shared" si="680"/>
        <v>1497.4949999999999</v>
      </c>
      <c r="I510" s="27">
        <f t="shared" si="681"/>
        <v>1575.1849999999999</v>
      </c>
      <c r="J510" s="27">
        <f t="shared" si="682"/>
        <v>1749.2650000000001</v>
      </c>
      <c r="K510" s="27">
        <f t="shared" si="683"/>
        <v>1607.3149999999998</v>
      </c>
      <c r="L510" s="65"/>
      <c r="M510" s="67">
        <f t="shared" si="684"/>
        <v>0</v>
      </c>
      <c r="N510" s="65" t="str">
        <f t="shared" si="685"/>
        <v/>
      </c>
      <c r="O510" s="65" t="str">
        <f t="shared" si="686"/>
        <v/>
      </c>
      <c r="P510" s="65" t="str">
        <f t="shared" si="687"/>
        <v/>
      </c>
      <c r="Q510" s="38"/>
      <c r="R510" s="3" t="str">
        <f t="shared" si="689"/>
        <v>Pudukkottai</v>
      </c>
      <c r="S510" s="3" t="str">
        <f t="shared" si="642"/>
        <v>Kulathur</v>
      </c>
      <c r="T510" s="3" t="str">
        <f t="shared" si="643"/>
        <v>Annavasal</v>
      </c>
      <c r="U510" s="3" t="str">
        <f t="shared" si="644"/>
        <v>Pudukkottai_Kulathur_Annavasal</v>
      </c>
      <c r="V510" s="3">
        <f>IF(_xlfn.XLOOKUP($U510,GCA!$H$3:$H$593,GCA!E$3:E$593,"",0,1)="","",_xlfn.XLOOKUP($U510,GCA!$H$3:$H$593,GCA!E$3:E$593,"",0,1))</f>
        <v>1497.4949999999999</v>
      </c>
      <c r="W510" s="3">
        <f>IF(_xlfn.XLOOKUP($U510,GCA!$H$3:$H$593,GCA!F$3:F$593,"",0,1)="","",_xlfn.XLOOKUP($U510,GCA!$H$3:$H$593,GCA!F$3:F$593,"",0,1))</f>
        <v>1575.1849999999999</v>
      </c>
      <c r="X510" s="3">
        <f>IF(_xlfn.XLOOKUP($U510,GCA!$H$3:$H$593,GCA!G$3:G$593,"",0,1)="","",_xlfn.XLOOKUP($U510,GCA!$H$3:$H$593,GCA!G$3:G$593,"",0,1))</f>
        <v>1749.2650000000001</v>
      </c>
    </row>
    <row r="511" spans="1:24" ht="13.2">
      <c r="A511" s="49"/>
      <c r="B511" s="49"/>
      <c r="C511" s="48"/>
      <c r="D511" s="49"/>
      <c r="E511" s="50"/>
      <c r="F511" s="26" t="s">
        <v>723</v>
      </c>
      <c r="G511" s="26" t="s">
        <v>720</v>
      </c>
      <c r="H511" s="27">
        <f t="shared" si="680"/>
        <v>8665.5650000000005</v>
      </c>
      <c r="I511" s="27">
        <f t="shared" si="681"/>
        <v>9500.2849999999999</v>
      </c>
      <c r="J511" s="27">
        <f t="shared" si="682"/>
        <v>10382.495000000001</v>
      </c>
      <c r="K511" s="27">
        <f t="shared" si="683"/>
        <v>9516.1149999999998</v>
      </c>
      <c r="L511" s="65"/>
      <c r="M511" s="67">
        <f t="shared" si="684"/>
        <v>0</v>
      </c>
      <c r="N511" s="65" t="str">
        <f t="shared" si="685"/>
        <v/>
      </c>
      <c r="O511" s="65" t="str">
        <f t="shared" si="686"/>
        <v/>
      </c>
      <c r="P511" s="65" t="str">
        <f t="shared" si="687"/>
        <v/>
      </c>
      <c r="Q511" s="38"/>
      <c r="R511" s="3" t="str">
        <f t="shared" si="689"/>
        <v>Pudukkottai</v>
      </c>
      <c r="S511" s="3" t="str">
        <f t="shared" si="642"/>
        <v>Kulathur</v>
      </c>
      <c r="T511" s="3" t="str">
        <f t="shared" si="643"/>
        <v>Kunnandarkoil</v>
      </c>
      <c r="U511" s="3" t="str">
        <f t="shared" si="644"/>
        <v>Pudukkottai_Kulathur_Kunnandarkoil</v>
      </c>
      <c r="V511" s="3">
        <f>IF(_xlfn.XLOOKUP($U511,GCA!$H$3:$H$593,GCA!E$3:E$593,"",0,1)="","",_xlfn.XLOOKUP($U511,GCA!$H$3:$H$593,GCA!E$3:E$593,"",0,1))</f>
        <v>8665.5650000000005</v>
      </c>
      <c r="W511" s="3">
        <f>IF(_xlfn.XLOOKUP($U511,GCA!$H$3:$H$593,GCA!F$3:F$593,"",0,1)="","",_xlfn.XLOOKUP($U511,GCA!$H$3:$H$593,GCA!F$3:F$593,"",0,1))</f>
        <v>9500.2849999999999</v>
      </c>
      <c r="X511" s="3">
        <f>IF(_xlfn.XLOOKUP($U511,GCA!$H$3:$H$593,GCA!G$3:G$593,"",0,1)="","",_xlfn.XLOOKUP($U511,GCA!$H$3:$H$593,GCA!G$3:G$593,"",0,1))</f>
        <v>10382.495000000001</v>
      </c>
    </row>
    <row r="512" spans="1:24" ht="13.2">
      <c r="A512" s="49"/>
      <c r="B512" s="49"/>
      <c r="C512" s="48"/>
      <c r="D512" s="49"/>
      <c r="E512" s="50"/>
      <c r="F512" s="26" t="s">
        <v>723</v>
      </c>
      <c r="G512" s="26" t="s">
        <v>721</v>
      </c>
      <c r="H512" s="27">
        <f t="shared" si="680"/>
        <v>2615.9949999999999</v>
      </c>
      <c r="I512" s="27">
        <f t="shared" si="681"/>
        <v>2751.2249999999999</v>
      </c>
      <c r="J512" s="27">
        <f t="shared" si="682"/>
        <v>2750.58</v>
      </c>
      <c r="K512" s="27">
        <f t="shared" si="683"/>
        <v>2705.9333333333329</v>
      </c>
      <c r="L512" s="65"/>
      <c r="M512" s="67">
        <f t="shared" si="684"/>
        <v>0</v>
      </c>
      <c r="N512" s="65" t="str">
        <f t="shared" si="685"/>
        <v/>
      </c>
      <c r="O512" s="65" t="str">
        <f t="shared" si="686"/>
        <v/>
      </c>
      <c r="P512" s="65" t="str">
        <f t="shared" si="687"/>
        <v/>
      </c>
      <c r="Q512" s="38"/>
      <c r="R512" s="3" t="str">
        <f t="shared" si="689"/>
        <v>Pudukkottai</v>
      </c>
      <c r="S512" s="3" t="str">
        <f t="shared" si="642"/>
        <v>Kulathur</v>
      </c>
      <c r="T512" s="3" t="str">
        <f t="shared" si="643"/>
        <v>Viralimalai</v>
      </c>
      <c r="U512" s="3" t="str">
        <f t="shared" si="644"/>
        <v>Pudukkottai_Kulathur_Viralimalai</v>
      </c>
      <c r="V512" s="3">
        <f>IF(_xlfn.XLOOKUP($U512,GCA!$H$3:$H$593,GCA!E$3:E$593,"",0,1)="","",_xlfn.XLOOKUP($U512,GCA!$H$3:$H$593,GCA!E$3:E$593,"",0,1))</f>
        <v>2615.9949999999999</v>
      </c>
      <c r="W512" s="3">
        <f>IF(_xlfn.XLOOKUP($U512,GCA!$H$3:$H$593,GCA!F$3:F$593,"",0,1)="","",_xlfn.XLOOKUP($U512,GCA!$H$3:$H$593,GCA!F$3:F$593,"",0,1))</f>
        <v>2751.2249999999999</v>
      </c>
      <c r="X512" s="3">
        <f>IF(_xlfn.XLOOKUP($U512,GCA!$H$3:$H$593,GCA!G$3:G$593,"",0,1)="","",_xlfn.XLOOKUP($U512,GCA!$H$3:$H$593,GCA!G$3:G$593,"",0,1))</f>
        <v>2750.58</v>
      </c>
    </row>
    <row r="513" spans="1:24" ht="13.2">
      <c r="A513" s="49"/>
      <c r="B513" s="49"/>
      <c r="C513" s="48"/>
      <c r="D513" s="49"/>
      <c r="E513" s="50">
        <v>3</v>
      </c>
      <c r="F513" s="26" t="s">
        <v>724</v>
      </c>
      <c r="G513" s="26" t="s">
        <v>724</v>
      </c>
      <c r="H513" s="27">
        <f t="shared" si="680"/>
        <v>11441.848</v>
      </c>
      <c r="I513" s="27">
        <f t="shared" si="681"/>
        <v>11532.173000000001</v>
      </c>
      <c r="J513" s="27">
        <f t="shared" si="682"/>
        <v>11915.710999999999</v>
      </c>
      <c r="K513" s="27">
        <f t="shared" si="683"/>
        <v>11629.910666666668</v>
      </c>
      <c r="L513" s="65">
        <f>SUM(K513:K519)</f>
        <v>40818.251333333334</v>
      </c>
      <c r="M513" s="67">
        <f t="shared" si="684"/>
        <v>1.7133067305778027</v>
      </c>
      <c r="N513" s="65">
        <f t="shared" si="685"/>
        <v>2</v>
      </c>
      <c r="O513" s="65">
        <f t="shared" si="686"/>
        <v>2</v>
      </c>
      <c r="P513" s="65">
        <f t="shared" si="687"/>
        <v>2</v>
      </c>
      <c r="Q513" s="38"/>
      <c r="R513" s="3" t="str">
        <f t="shared" si="689"/>
        <v>Pudukkottai</v>
      </c>
      <c r="S513" s="3" t="str">
        <f t="shared" si="642"/>
        <v>Manamelkudy</v>
      </c>
      <c r="T513" s="3" t="str">
        <f t="shared" si="643"/>
        <v>Manamelkudy</v>
      </c>
      <c r="U513" s="3" t="str">
        <f t="shared" si="644"/>
        <v>Pudukkottai_Manamelkudy_Manamelkudy</v>
      </c>
      <c r="V513" s="3">
        <f>IF(_xlfn.XLOOKUP($U513,GCA!$H$3:$H$593,GCA!E$3:E$593,"",0,1)="","",_xlfn.XLOOKUP($U513,GCA!$H$3:$H$593,GCA!E$3:E$593,"",0,1))</f>
        <v>11441.848</v>
      </c>
      <c r="W513" s="3">
        <f>IF(_xlfn.XLOOKUP($U513,GCA!$H$3:$H$593,GCA!F$3:F$593,"",0,1)="","",_xlfn.XLOOKUP($U513,GCA!$H$3:$H$593,GCA!F$3:F$593,"",0,1))</f>
        <v>11532.173000000001</v>
      </c>
      <c r="X513" s="3">
        <f>IF(_xlfn.XLOOKUP($U513,GCA!$H$3:$H$593,GCA!G$3:G$593,"",0,1)="","",_xlfn.XLOOKUP($U513,GCA!$H$3:$H$593,GCA!G$3:G$593,"",0,1))</f>
        <v>11915.710999999999</v>
      </c>
    </row>
    <row r="514" spans="1:24" ht="13.2">
      <c r="A514" s="49"/>
      <c r="B514" s="49"/>
      <c r="C514" s="48"/>
      <c r="D514" s="49"/>
      <c r="E514" s="50"/>
      <c r="F514" s="26" t="s">
        <v>725</v>
      </c>
      <c r="G514" s="26" t="s">
        <v>725</v>
      </c>
      <c r="H514" s="27">
        <f t="shared" si="680"/>
        <v>6043.9120000000003</v>
      </c>
      <c r="I514" s="27">
        <f t="shared" si="681"/>
        <v>5140.7700000000004</v>
      </c>
      <c r="J514" s="27">
        <f t="shared" si="682"/>
        <v>6210.0950000000003</v>
      </c>
      <c r="K514" s="27">
        <f t="shared" si="683"/>
        <v>5798.2590000000009</v>
      </c>
      <c r="L514" s="65"/>
      <c r="M514" s="67">
        <f t="shared" si="684"/>
        <v>0</v>
      </c>
      <c r="N514" s="65" t="str">
        <f t="shared" si="685"/>
        <v/>
      </c>
      <c r="O514" s="65" t="str">
        <f t="shared" si="686"/>
        <v/>
      </c>
      <c r="P514" s="65" t="str">
        <f t="shared" si="687"/>
        <v/>
      </c>
      <c r="Q514" s="38"/>
      <c r="R514" s="3" t="str">
        <f t="shared" si="689"/>
        <v>Pudukkottai</v>
      </c>
      <c r="S514" s="3" t="str">
        <f t="shared" si="642"/>
        <v>Ponnamaravathy</v>
      </c>
      <c r="T514" s="3" t="str">
        <f t="shared" si="643"/>
        <v>Ponnamaravathy</v>
      </c>
      <c r="U514" s="3" t="str">
        <f t="shared" si="644"/>
        <v>Pudukkottai_Ponnamaravathy_Ponnamaravathy</v>
      </c>
      <c r="V514" s="3">
        <f>IF(_xlfn.XLOOKUP($U514,GCA!$H$3:$H$593,GCA!E$3:E$593,"",0,1)="","",_xlfn.XLOOKUP($U514,GCA!$H$3:$H$593,GCA!E$3:E$593,"",0,1))</f>
        <v>6043.9120000000003</v>
      </c>
      <c r="W514" s="3">
        <f>IF(_xlfn.XLOOKUP($U514,GCA!$H$3:$H$593,GCA!F$3:F$593,"",0,1)="","",_xlfn.XLOOKUP($U514,GCA!$H$3:$H$593,GCA!F$3:F$593,"",0,1))</f>
        <v>5140.7700000000004</v>
      </c>
      <c r="X514" s="3">
        <f>IF(_xlfn.XLOOKUP($U514,GCA!$H$3:$H$593,GCA!G$3:G$593,"",0,1)="","",_xlfn.XLOOKUP($U514,GCA!$H$3:$H$593,GCA!G$3:G$593,"",0,1))</f>
        <v>6210.0950000000003</v>
      </c>
    </row>
    <row r="515" spans="1:24" ht="13.2">
      <c r="A515" s="49"/>
      <c r="B515" s="49"/>
      <c r="C515" s="48"/>
      <c r="D515" s="49"/>
      <c r="E515" s="50"/>
      <c r="F515" s="26" t="s">
        <v>235</v>
      </c>
      <c r="G515" s="26" t="s">
        <v>719</v>
      </c>
      <c r="H515" s="27">
        <f t="shared" si="680"/>
        <v>17.704999999999998</v>
      </c>
      <c r="I515" s="27">
        <f t="shared" si="681"/>
        <v>20.2</v>
      </c>
      <c r="J515" s="27">
        <f t="shared" si="682"/>
        <v>14.85</v>
      </c>
      <c r="K515" s="27">
        <f t="shared" si="683"/>
        <v>17.585000000000001</v>
      </c>
      <c r="L515" s="65"/>
      <c r="M515" s="67">
        <f t="shared" si="684"/>
        <v>0</v>
      </c>
      <c r="N515" s="65" t="str">
        <f t="shared" si="685"/>
        <v/>
      </c>
      <c r="O515" s="65" t="str">
        <f t="shared" si="686"/>
        <v/>
      </c>
      <c r="P515" s="65" t="str">
        <f t="shared" si="687"/>
        <v/>
      </c>
      <c r="Q515" s="38"/>
      <c r="R515" s="3" t="str">
        <f t="shared" si="689"/>
        <v>Pudukkottai</v>
      </c>
      <c r="S515" s="3" t="str">
        <f t="shared" si="642"/>
        <v>Pudukkottai</v>
      </c>
      <c r="T515" s="3" t="str">
        <f t="shared" si="643"/>
        <v>Annavasal</v>
      </c>
      <c r="U515" s="3" t="str">
        <f t="shared" si="644"/>
        <v>Pudukkottai_Pudukkottai_Annavasal</v>
      </c>
      <c r="V515" s="3">
        <f>IF(_xlfn.XLOOKUP($U515,GCA!$H$3:$H$593,GCA!E$3:E$593,"",0,1)="","",_xlfn.XLOOKUP($U515,GCA!$H$3:$H$593,GCA!E$3:E$593,"",0,1))</f>
        <v>17.704999999999998</v>
      </c>
      <c r="W515" s="3">
        <f>IF(_xlfn.XLOOKUP($U515,GCA!$H$3:$H$593,GCA!F$3:F$593,"",0,1)="","",_xlfn.XLOOKUP($U515,GCA!$H$3:$H$593,GCA!F$3:F$593,"",0,1))</f>
        <v>20.2</v>
      </c>
      <c r="X515" s="3">
        <f>IF(_xlfn.XLOOKUP($U515,GCA!$H$3:$H$593,GCA!G$3:G$593,"",0,1)="","",_xlfn.XLOOKUP($U515,GCA!$H$3:$H$593,GCA!G$3:G$593,"",0,1))</f>
        <v>14.85</v>
      </c>
    </row>
    <row r="516" spans="1:24" ht="13.2">
      <c r="A516" s="49"/>
      <c r="B516" s="49"/>
      <c r="C516" s="48"/>
      <c r="D516" s="49"/>
      <c r="E516" s="50"/>
      <c r="F516" s="26" t="s">
        <v>235</v>
      </c>
      <c r="G516" s="26" t="s">
        <v>235</v>
      </c>
      <c r="H516" s="27">
        <f t="shared" si="680"/>
        <v>6605.39</v>
      </c>
      <c r="I516" s="27">
        <f t="shared" si="681"/>
        <v>6407.915</v>
      </c>
      <c r="J516" s="27">
        <f t="shared" si="682"/>
        <v>7376.21</v>
      </c>
      <c r="K516" s="27">
        <f t="shared" si="683"/>
        <v>6796.5050000000001</v>
      </c>
      <c r="L516" s="65"/>
      <c r="M516" s="67">
        <f t="shared" si="684"/>
        <v>0</v>
      </c>
      <c r="N516" s="65" t="str">
        <f t="shared" si="685"/>
        <v/>
      </c>
      <c r="O516" s="65" t="str">
        <f t="shared" si="686"/>
        <v/>
      </c>
      <c r="P516" s="65" t="str">
        <f t="shared" si="687"/>
        <v/>
      </c>
      <c r="Q516" s="38"/>
      <c r="R516" s="3" t="str">
        <f t="shared" si="689"/>
        <v>Pudukkottai</v>
      </c>
      <c r="S516" s="3" t="str">
        <f t="shared" si="642"/>
        <v>Pudukkottai</v>
      </c>
      <c r="T516" s="3" t="str">
        <f t="shared" si="643"/>
        <v>Pudukkottai</v>
      </c>
      <c r="U516" s="3" t="str">
        <f t="shared" si="644"/>
        <v>Pudukkottai_Pudukkottai_Pudukkottai</v>
      </c>
      <c r="V516" s="3">
        <f>IF(_xlfn.XLOOKUP($U516,GCA!$H$3:$H$593,GCA!E$3:E$593,"",0,1)="","",_xlfn.XLOOKUP($U516,GCA!$H$3:$H$593,GCA!E$3:E$593,"",0,1))</f>
        <v>6605.39</v>
      </c>
      <c r="W516" s="3">
        <f>IF(_xlfn.XLOOKUP($U516,GCA!$H$3:$H$593,GCA!F$3:F$593,"",0,1)="","",_xlfn.XLOOKUP($U516,GCA!$H$3:$H$593,GCA!F$3:F$593,"",0,1))</f>
        <v>6407.915</v>
      </c>
      <c r="X516" s="3">
        <f>IF(_xlfn.XLOOKUP($U516,GCA!$H$3:$H$593,GCA!G$3:G$593,"",0,1)="","",_xlfn.XLOOKUP($U516,GCA!$H$3:$H$593,GCA!G$3:G$593,"",0,1))</f>
        <v>7376.21</v>
      </c>
    </row>
    <row r="517" spans="1:24" ht="13.2">
      <c r="A517" s="49"/>
      <c r="B517" s="49"/>
      <c r="C517" s="48"/>
      <c r="D517" s="49"/>
      <c r="E517" s="50"/>
      <c r="F517" s="26" t="s">
        <v>726</v>
      </c>
      <c r="G517" s="26" t="s">
        <v>716</v>
      </c>
      <c r="H517" s="27">
        <f t="shared" si="680"/>
        <v>6394.56</v>
      </c>
      <c r="I517" s="27">
        <f t="shared" si="681"/>
        <v>6329.73</v>
      </c>
      <c r="J517" s="27">
        <f t="shared" si="682"/>
        <v>5954.13</v>
      </c>
      <c r="K517" s="27">
        <f t="shared" si="683"/>
        <v>6226.14</v>
      </c>
      <c r="L517" s="65"/>
      <c r="M517" s="67">
        <f t="shared" si="684"/>
        <v>0</v>
      </c>
      <c r="N517" s="65" t="str">
        <f t="shared" si="685"/>
        <v/>
      </c>
      <c r="O517" s="65" t="str">
        <f t="shared" si="686"/>
        <v/>
      </c>
      <c r="P517" s="65" t="str">
        <f t="shared" si="687"/>
        <v/>
      </c>
      <c r="Q517" s="38"/>
      <c r="R517" s="3" t="str">
        <f t="shared" si="689"/>
        <v>Pudukkottai</v>
      </c>
      <c r="S517" s="3" t="str">
        <f t="shared" si="642"/>
        <v>Thirumayam</v>
      </c>
      <c r="T517" s="3" t="str">
        <f t="shared" si="643"/>
        <v>Arimalam</v>
      </c>
      <c r="U517" s="3" t="str">
        <f t="shared" si="644"/>
        <v>Pudukkottai_Thirumayam_Arimalam</v>
      </c>
      <c r="V517" s="3">
        <f>IF(_xlfn.XLOOKUP($U517,GCA!$H$3:$H$593,GCA!E$3:E$593,"",0,1)="","",_xlfn.XLOOKUP($U517,GCA!$H$3:$H$593,GCA!E$3:E$593,"",0,1))</f>
        <v>6394.56</v>
      </c>
      <c r="W517" s="3">
        <f>IF(_xlfn.XLOOKUP($U517,GCA!$H$3:$H$593,GCA!F$3:F$593,"",0,1)="","",_xlfn.XLOOKUP($U517,GCA!$H$3:$H$593,GCA!F$3:F$593,"",0,1))</f>
        <v>6329.73</v>
      </c>
      <c r="X517" s="3">
        <f>IF(_xlfn.XLOOKUP($U517,GCA!$H$3:$H$593,GCA!G$3:G$593,"",0,1)="","",_xlfn.XLOOKUP($U517,GCA!$H$3:$H$593,GCA!G$3:G$593,"",0,1))</f>
        <v>5954.13</v>
      </c>
    </row>
    <row r="518" spans="1:24" ht="13.2">
      <c r="A518" s="49"/>
      <c r="B518" s="49"/>
      <c r="C518" s="48"/>
      <c r="D518" s="49"/>
      <c r="E518" s="50"/>
      <c r="F518" s="26" t="s">
        <v>726</v>
      </c>
      <c r="G518" s="26" t="s">
        <v>726</v>
      </c>
      <c r="H518" s="27">
        <f t="shared" si="680"/>
        <v>4091.41</v>
      </c>
      <c r="I518" s="27">
        <f t="shared" si="681"/>
        <v>3323.2249999999999</v>
      </c>
      <c r="J518" s="27">
        <f t="shared" si="682"/>
        <v>3968.51</v>
      </c>
      <c r="K518" s="27">
        <f t="shared" si="683"/>
        <v>3794.3816666666667</v>
      </c>
      <c r="L518" s="65"/>
      <c r="M518" s="67">
        <f t="shared" si="684"/>
        <v>0</v>
      </c>
      <c r="N518" s="65" t="str">
        <f t="shared" si="685"/>
        <v/>
      </c>
      <c r="O518" s="65" t="str">
        <f t="shared" si="686"/>
        <v/>
      </c>
      <c r="P518" s="65" t="str">
        <f t="shared" si="687"/>
        <v/>
      </c>
      <c r="Q518" s="38"/>
      <c r="R518" s="3" t="str">
        <f t="shared" si="689"/>
        <v>Pudukkottai</v>
      </c>
      <c r="S518" s="3" t="str">
        <f t="shared" si="642"/>
        <v>Thirumayam</v>
      </c>
      <c r="T518" s="3" t="str">
        <f t="shared" si="643"/>
        <v>Thirumayam</v>
      </c>
      <c r="U518" s="3" t="str">
        <f t="shared" si="644"/>
        <v>Pudukkottai_Thirumayam_Thirumayam</v>
      </c>
      <c r="V518" s="3">
        <f>IF(_xlfn.XLOOKUP($U518,GCA!$H$3:$H$593,GCA!E$3:E$593,"",0,1)="","",_xlfn.XLOOKUP($U518,GCA!$H$3:$H$593,GCA!E$3:E$593,"",0,1))</f>
        <v>4091.41</v>
      </c>
      <c r="W518" s="3">
        <f>IF(_xlfn.XLOOKUP($U518,GCA!$H$3:$H$593,GCA!F$3:F$593,"",0,1)="","",_xlfn.XLOOKUP($U518,GCA!$H$3:$H$593,GCA!F$3:F$593,"",0,1))</f>
        <v>3323.2249999999999</v>
      </c>
      <c r="X518" s="3">
        <f>IF(_xlfn.XLOOKUP($U518,GCA!$H$3:$H$593,GCA!G$3:G$593,"",0,1)="","",_xlfn.XLOOKUP($U518,GCA!$H$3:$H$593,GCA!G$3:G$593,"",0,1))</f>
        <v>3968.51</v>
      </c>
    </row>
    <row r="519" spans="1:24" ht="13.2">
      <c r="A519" s="49"/>
      <c r="B519" s="49"/>
      <c r="C519" s="48"/>
      <c r="D519" s="49"/>
      <c r="E519" s="50"/>
      <c r="F519" s="26" t="s">
        <v>721</v>
      </c>
      <c r="G519" s="26" t="s">
        <v>721</v>
      </c>
      <c r="H519" s="27">
        <f t="shared" si="680"/>
        <v>6895.86</v>
      </c>
      <c r="I519" s="27">
        <f t="shared" si="681"/>
        <v>6415.0950000000003</v>
      </c>
      <c r="J519" s="27">
        <f t="shared" si="682"/>
        <v>6355.4549999999999</v>
      </c>
      <c r="K519" s="27">
        <f t="shared" si="683"/>
        <v>6555.47</v>
      </c>
      <c r="L519" s="65"/>
      <c r="M519" s="67">
        <f t="shared" si="684"/>
        <v>0</v>
      </c>
      <c r="N519" s="65" t="str">
        <f t="shared" si="685"/>
        <v/>
      </c>
      <c r="O519" s="65" t="str">
        <f t="shared" si="686"/>
        <v/>
      </c>
      <c r="P519" s="65" t="str">
        <f t="shared" si="687"/>
        <v/>
      </c>
      <c r="Q519" s="38"/>
      <c r="R519" s="3" t="str">
        <f t="shared" si="689"/>
        <v>Pudukkottai</v>
      </c>
      <c r="S519" s="3" t="str">
        <f t="shared" si="642"/>
        <v>Viralimalai</v>
      </c>
      <c r="T519" s="3" t="str">
        <f t="shared" si="643"/>
        <v>Viralimalai</v>
      </c>
      <c r="U519" s="3" t="str">
        <f t="shared" si="644"/>
        <v>Pudukkottai_Viralimalai_Viralimalai</v>
      </c>
      <c r="V519" s="3">
        <f>IF(_xlfn.XLOOKUP($U519,GCA!$H$3:$H$593,GCA!E$3:E$593,"",0,1)="","",_xlfn.XLOOKUP($U519,GCA!$H$3:$H$593,GCA!E$3:E$593,"",0,1))</f>
        <v>6895.86</v>
      </c>
      <c r="W519" s="3">
        <f>IF(_xlfn.XLOOKUP($U519,GCA!$H$3:$H$593,GCA!F$3:F$593,"",0,1)="","",_xlfn.XLOOKUP($U519,GCA!$H$3:$H$593,GCA!F$3:F$593,"",0,1))</f>
        <v>6415.0950000000003</v>
      </c>
      <c r="X519" s="3">
        <f>IF(_xlfn.XLOOKUP($U519,GCA!$H$3:$H$593,GCA!G$3:G$593,"",0,1)="","",_xlfn.XLOOKUP($U519,GCA!$H$3:$H$593,GCA!G$3:G$593,"",0,1))</f>
        <v>6355.4549999999999</v>
      </c>
    </row>
    <row r="520" spans="1:24" ht="13.2">
      <c r="A520" s="49"/>
      <c r="B520" s="49"/>
      <c r="C520" s="48"/>
      <c r="D520" s="49"/>
      <c r="E520" s="47" t="s">
        <v>564</v>
      </c>
      <c r="F520" s="47"/>
      <c r="G520" s="47"/>
      <c r="H520" s="29">
        <f t="shared" ref="H520:P520" si="690">SUM(H499:H519)</f>
        <v>146439.82799999995</v>
      </c>
      <c r="I520" s="29">
        <f t="shared" si="690"/>
        <v>145103.57400000002</v>
      </c>
      <c r="J520" s="29">
        <f t="shared" si="690"/>
        <v>151863.55100000001</v>
      </c>
      <c r="K520" s="29">
        <f t="shared" si="690"/>
        <v>147802.3176666667</v>
      </c>
      <c r="L520" s="29">
        <f t="shared" si="690"/>
        <v>147802.31766666667</v>
      </c>
      <c r="M520" s="30">
        <f t="shared" si="690"/>
        <v>6.2038597289566679</v>
      </c>
      <c r="N520" s="31">
        <f t="shared" si="690"/>
        <v>6</v>
      </c>
      <c r="O520" s="31">
        <f t="shared" si="690"/>
        <v>6</v>
      </c>
      <c r="P520" s="31">
        <f t="shared" si="690"/>
        <v>6</v>
      </c>
      <c r="Q520" s="38"/>
      <c r="R520" s="3" t="str">
        <f t="shared" si="689"/>
        <v>Pudukkottai</v>
      </c>
      <c r="S520" s="3">
        <f t="shared" si="642"/>
        <v>0</v>
      </c>
      <c r="T520" s="3">
        <f t="shared" si="643"/>
        <v>0</v>
      </c>
      <c r="U520" s="3" t="str">
        <f t="shared" si="644"/>
        <v>Pudukkottai_0_0</v>
      </c>
      <c r="V520" s="3" t="str">
        <f>IF(_xlfn.XLOOKUP($U520,GCA!$H$3:$H$593,GCA!E$3:E$593,"",0,1)="","",_xlfn.XLOOKUP($U520,GCA!$H$3:$H$593,GCA!E$3:E$593,"",0,1))</f>
        <v/>
      </c>
      <c r="W520" s="3" t="str">
        <f>IF(_xlfn.XLOOKUP($U520,GCA!$H$3:$H$593,GCA!F$3:F$593,"",0,1)="","",_xlfn.XLOOKUP($U520,GCA!$H$3:$H$593,GCA!F$3:F$593,"",0,1))</f>
        <v/>
      </c>
      <c r="X520" s="3" t="str">
        <f>IF(_xlfn.XLOOKUP($U520,GCA!$H$3:$H$593,GCA!G$3:G$593,"",0,1)="","",_xlfn.XLOOKUP($U520,GCA!$H$3:$H$593,GCA!G$3:G$593,"",0,1))</f>
        <v/>
      </c>
    </row>
    <row r="521" spans="1:24" ht="13.2">
      <c r="A521" s="49"/>
      <c r="B521" s="49"/>
      <c r="C521" s="54" t="s">
        <v>521</v>
      </c>
      <c r="D521" s="54"/>
      <c r="E521" s="54"/>
      <c r="F521" s="54"/>
      <c r="G521" s="54"/>
      <c r="H521" s="32">
        <f>SUM(H520,H498,H475,H452)</f>
        <v>821256.21600000001</v>
      </c>
      <c r="I521" s="32">
        <f t="shared" ref="I521:P521" si="691">SUM(I520,I498,I475,I452)</f>
        <v>876241.11800000002</v>
      </c>
      <c r="J521" s="32">
        <f t="shared" si="691"/>
        <v>938279.89099999983</v>
      </c>
      <c r="K521" s="32">
        <f t="shared" si="691"/>
        <v>878592.40833333333</v>
      </c>
      <c r="L521" s="32">
        <f t="shared" si="691"/>
        <v>878592.40833333333</v>
      </c>
      <c r="M521" s="46">
        <f t="shared" si="691"/>
        <v>36.878068938803167</v>
      </c>
      <c r="N521" s="32">
        <f t="shared" si="691"/>
        <v>36</v>
      </c>
      <c r="O521" s="32">
        <f t="shared" si="691"/>
        <v>36</v>
      </c>
      <c r="P521" s="32">
        <f t="shared" si="691"/>
        <v>36</v>
      </c>
      <c r="Q521" s="38"/>
      <c r="R521" s="3" t="str">
        <f t="shared" si="657"/>
        <v>SRO TOTAL</v>
      </c>
      <c r="S521" s="3">
        <f t="shared" si="642"/>
        <v>0</v>
      </c>
      <c r="T521" s="3">
        <f t="shared" si="643"/>
        <v>0</v>
      </c>
      <c r="U521" s="3" t="str">
        <f t="shared" si="644"/>
        <v>SRO TOTAL_0_0</v>
      </c>
      <c r="V521" s="3" t="str">
        <f>IF(_xlfn.XLOOKUP($U521,GCA!$H$3:$H$593,GCA!E$3:E$593,"",0,1)="","",_xlfn.XLOOKUP($U521,GCA!$H$3:$H$593,GCA!E$3:E$593,"",0,1))</f>
        <v/>
      </c>
      <c r="W521" s="3" t="str">
        <f>IF(_xlfn.XLOOKUP($U521,GCA!$H$3:$H$593,GCA!F$3:F$593,"",0,1)="","",_xlfn.XLOOKUP($U521,GCA!$H$3:$H$593,GCA!F$3:F$593,"",0,1))</f>
        <v/>
      </c>
      <c r="X521" s="3" t="str">
        <f>IF(_xlfn.XLOOKUP($U521,GCA!$H$3:$H$593,GCA!G$3:G$593,"",0,1)="","",_xlfn.XLOOKUP($U521,GCA!$H$3:$H$593,GCA!G$3:G$593,"",0,1))</f>
        <v/>
      </c>
    </row>
    <row r="522" spans="1:24" ht="13.2">
      <c r="A522" s="49"/>
      <c r="B522" s="49" t="s">
        <v>245</v>
      </c>
      <c r="C522" s="48" t="s">
        <v>244</v>
      </c>
      <c r="D522" s="49" t="s">
        <v>556</v>
      </c>
      <c r="E522" s="50">
        <v>1</v>
      </c>
      <c r="F522" s="26" t="s">
        <v>918</v>
      </c>
      <c r="G522" s="26" t="s">
        <v>919</v>
      </c>
      <c r="H522" s="27">
        <f t="shared" ref="H522:H543" si="692">V522</f>
        <v>4676.9250000000002</v>
      </c>
      <c r="I522" s="27">
        <f t="shared" ref="I522:I543" si="693">W522</f>
        <v>5789.7</v>
      </c>
      <c r="J522" s="27">
        <f t="shared" ref="J522:J543" si="694">X522</f>
        <v>5316.2349999999997</v>
      </c>
      <c r="K522" s="27">
        <f t="shared" ref="K522:K543" si="695">IFERROR(AVERAGE(H522:J522),"")</f>
        <v>5260.9533333333338</v>
      </c>
      <c r="L522" s="65">
        <f>SUM(K522:K529)</f>
        <v>70040.702999999994</v>
      </c>
      <c r="M522" s="67">
        <f t="shared" ref="M522:M543" si="696">L522*$L$643/$L$642</f>
        <v>2.939890954277713</v>
      </c>
      <c r="N522" s="65">
        <f t="shared" si="639"/>
        <v>3</v>
      </c>
      <c r="O522" s="65">
        <f t="shared" ref="O522:P522" si="697">N522</f>
        <v>3</v>
      </c>
      <c r="P522" s="65">
        <f t="shared" si="697"/>
        <v>3</v>
      </c>
      <c r="Q522" s="38"/>
      <c r="R522" s="3" t="str">
        <f t="shared" si="657"/>
        <v>Thoothukudi</v>
      </c>
      <c r="S522" s="3" t="str">
        <f t="shared" si="642"/>
        <v>Eral</v>
      </c>
      <c r="T522" s="3" t="str">
        <f t="shared" si="643"/>
        <v>Alwarthirunagari</v>
      </c>
      <c r="U522" s="3" t="str">
        <f t="shared" si="644"/>
        <v>Thoothukudi_Eral_Alwarthirunagari</v>
      </c>
      <c r="V522" s="3">
        <f>IF(_xlfn.XLOOKUP($U522,GCA!$H$3:$H$593,GCA!E$3:E$593,"",0,1)="","",_xlfn.XLOOKUP($U522,GCA!$H$3:$H$593,GCA!E$3:E$593,"",0,1))</f>
        <v>4676.9250000000002</v>
      </c>
      <c r="W522" s="3">
        <f>IF(_xlfn.XLOOKUP($U522,GCA!$H$3:$H$593,GCA!F$3:F$593,"",0,1)="","",_xlfn.XLOOKUP($U522,GCA!$H$3:$H$593,GCA!F$3:F$593,"",0,1))</f>
        <v>5789.7</v>
      </c>
      <c r="X522" s="3">
        <f>IF(_xlfn.XLOOKUP($U522,GCA!$H$3:$H$593,GCA!G$3:G$593,"",0,1)="","",_xlfn.XLOOKUP($U522,GCA!$H$3:$H$593,GCA!G$3:G$593,"",0,1))</f>
        <v>5316.2349999999997</v>
      </c>
    </row>
    <row r="523" spans="1:24" ht="13.2">
      <c r="A523" s="49"/>
      <c r="B523" s="49"/>
      <c r="C523" s="48"/>
      <c r="D523" s="49"/>
      <c r="E523" s="50"/>
      <c r="F523" s="26" t="s">
        <v>918</v>
      </c>
      <c r="G523" s="26" t="s">
        <v>920</v>
      </c>
      <c r="H523" s="27">
        <f t="shared" si="692"/>
        <v>4437.33</v>
      </c>
      <c r="I523" s="27">
        <f t="shared" si="693"/>
        <v>4621.9750000000004</v>
      </c>
      <c r="J523" s="27">
        <f t="shared" si="694"/>
        <v>4330.125</v>
      </c>
      <c r="K523" s="27">
        <f t="shared" si="695"/>
        <v>4463.1433333333334</v>
      </c>
      <c r="L523" s="65"/>
      <c r="M523" s="67">
        <f t="shared" si="696"/>
        <v>0</v>
      </c>
      <c r="N523" s="65" t="str">
        <f t="shared" si="639"/>
        <v/>
      </c>
      <c r="O523" s="65" t="str">
        <f t="shared" ref="O523:P523" si="698">N523</f>
        <v/>
      </c>
      <c r="P523" s="65" t="str">
        <f t="shared" si="698"/>
        <v/>
      </c>
      <c r="Q523" s="38"/>
      <c r="R523" s="3" t="str">
        <f t="shared" ref="R523:R544" si="699">R522</f>
        <v>Thoothukudi</v>
      </c>
      <c r="S523" s="3" t="str">
        <f t="shared" si="642"/>
        <v>Eral</v>
      </c>
      <c r="T523" s="3" t="str">
        <f t="shared" si="643"/>
        <v>Srivaikundam</v>
      </c>
      <c r="U523" s="3" t="str">
        <f t="shared" si="644"/>
        <v>Thoothukudi_Eral_Srivaikundam</v>
      </c>
      <c r="V523" s="3">
        <f>IF(_xlfn.XLOOKUP($U523,GCA!$H$3:$H$593,GCA!E$3:E$593,"",0,1)="","",_xlfn.XLOOKUP($U523,GCA!$H$3:$H$593,GCA!E$3:E$593,"",0,1))</f>
        <v>4437.33</v>
      </c>
      <c r="W523" s="3">
        <f>IF(_xlfn.XLOOKUP($U523,GCA!$H$3:$H$593,GCA!F$3:F$593,"",0,1)="","",_xlfn.XLOOKUP($U523,GCA!$H$3:$H$593,GCA!F$3:F$593,"",0,1))</f>
        <v>4621.9750000000004</v>
      </c>
      <c r="X523" s="3">
        <f>IF(_xlfn.XLOOKUP($U523,GCA!$H$3:$H$593,GCA!G$3:G$593,"",0,1)="","",_xlfn.XLOOKUP($U523,GCA!$H$3:$H$593,GCA!G$3:G$593,"",0,1))</f>
        <v>4330.125</v>
      </c>
    </row>
    <row r="524" spans="1:24" ht="13.2">
      <c r="A524" s="49"/>
      <c r="B524" s="49"/>
      <c r="C524" s="48"/>
      <c r="D524" s="49"/>
      <c r="E524" s="50"/>
      <c r="F524" s="26" t="s">
        <v>921</v>
      </c>
      <c r="G524" s="26" t="s">
        <v>922</v>
      </c>
      <c r="H524" s="27">
        <f t="shared" si="692"/>
        <v>1532.0250000000001</v>
      </c>
      <c r="I524" s="27">
        <f t="shared" si="693"/>
        <v>1546.5150000000001</v>
      </c>
      <c r="J524" s="27">
        <f t="shared" si="694"/>
        <v>1639.1949999999999</v>
      </c>
      <c r="K524" s="27">
        <f t="shared" si="695"/>
        <v>1572.5783333333331</v>
      </c>
      <c r="L524" s="65"/>
      <c r="M524" s="67">
        <f t="shared" si="696"/>
        <v>0</v>
      </c>
      <c r="N524" s="65" t="str">
        <f t="shared" si="639"/>
        <v/>
      </c>
      <c r="O524" s="65" t="str">
        <f t="shared" ref="O524:P524" si="700">N524</f>
        <v/>
      </c>
      <c r="P524" s="65" t="str">
        <f t="shared" si="700"/>
        <v/>
      </c>
      <c r="Q524" s="38"/>
      <c r="R524" s="3" t="str">
        <f t="shared" si="699"/>
        <v>Thoothukudi</v>
      </c>
      <c r="S524" s="3" t="str">
        <f t="shared" si="642"/>
        <v>Ettayapuram</v>
      </c>
      <c r="T524" s="3" t="str">
        <f t="shared" si="643"/>
        <v>Kayathar</v>
      </c>
      <c r="U524" s="3" t="str">
        <f t="shared" si="644"/>
        <v>Thoothukudi_Ettayapuram_Kayathar</v>
      </c>
      <c r="V524" s="3">
        <f>IF(_xlfn.XLOOKUP($U524,GCA!$H$3:$H$593,GCA!E$3:E$593,"",0,1)="","",_xlfn.XLOOKUP($U524,GCA!$H$3:$H$593,GCA!E$3:E$593,"",0,1))</f>
        <v>1532.0250000000001</v>
      </c>
      <c r="W524" s="3">
        <f>IF(_xlfn.XLOOKUP($U524,GCA!$H$3:$H$593,GCA!F$3:F$593,"",0,1)="","",_xlfn.XLOOKUP($U524,GCA!$H$3:$H$593,GCA!F$3:F$593,"",0,1))</f>
        <v>1546.5150000000001</v>
      </c>
      <c r="X524" s="3">
        <f>IF(_xlfn.XLOOKUP($U524,GCA!$H$3:$H$593,GCA!G$3:G$593,"",0,1)="","",_xlfn.XLOOKUP($U524,GCA!$H$3:$H$593,GCA!G$3:G$593,"",0,1))</f>
        <v>1639.1949999999999</v>
      </c>
    </row>
    <row r="525" spans="1:24" ht="13.2">
      <c r="A525" s="49"/>
      <c r="B525" s="49"/>
      <c r="C525" s="48"/>
      <c r="D525" s="49"/>
      <c r="E525" s="50"/>
      <c r="F525" s="26" t="s">
        <v>921</v>
      </c>
      <c r="G525" s="26" t="s">
        <v>923</v>
      </c>
      <c r="H525" s="27">
        <f t="shared" si="692"/>
        <v>12218.373</v>
      </c>
      <c r="I525" s="27">
        <f t="shared" si="693"/>
        <v>12143.82</v>
      </c>
      <c r="J525" s="27">
        <f t="shared" si="694"/>
        <v>12223.64</v>
      </c>
      <c r="K525" s="27">
        <f t="shared" si="695"/>
        <v>12195.277666666667</v>
      </c>
      <c r="L525" s="65"/>
      <c r="M525" s="67">
        <f t="shared" si="696"/>
        <v>0</v>
      </c>
      <c r="N525" s="65" t="str">
        <f t="shared" si="639"/>
        <v/>
      </c>
      <c r="O525" s="65" t="str">
        <f t="shared" ref="O525:P525" si="701">N525</f>
        <v/>
      </c>
      <c r="P525" s="65" t="str">
        <f t="shared" si="701"/>
        <v/>
      </c>
      <c r="Q525" s="38"/>
      <c r="R525" s="3" t="str">
        <f t="shared" si="699"/>
        <v>Thoothukudi</v>
      </c>
      <c r="S525" s="3" t="str">
        <f t="shared" si="642"/>
        <v>Ettayapuram</v>
      </c>
      <c r="T525" s="3" t="str">
        <f t="shared" si="643"/>
        <v>Kovilpatti</v>
      </c>
      <c r="U525" s="3" t="str">
        <f t="shared" si="644"/>
        <v>Thoothukudi_Ettayapuram_Kovilpatti</v>
      </c>
      <c r="V525" s="3">
        <f>IF(_xlfn.XLOOKUP($U525,GCA!$H$3:$H$593,GCA!E$3:E$593,"",0,1)="","",_xlfn.XLOOKUP($U525,GCA!$H$3:$H$593,GCA!E$3:E$593,"",0,1))</f>
        <v>12218.373</v>
      </c>
      <c r="W525" s="3">
        <f>IF(_xlfn.XLOOKUP($U525,GCA!$H$3:$H$593,GCA!F$3:F$593,"",0,1)="","",_xlfn.XLOOKUP($U525,GCA!$H$3:$H$593,GCA!F$3:F$593,"",0,1))</f>
        <v>12143.82</v>
      </c>
      <c r="X525" s="3">
        <f>IF(_xlfn.XLOOKUP($U525,GCA!$H$3:$H$593,GCA!G$3:G$593,"",0,1)="","",_xlfn.XLOOKUP($U525,GCA!$H$3:$H$593,GCA!G$3:G$593,"",0,1))</f>
        <v>12223.64</v>
      </c>
    </row>
    <row r="526" spans="1:24" ht="13.2">
      <c r="A526" s="49"/>
      <c r="B526" s="49"/>
      <c r="C526" s="48"/>
      <c r="D526" s="49"/>
      <c r="E526" s="50"/>
      <c r="F526" s="26" t="s">
        <v>921</v>
      </c>
      <c r="G526" s="26" t="s">
        <v>924</v>
      </c>
      <c r="H526" s="27">
        <f t="shared" si="692"/>
        <v>8291.6049999999996</v>
      </c>
      <c r="I526" s="27">
        <f t="shared" si="693"/>
        <v>8175.96</v>
      </c>
      <c r="J526" s="27">
        <f t="shared" si="694"/>
        <v>8495.4449999999997</v>
      </c>
      <c r="K526" s="27">
        <f t="shared" si="695"/>
        <v>8321.0033333333322</v>
      </c>
      <c r="L526" s="65"/>
      <c r="M526" s="67">
        <f t="shared" si="696"/>
        <v>0</v>
      </c>
      <c r="N526" s="65" t="str">
        <f t="shared" si="639"/>
        <v/>
      </c>
      <c r="O526" s="65" t="str">
        <f t="shared" ref="O526:P526" si="702">N526</f>
        <v/>
      </c>
      <c r="P526" s="65" t="str">
        <f t="shared" si="702"/>
        <v/>
      </c>
      <c r="Q526" s="38"/>
      <c r="R526" s="3" t="str">
        <f t="shared" si="699"/>
        <v>Thoothukudi</v>
      </c>
      <c r="S526" s="3" t="str">
        <f t="shared" si="642"/>
        <v>Ettayapuram</v>
      </c>
      <c r="T526" s="3" t="str">
        <f t="shared" si="643"/>
        <v>Pudur</v>
      </c>
      <c r="U526" s="3" t="str">
        <f t="shared" si="644"/>
        <v>Thoothukudi_Ettayapuram_Pudur</v>
      </c>
      <c r="V526" s="3">
        <f>IF(_xlfn.XLOOKUP($U526,GCA!$H$3:$H$593,GCA!E$3:E$593,"",0,1)="","",_xlfn.XLOOKUP($U526,GCA!$H$3:$H$593,GCA!E$3:E$593,"",0,1))</f>
        <v>8291.6049999999996</v>
      </c>
      <c r="W526" s="3">
        <f>IF(_xlfn.XLOOKUP($U526,GCA!$H$3:$H$593,GCA!F$3:F$593,"",0,1)="","",_xlfn.XLOOKUP($U526,GCA!$H$3:$H$593,GCA!F$3:F$593,"",0,1))</f>
        <v>8175.96</v>
      </c>
      <c r="X526" s="3">
        <f>IF(_xlfn.XLOOKUP($U526,GCA!$H$3:$H$593,GCA!G$3:G$593,"",0,1)="","",_xlfn.XLOOKUP($U526,GCA!$H$3:$H$593,GCA!G$3:G$593,"",0,1))</f>
        <v>8495.4449999999997</v>
      </c>
    </row>
    <row r="527" spans="1:24" ht="13.2">
      <c r="A527" s="49"/>
      <c r="B527" s="49"/>
      <c r="C527" s="48"/>
      <c r="D527" s="49"/>
      <c r="E527" s="50"/>
      <c r="F527" s="26" t="s">
        <v>921</v>
      </c>
      <c r="G527" s="26" t="s">
        <v>925</v>
      </c>
      <c r="H527" s="27">
        <f t="shared" si="692"/>
        <v>5368.2910000000002</v>
      </c>
      <c r="I527" s="27">
        <f t="shared" si="693"/>
        <v>5478.53</v>
      </c>
      <c r="J527" s="27">
        <f t="shared" si="694"/>
        <v>5479.0950000000003</v>
      </c>
      <c r="K527" s="27">
        <f t="shared" si="695"/>
        <v>5441.9720000000007</v>
      </c>
      <c r="L527" s="65"/>
      <c r="M527" s="67">
        <f t="shared" si="696"/>
        <v>0</v>
      </c>
      <c r="N527" s="65" t="str">
        <f t="shared" si="639"/>
        <v/>
      </c>
      <c r="O527" s="65" t="str">
        <f t="shared" ref="O527:P527" si="703">N527</f>
        <v/>
      </c>
      <c r="P527" s="65" t="str">
        <f t="shared" si="703"/>
        <v/>
      </c>
      <c r="Q527" s="38"/>
      <c r="R527" s="3" t="str">
        <f t="shared" si="699"/>
        <v>Thoothukudi</v>
      </c>
      <c r="S527" s="3" t="str">
        <f t="shared" si="642"/>
        <v>Ettayapuram</v>
      </c>
      <c r="T527" s="3" t="str">
        <f t="shared" si="643"/>
        <v>Vilathikulam</v>
      </c>
      <c r="U527" s="3" t="str">
        <f t="shared" si="644"/>
        <v>Thoothukudi_Ettayapuram_Vilathikulam</v>
      </c>
      <c r="V527" s="3">
        <f>IF(_xlfn.XLOOKUP($U527,GCA!$H$3:$H$593,GCA!E$3:E$593,"",0,1)="","",_xlfn.XLOOKUP($U527,GCA!$H$3:$H$593,GCA!E$3:E$593,"",0,1))</f>
        <v>5368.2910000000002</v>
      </c>
      <c r="W527" s="3">
        <f>IF(_xlfn.XLOOKUP($U527,GCA!$H$3:$H$593,GCA!F$3:F$593,"",0,1)="","",_xlfn.XLOOKUP($U527,GCA!$H$3:$H$593,GCA!F$3:F$593,"",0,1))</f>
        <v>5478.53</v>
      </c>
      <c r="X527" s="3">
        <f>IF(_xlfn.XLOOKUP($U527,GCA!$H$3:$H$593,GCA!G$3:G$593,"",0,1)="","",_xlfn.XLOOKUP($U527,GCA!$H$3:$H$593,GCA!G$3:G$593,"",0,1))</f>
        <v>5479.0950000000003</v>
      </c>
    </row>
    <row r="528" spans="1:24" ht="13.2">
      <c r="A528" s="49"/>
      <c r="B528" s="49"/>
      <c r="C528" s="48"/>
      <c r="D528" s="49"/>
      <c r="E528" s="50"/>
      <c r="F528" s="26" t="s">
        <v>922</v>
      </c>
      <c r="G528" s="26" t="s">
        <v>922</v>
      </c>
      <c r="H528" s="27">
        <f t="shared" si="692"/>
        <v>26665.415000000001</v>
      </c>
      <c r="I528" s="27">
        <f t="shared" si="693"/>
        <v>27535.82</v>
      </c>
      <c r="J528" s="27">
        <f t="shared" si="694"/>
        <v>28306.85</v>
      </c>
      <c r="K528" s="27">
        <f t="shared" si="695"/>
        <v>27502.694999999996</v>
      </c>
      <c r="L528" s="65"/>
      <c r="M528" s="67">
        <f t="shared" si="696"/>
        <v>0</v>
      </c>
      <c r="N528" s="65" t="str">
        <f t="shared" si="639"/>
        <v/>
      </c>
      <c r="O528" s="65" t="str">
        <f t="shared" ref="O528:P528" si="704">N528</f>
        <v/>
      </c>
      <c r="P528" s="65" t="str">
        <f t="shared" si="704"/>
        <v/>
      </c>
      <c r="Q528" s="38"/>
      <c r="R528" s="3" t="str">
        <f t="shared" si="699"/>
        <v>Thoothukudi</v>
      </c>
      <c r="S528" s="3" t="str">
        <f t="shared" si="642"/>
        <v>Kayathar</v>
      </c>
      <c r="T528" s="3" t="str">
        <f t="shared" si="643"/>
        <v>Kayathar</v>
      </c>
      <c r="U528" s="3" t="str">
        <f t="shared" si="644"/>
        <v>Thoothukudi_Kayathar_Kayathar</v>
      </c>
      <c r="V528" s="3">
        <f>IF(_xlfn.XLOOKUP($U528,GCA!$H$3:$H$593,GCA!E$3:E$593,"",0,1)="","",_xlfn.XLOOKUP($U528,GCA!$H$3:$H$593,GCA!E$3:E$593,"",0,1))</f>
        <v>26665.415000000001</v>
      </c>
      <c r="W528" s="3">
        <f>IF(_xlfn.XLOOKUP($U528,GCA!$H$3:$H$593,GCA!F$3:F$593,"",0,1)="","",_xlfn.XLOOKUP($U528,GCA!$H$3:$H$593,GCA!F$3:F$593,"",0,1))</f>
        <v>27535.82</v>
      </c>
      <c r="X528" s="3">
        <f>IF(_xlfn.XLOOKUP($U528,GCA!$H$3:$H$593,GCA!G$3:G$593,"",0,1)="","",_xlfn.XLOOKUP($U528,GCA!$H$3:$H$593,GCA!G$3:G$593,"",0,1))</f>
        <v>28306.85</v>
      </c>
    </row>
    <row r="529" spans="1:24" ht="13.2">
      <c r="A529" s="49"/>
      <c r="B529" s="49"/>
      <c r="C529" s="48"/>
      <c r="D529" s="49"/>
      <c r="E529" s="50"/>
      <c r="F529" s="26" t="s">
        <v>922</v>
      </c>
      <c r="G529" s="26" t="s">
        <v>926</v>
      </c>
      <c r="H529" s="27">
        <f t="shared" si="692"/>
        <v>5024.415</v>
      </c>
      <c r="I529" s="27">
        <f t="shared" si="693"/>
        <v>5090.38</v>
      </c>
      <c r="J529" s="27">
        <f t="shared" si="694"/>
        <v>5734.4449999999997</v>
      </c>
      <c r="K529" s="27">
        <f t="shared" si="695"/>
        <v>5283.08</v>
      </c>
      <c r="L529" s="65"/>
      <c r="M529" s="67">
        <f t="shared" si="696"/>
        <v>0</v>
      </c>
      <c r="N529" s="65" t="str">
        <f t="shared" si="639"/>
        <v/>
      </c>
      <c r="O529" s="65" t="str">
        <f t="shared" ref="O529:P529" si="705">N529</f>
        <v/>
      </c>
      <c r="P529" s="65" t="str">
        <f t="shared" si="705"/>
        <v/>
      </c>
      <c r="Q529" s="38"/>
      <c r="R529" s="3" t="str">
        <f t="shared" si="699"/>
        <v>Thoothukudi</v>
      </c>
      <c r="S529" s="3" t="str">
        <f t="shared" si="642"/>
        <v>Kayathar</v>
      </c>
      <c r="T529" s="3" t="str">
        <f t="shared" si="643"/>
        <v>Ottapidaram</v>
      </c>
      <c r="U529" s="3" t="str">
        <f t="shared" si="644"/>
        <v>Thoothukudi_Kayathar_Ottapidaram</v>
      </c>
      <c r="V529" s="3">
        <f>IF(_xlfn.XLOOKUP($U529,GCA!$H$3:$H$593,GCA!E$3:E$593,"",0,1)="","",_xlfn.XLOOKUP($U529,GCA!$H$3:$H$593,GCA!E$3:E$593,"",0,1))</f>
        <v>5024.415</v>
      </c>
      <c r="W529" s="3">
        <f>IF(_xlfn.XLOOKUP($U529,GCA!$H$3:$H$593,GCA!F$3:F$593,"",0,1)="","",_xlfn.XLOOKUP($U529,GCA!$H$3:$H$593,GCA!F$3:F$593,"",0,1))</f>
        <v>5090.38</v>
      </c>
      <c r="X529" s="3">
        <f>IF(_xlfn.XLOOKUP($U529,GCA!$H$3:$H$593,GCA!G$3:G$593,"",0,1)="","",_xlfn.XLOOKUP($U529,GCA!$H$3:$H$593,GCA!G$3:G$593,"",0,1))</f>
        <v>5734.4449999999997</v>
      </c>
    </row>
    <row r="530" spans="1:24" ht="13.2">
      <c r="A530" s="49"/>
      <c r="B530" s="49"/>
      <c r="C530" s="48"/>
      <c r="D530" s="49"/>
      <c r="E530" s="50">
        <v>2</v>
      </c>
      <c r="F530" s="26" t="s">
        <v>923</v>
      </c>
      <c r="G530" s="26" t="s">
        <v>922</v>
      </c>
      <c r="H530" s="27">
        <f t="shared" si="692"/>
        <v>2414.4050000000002</v>
      </c>
      <c r="I530" s="27">
        <f t="shared" si="693"/>
        <v>2494.1</v>
      </c>
      <c r="J530" s="27">
        <f t="shared" si="694"/>
        <v>2512.25</v>
      </c>
      <c r="K530" s="27">
        <f t="shared" si="695"/>
        <v>2473.585</v>
      </c>
      <c r="L530" s="65">
        <f>SUM(K530:K533)</f>
        <v>50061.506000000008</v>
      </c>
      <c r="M530" s="67">
        <f t="shared" si="696"/>
        <v>2.1012834301066268</v>
      </c>
      <c r="N530" s="65">
        <f t="shared" si="639"/>
        <v>2</v>
      </c>
      <c r="O530" s="65">
        <f t="shared" ref="O530:P530" si="706">N530</f>
        <v>2</v>
      </c>
      <c r="P530" s="65">
        <f t="shared" si="706"/>
        <v>2</v>
      </c>
      <c r="Q530" s="38"/>
      <c r="R530" s="3" t="str">
        <f t="shared" si="699"/>
        <v>Thoothukudi</v>
      </c>
      <c r="S530" s="3" t="str">
        <f t="shared" si="642"/>
        <v>Kovilpatti</v>
      </c>
      <c r="T530" s="3" t="str">
        <f t="shared" si="643"/>
        <v>Kayathar</v>
      </c>
      <c r="U530" s="3" t="str">
        <f t="shared" si="644"/>
        <v>Thoothukudi_Kovilpatti_Kayathar</v>
      </c>
      <c r="V530" s="3">
        <f>IF(_xlfn.XLOOKUP($U530,GCA!$H$3:$H$593,GCA!E$3:E$593,"",0,1)="","",_xlfn.XLOOKUP($U530,GCA!$H$3:$H$593,GCA!E$3:E$593,"",0,1))</f>
        <v>2414.4050000000002</v>
      </c>
      <c r="W530" s="3">
        <f>IF(_xlfn.XLOOKUP($U530,GCA!$H$3:$H$593,GCA!F$3:F$593,"",0,1)="","",_xlfn.XLOOKUP($U530,GCA!$H$3:$H$593,GCA!F$3:F$593,"",0,1))</f>
        <v>2494.1</v>
      </c>
      <c r="X530" s="3">
        <f>IF(_xlfn.XLOOKUP($U530,GCA!$H$3:$H$593,GCA!G$3:G$593,"",0,1)="","",_xlfn.XLOOKUP($U530,GCA!$H$3:$H$593,GCA!G$3:G$593,"",0,1))</f>
        <v>2512.25</v>
      </c>
    </row>
    <row r="531" spans="1:24" ht="13.2">
      <c r="A531" s="49"/>
      <c r="B531" s="49"/>
      <c r="C531" s="48"/>
      <c r="D531" s="49"/>
      <c r="E531" s="50"/>
      <c r="F531" s="26" t="s">
        <v>923</v>
      </c>
      <c r="G531" s="26" t="s">
        <v>923</v>
      </c>
      <c r="H531" s="27">
        <f t="shared" si="692"/>
        <v>16012.01</v>
      </c>
      <c r="I531" s="27">
        <f t="shared" si="693"/>
        <v>16258.18</v>
      </c>
      <c r="J531" s="27">
        <f t="shared" si="694"/>
        <v>16179.12</v>
      </c>
      <c r="K531" s="27">
        <f t="shared" si="695"/>
        <v>16149.770000000002</v>
      </c>
      <c r="L531" s="65"/>
      <c r="M531" s="67">
        <f t="shared" si="696"/>
        <v>0</v>
      </c>
      <c r="N531" s="65" t="str">
        <f t="shared" si="639"/>
        <v/>
      </c>
      <c r="O531" s="65" t="str">
        <f t="shared" ref="O531:P531" si="707">N531</f>
        <v/>
      </c>
      <c r="P531" s="65" t="str">
        <f t="shared" si="707"/>
        <v/>
      </c>
      <c r="Q531" s="38"/>
      <c r="R531" s="3" t="str">
        <f t="shared" si="699"/>
        <v>Thoothukudi</v>
      </c>
      <c r="S531" s="3" t="str">
        <f t="shared" si="642"/>
        <v>Kovilpatti</v>
      </c>
      <c r="T531" s="3" t="str">
        <f t="shared" si="643"/>
        <v>Kovilpatti</v>
      </c>
      <c r="U531" s="3" t="str">
        <f t="shared" si="644"/>
        <v>Thoothukudi_Kovilpatti_Kovilpatti</v>
      </c>
      <c r="V531" s="3">
        <f>IF(_xlfn.XLOOKUP($U531,GCA!$H$3:$H$593,GCA!E$3:E$593,"",0,1)="","",_xlfn.XLOOKUP($U531,GCA!$H$3:$H$593,GCA!E$3:E$593,"",0,1))</f>
        <v>16012.01</v>
      </c>
      <c r="W531" s="3">
        <f>IF(_xlfn.XLOOKUP($U531,GCA!$H$3:$H$593,GCA!F$3:F$593,"",0,1)="","",_xlfn.XLOOKUP($U531,GCA!$H$3:$H$593,GCA!F$3:F$593,"",0,1))</f>
        <v>16258.18</v>
      </c>
      <c r="X531" s="3">
        <f>IF(_xlfn.XLOOKUP($U531,GCA!$H$3:$H$593,GCA!G$3:G$593,"",0,1)="","",_xlfn.XLOOKUP($U531,GCA!$H$3:$H$593,GCA!G$3:G$593,"",0,1))</f>
        <v>16179.12</v>
      </c>
    </row>
    <row r="532" spans="1:24" ht="13.2">
      <c r="A532" s="49"/>
      <c r="B532" s="49"/>
      <c r="C532" s="48"/>
      <c r="D532" s="49"/>
      <c r="E532" s="50"/>
      <c r="F532" s="26" t="s">
        <v>926</v>
      </c>
      <c r="G532" s="26" t="s">
        <v>922</v>
      </c>
      <c r="H532" s="27">
        <f t="shared" si="692"/>
        <v>118.14</v>
      </c>
      <c r="I532" s="27">
        <f t="shared" si="693"/>
        <v>134.30000000000001</v>
      </c>
      <c r="J532" s="27">
        <f t="shared" si="694"/>
        <v>140.125</v>
      </c>
      <c r="K532" s="27">
        <f t="shared" si="695"/>
        <v>130.85499999999999</v>
      </c>
      <c r="L532" s="65"/>
      <c r="M532" s="67">
        <f t="shared" si="696"/>
        <v>0</v>
      </c>
      <c r="N532" s="65" t="str">
        <f t="shared" si="639"/>
        <v/>
      </c>
      <c r="O532" s="65" t="str">
        <f t="shared" ref="O532:P532" si="708">N532</f>
        <v/>
      </c>
      <c r="P532" s="65" t="str">
        <f t="shared" si="708"/>
        <v/>
      </c>
      <c r="Q532" s="38"/>
      <c r="R532" s="3" t="str">
        <f t="shared" si="699"/>
        <v>Thoothukudi</v>
      </c>
      <c r="S532" s="3" t="str">
        <f t="shared" si="642"/>
        <v>Ottapidaram</v>
      </c>
      <c r="T532" s="3" t="str">
        <f t="shared" si="643"/>
        <v>Kayathar</v>
      </c>
      <c r="U532" s="3" t="str">
        <f t="shared" si="644"/>
        <v>Thoothukudi_Ottapidaram_Kayathar</v>
      </c>
      <c r="V532" s="3">
        <f>IF(_xlfn.XLOOKUP($U532,GCA!$H$3:$H$593,GCA!E$3:E$593,"",0,1)="","",_xlfn.XLOOKUP($U532,GCA!$H$3:$H$593,GCA!E$3:E$593,"",0,1))</f>
        <v>118.14</v>
      </c>
      <c r="W532" s="3">
        <f>IF(_xlfn.XLOOKUP($U532,GCA!$H$3:$H$593,GCA!F$3:F$593,"",0,1)="","",_xlfn.XLOOKUP($U532,GCA!$H$3:$H$593,GCA!F$3:F$593,"",0,1))</f>
        <v>134.30000000000001</v>
      </c>
      <c r="X532" s="3">
        <f>IF(_xlfn.XLOOKUP($U532,GCA!$H$3:$H$593,GCA!G$3:G$593,"",0,1)="","",_xlfn.XLOOKUP($U532,GCA!$H$3:$H$593,GCA!G$3:G$593,"",0,1))</f>
        <v>140.125</v>
      </c>
    </row>
    <row r="533" spans="1:24" ht="13.2">
      <c r="A533" s="49"/>
      <c r="B533" s="49"/>
      <c r="C533" s="48"/>
      <c r="D533" s="49"/>
      <c r="E533" s="50"/>
      <c r="F533" s="26" t="s">
        <v>926</v>
      </c>
      <c r="G533" s="26" t="s">
        <v>926</v>
      </c>
      <c r="H533" s="27">
        <f t="shared" si="692"/>
        <v>31443.692999999999</v>
      </c>
      <c r="I533" s="27">
        <f t="shared" si="693"/>
        <v>31235.78</v>
      </c>
      <c r="J533" s="27">
        <f t="shared" si="694"/>
        <v>31242.415000000001</v>
      </c>
      <c r="K533" s="27">
        <f t="shared" si="695"/>
        <v>31307.296000000002</v>
      </c>
      <c r="L533" s="65"/>
      <c r="M533" s="67">
        <f t="shared" si="696"/>
        <v>0</v>
      </c>
      <c r="N533" s="65" t="str">
        <f t="shared" si="639"/>
        <v/>
      </c>
      <c r="O533" s="65" t="str">
        <f t="shared" ref="O533:P533" si="709">N533</f>
        <v/>
      </c>
      <c r="P533" s="65" t="str">
        <f t="shared" si="709"/>
        <v/>
      </c>
      <c r="Q533" s="38"/>
      <c r="R533" s="3" t="str">
        <f t="shared" si="699"/>
        <v>Thoothukudi</v>
      </c>
      <c r="S533" s="3" t="str">
        <f t="shared" si="642"/>
        <v>Ottapidaram</v>
      </c>
      <c r="T533" s="3" t="str">
        <f t="shared" si="643"/>
        <v>Ottapidaram</v>
      </c>
      <c r="U533" s="3" t="str">
        <f t="shared" si="644"/>
        <v>Thoothukudi_Ottapidaram_Ottapidaram</v>
      </c>
      <c r="V533" s="3">
        <f>IF(_xlfn.XLOOKUP($U533,GCA!$H$3:$H$593,GCA!E$3:E$593,"",0,1)="","",_xlfn.XLOOKUP($U533,GCA!$H$3:$H$593,GCA!E$3:E$593,"",0,1))</f>
        <v>31443.692999999999</v>
      </c>
      <c r="W533" s="3">
        <f>IF(_xlfn.XLOOKUP($U533,GCA!$H$3:$H$593,GCA!F$3:F$593,"",0,1)="","",_xlfn.XLOOKUP($U533,GCA!$H$3:$H$593,GCA!F$3:F$593,"",0,1))</f>
        <v>31235.78</v>
      </c>
      <c r="X533" s="3">
        <f>IF(_xlfn.XLOOKUP($U533,GCA!$H$3:$H$593,GCA!G$3:G$593,"",0,1)="","",_xlfn.XLOOKUP($U533,GCA!$H$3:$H$593,GCA!G$3:G$593,"",0,1))</f>
        <v>31242.415000000001</v>
      </c>
    </row>
    <row r="534" spans="1:24" ht="13.2">
      <c r="A534" s="49"/>
      <c r="B534" s="49"/>
      <c r="C534" s="48"/>
      <c r="D534" s="49"/>
      <c r="E534" s="50">
        <v>3</v>
      </c>
      <c r="F534" s="26" t="s">
        <v>927</v>
      </c>
      <c r="G534" s="26" t="s">
        <v>919</v>
      </c>
      <c r="H534" s="27">
        <f t="shared" si="692"/>
        <v>919.2</v>
      </c>
      <c r="I534" s="27">
        <f t="shared" si="693"/>
        <v>785.39</v>
      </c>
      <c r="J534" s="27">
        <f t="shared" si="694"/>
        <v>885.74</v>
      </c>
      <c r="K534" s="27">
        <f t="shared" si="695"/>
        <v>863.44333333333327</v>
      </c>
      <c r="L534" s="65">
        <f>SUM(K534:K541)</f>
        <v>35136.178666666667</v>
      </c>
      <c r="M534" s="67">
        <f t="shared" si="696"/>
        <v>1.4748072107445709</v>
      </c>
      <c r="N534" s="65">
        <f t="shared" si="639"/>
        <v>2</v>
      </c>
      <c r="O534" s="65">
        <f t="shared" ref="O534:P534" si="710">N534</f>
        <v>2</v>
      </c>
      <c r="P534" s="65">
        <f t="shared" si="710"/>
        <v>2</v>
      </c>
      <c r="Q534" s="38"/>
      <c r="R534" s="3" t="str">
        <f t="shared" si="699"/>
        <v>Thoothukudi</v>
      </c>
      <c r="S534" s="3" t="str">
        <f t="shared" si="642"/>
        <v>Sattankulam</v>
      </c>
      <c r="T534" s="3" t="str">
        <f t="shared" si="643"/>
        <v>Alwarthirunagari</v>
      </c>
      <c r="U534" s="3" t="str">
        <f t="shared" si="644"/>
        <v>Thoothukudi_Sattankulam_Alwarthirunagari</v>
      </c>
      <c r="V534" s="3">
        <f>IF(_xlfn.XLOOKUP($U534,GCA!$H$3:$H$593,GCA!E$3:E$593,"",0,1)="","",_xlfn.XLOOKUP($U534,GCA!$H$3:$H$593,GCA!E$3:E$593,"",0,1))</f>
        <v>919.2</v>
      </c>
      <c r="W534" s="3">
        <f>IF(_xlfn.XLOOKUP($U534,GCA!$H$3:$H$593,GCA!F$3:F$593,"",0,1)="","",_xlfn.XLOOKUP($U534,GCA!$H$3:$H$593,GCA!F$3:F$593,"",0,1))</f>
        <v>785.39</v>
      </c>
      <c r="X534" s="3">
        <f>IF(_xlfn.XLOOKUP($U534,GCA!$H$3:$H$593,GCA!G$3:G$593,"",0,1)="","",_xlfn.XLOOKUP($U534,GCA!$H$3:$H$593,GCA!G$3:G$593,"",0,1))</f>
        <v>885.74</v>
      </c>
    </row>
    <row r="535" spans="1:24" ht="13.2">
      <c r="A535" s="49"/>
      <c r="B535" s="49"/>
      <c r="C535" s="48"/>
      <c r="D535" s="49"/>
      <c r="E535" s="50"/>
      <c r="F535" s="26" t="s">
        <v>927</v>
      </c>
      <c r="G535" s="26" t="s">
        <v>927</v>
      </c>
      <c r="H535" s="27">
        <f t="shared" si="692"/>
        <v>5919.96</v>
      </c>
      <c r="I535" s="27">
        <f t="shared" si="693"/>
        <v>5906.0050000000001</v>
      </c>
      <c r="J535" s="27">
        <f t="shared" si="694"/>
        <v>5506.9650000000001</v>
      </c>
      <c r="K535" s="27">
        <f t="shared" si="695"/>
        <v>5777.6433333333334</v>
      </c>
      <c r="L535" s="65"/>
      <c r="M535" s="67">
        <f t="shared" si="696"/>
        <v>0</v>
      </c>
      <c r="N535" s="65" t="str">
        <f t="shared" si="639"/>
        <v/>
      </c>
      <c r="O535" s="65" t="str">
        <f t="shared" ref="O535:P535" si="711">N535</f>
        <v/>
      </c>
      <c r="P535" s="65" t="str">
        <f t="shared" si="711"/>
        <v/>
      </c>
      <c r="Q535" s="38"/>
      <c r="R535" s="3" t="str">
        <f t="shared" si="699"/>
        <v>Thoothukudi</v>
      </c>
      <c r="S535" s="3" t="str">
        <f t="shared" si="642"/>
        <v>Sattankulam</v>
      </c>
      <c r="T535" s="3" t="str">
        <f t="shared" si="643"/>
        <v>Sattankulam</v>
      </c>
      <c r="U535" s="3" t="str">
        <f t="shared" si="644"/>
        <v>Thoothukudi_Sattankulam_Sattankulam</v>
      </c>
      <c r="V535" s="3">
        <f>IF(_xlfn.XLOOKUP($U535,GCA!$H$3:$H$593,GCA!E$3:E$593,"",0,1)="","",_xlfn.XLOOKUP($U535,GCA!$H$3:$H$593,GCA!E$3:E$593,"",0,1))</f>
        <v>5919.96</v>
      </c>
      <c r="W535" s="3">
        <f>IF(_xlfn.XLOOKUP($U535,GCA!$H$3:$H$593,GCA!F$3:F$593,"",0,1)="","",_xlfn.XLOOKUP($U535,GCA!$H$3:$H$593,GCA!F$3:F$593,"",0,1))</f>
        <v>5906.0050000000001</v>
      </c>
      <c r="X535" s="3">
        <f>IF(_xlfn.XLOOKUP($U535,GCA!$H$3:$H$593,GCA!G$3:G$593,"",0,1)="","",_xlfn.XLOOKUP($U535,GCA!$H$3:$H$593,GCA!G$3:G$593,"",0,1))</f>
        <v>5506.9650000000001</v>
      </c>
    </row>
    <row r="536" spans="1:24" ht="13.2">
      <c r="A536" s="49"/>
      <c r="B536" s="49"/>
      <c r="C536" s="48"/>
      <c r="D536" s="49"/>
      <c r="E536" s="50"/>
      <c r="F536" s="26" t="s">
        <v>928</v>
      </c>
      <c r="G536" s="26" t="s">
        <v>929</v>
      </c>
      <c r="H536" s="27">
        <f t="shared" si="692"/>
        <v>11971.749</v>
      </c>
      <c r="I536" s="27">
        <f t="shared" si="693"/>
        <v>12401.95</v>
      </c>
      <c r="J536" s="27">
        <f t="shared" si="694"/>
        <v>11592.465</v>
      </c>
      <c r="K536" s="27">
        <f t="shared" si="695"/>
        <v>11988.721333333335</v>
      </c>
      <c r="L536" s="65"/>
      <c r="M536" s="67">
        <f t="shared" si="696"/>
        <v>0</v>
      </c>
      <c r="N536" s="65" t="str">
        <f t="shared" si="639"/>
        <v/>
      </c>
      <c r="O536" s="65" t="str">
        <f t="shared" ref="O536:P536" si="712">N536</f>
        <v/>
      </c>
      <c r="P536" s="65" t="str">
        <f t="shared" si="712"/>
        <v/>
      </c>
      <c r="Q536" s="38"/>
      <c r="R536" s="3" t="str">
        <f t="shared" si="699"/>
        <v>Thoothukudi</v>
      </c>
      <c r="S536" s="3" t="str">
        <f t="shared" si="642"/>
        <v>Srivaikuntam</v>
      </c>
      <c r="T536" s="3" t="str">
        <f t="shared" si="643"/>
        <v>Karungulam</v>
      </c>
      <c r="U536" s="3" t="str">
        <f t="shared" si="644"/>
        <v>Thoothukudi_Srivaikuntam_Karungulam</v>
      </c>
      <c r="V536" s="3">
        <f>IF(_xlfn.XLOOKUP($U536,GCA!$H$3:$H$593,GCA!E$3:E$593,"",0,1)="","",_xlfn.XLOOKUP($U536,GCA!$H$3:$H$593,GCA!E$3:E$593,"",0,1))</f>
        <v>11971.749</v>
      </c>
      <c r="W536" s="3">
        <f>IF(_xlfn.XLOOKUP($U536,GCA!$H$3:$H$593,GCA!F$3:F$593,"",0,1)="","",_xlfn.XLOOKUP($U536,GCA!$H$3:$H$593,GCA!F$3:F$593,"",0,1))</f>
        <v>12401.95</v>
      </c>
      <c r="X536" s="3">
        <f>IF(_xlfn.XLOOKUP($U536,GCA!$H$3:$H$593,GCA!G$3:G$593,"",0,1)="","",_xlfn.XLOOKUP($U536,GCA!$H$3:$H$593,GCA!G$3:G$593,"",0,1))</f>
        <v>11592.465</v>
      </c>
    </row>
    <row r="537" spans="1:24" ht="13.2">
      <c r="A537" s="49"/>
      <c r="B537" s="49"/>
      <c r="C537" s="48"/>
      <c r="D537" s="49"/>
      <c r="E537" s="50"/>
      <c r="F537" s="26" t="s">
        <v>928</v>
      </c>
      <c r="G537" s="26" t="s">
        <v>920</v>
      </c>
      <c r="H537" s="27">
        <f t="shared" si="692"/>
        <v>2364.3649999999998</v>
      </c>
      <c r="I537" s="27">
        <f t="shared" si="693"/>
        <v>2933.3249999999998</v>
      </c>
      <c r="J537" s="27">
        <f t="shared" si="694"/>
        <v>2552.8850000000002</v>
      </c>
      <c r="K537" s="27">
        <f t="shared" si="695"/>
        <v>2616.8583333333331</v>
      </c>
      <c r="L537" s="65"/>
      <c r="M537" s="67">
        <f t="shared" si="696"/>
        <v>0</v>
      </c>
      <c r="N537" s="65" t="str">
        <f t="shared" si="639"/>
        <v/>
      </c>
      <c r="O537" s="65" t="str">
        <f t="shared" ref="O537:P537" si="713">N537</f>
        <v/>
      </c>
      <c r="P537" s="65" t="str">
        <f t="shared" si="713"/>
        <v/>
      </c>
      <c r="Q537" s="38"/>
      <c r="R537" s="3" t="str">
        <f t="shared" si="699"/>
        <v>Thoothukudi</v>
      </c>
      <c r="S537" s="3" t="str">
        <f t="shared" si="642"/>
        <v>Srivaikuntam</v>
      </c>
      <c r="T537" s="3" t="str">
        <f t="shared" si="643"/>
        <v>Srivaikundam</v>
      </c>
      <c r="U537" s="3" t="str">
        <f t="shared" si="644"/>
        <v>Thoothukudi_Srivaikuntam_Srivaikundam</v>
      </c>
      <c r="V537" s="3">
        <f>IF(_xlfn.XLOOKUP($U537,GCA!$H$3:$H$593,GCA!E$3:E$593,"",0,1)="","",_xlfn.XLOOKUP($U537,GCA!$H$3:$H$593,GCA!E$3:E$593,"",0,1))</f>
        <v>2364.3649999999998</v>
      </c>
      <c r="W537" s="3">
        <f>IF(_xlfn.XLOOKUP($U537,GCA!$H$3:$H$593,GCA!F$3:F$593,"",0,1)="","",_xlfn.XLOOKUP($U537,GCA!$H$3:$H$593,GCA!F$3:F$593,"",0,1))</f>
        <v>2933.3249999999998</v>
      </c>
      <c r="X537" s="3">
        <f>IF(_xlfn.XLOOKUP($U537,GCA!$H$3:$H$593,GCA!G$3:G$593,"",0,1)="","",_xlfn.XLOOKUP($U537,GCA!$H$3:$H$593,GCA!G$3:G$593,"",0,1))</f>
        <v>2552.8850000000002</v>
      </c>
    </row>
    <row r="538" spans="1:24" ht="13.2">
      <c r="A538" s="49"/>
      <c r="B538" s="49"/>
      <c r="C538" s="48"/>
      <c r="D538" s="49"/>
      <c r="E538" s="50"/>
      <c r="F538" s="26" t="s">
        <v>244</v>
      </c>
      <c r="G538" s="26" t="s">
        <v>244</v>
      </c>
      <c r="H538" s="27">
        <f t="shared" si="692"/>
        <v>4721.9470000000001</v>
      </c>
      <c r="I538" s="27">
        <f t="shared" si="693"/>
        <v>5163.0349999999999</v>
      </c>
      <c r="J538" s="27">
        <f t="shared" si="694"/>
        <v>5032.6000000000004</v>
      </c>
      <c r="K538" s="27">
        <f t="shared" si="695"/>
        <v>4972.5273333333334</v>
      </c>
      <c r="L538" s="65"/>
      <c r="M538" s="67">
        <f t="shared" si="696"/>
        <v>0</v>
      </c>
      <c r="N538" s="65" t="str">
        <f t="shared" si="639"/>
        <v/>
      </c>
      <c r="O538" s="65" t="str">
        <f t="shared" ref="O538:P538" si="714">N538</f>
        <v/>
      </c>
      <c r="P538" s="65" t="str">
        <f t="shared" si="714"/>
        <v/>
      </c>
      <c r="Q538" s="38"/>
      <c r="R538" s="3" t="str">
        <f t="shared" si="699"/>
        <v>Thoothukudi</v>
      </c>
      <c r="S538" s="3" t="str">
        <f t="shared" si="642"/>
        <v>Thoothukudi</v>
      </c>
      <c r="T538" s="3" t="str">
        <f t="shared" si="643"/>
        <v>Thoothukudi</v>
      </c>
      <c r="U538" s="3" t="str">
        <f t="shared" si="644"/>
        <v>Thoothukudi_Thoothukudi_Thoothukudi</v>
      </c>
      <c r="V538" s="3">
        <f>IF(_xlfn.XLOOKUP($U538,GCA!$H$3:$H$593,GCA!E$3:E$593,"",0,1)="","",_xlfn.XLOOKUP($U538,GCA!$H$3:$H$593,GCA!E$3:E$593,"",0,1))</f>
        <v>4721.9470000000001</v>
      </c>
      <c r="W538" s="3">
        <f>IF(_xlfn.XLOOKUP($U538,GCA!$H$3:$H$593,GCA!F$3:F$593,"",0,1)="","",_xlfn.XLOOKUP($U538,GCA!$H$3:$H$593,GCA!F$3:F$593,"",0,1))</f>
        <v>5163.0349999999999</v>
      </c>
      <c r="X538" s="3">
        <f>IF(_xlfn.XLOOKUP($U538,GCA!$H$3:$H$593,GCA!G$3:G$593,"",0,1)="","",_xlfn.XLOOKUP($U538,GCA!$H$3:$H$593,GCA!G$3:G$593,"",0,1))</f>
        <v>5032.6000000000004</v>
      </c>
    </row>
    <row r="539" spans="1:24" ht="13.2">
      <c r="A539" s="49"/>
      <c r="B539" s="49"/>
      <c r="C539" s="48"/>
      <c r="D539" s="49"/>
      <c r="E539" s="50"/>
      <c r="F539" s="26" t="s">
        <v>930</v>
      </c>
      <c r="G539" s="26" t="s">
        <v>919</v>
      </c>
      <c r="H539" s="27">
        <f t="shared" si="692"/>
        <v>1193.7950000000001</v>
      </c>
      <c r="I539" s="27">
        <f t="shared" si="693"/>
        <v>961.99</v>
      </c>
      <c r="J539" s="27">
        <f t="shared" si="694"/>
        <v>1141.885</v>
      </c>
      <c r="K539" s="27">
        <f t="shared" si="695"/>
        <v>1099.2233333333334</v>
      </c>
      <c r="L539" s="65"/>
      <c r="M539" s="67">
        <f t="shared" si="696"/>
        <v>0</v>
      </c>
      <c r="N539" s="65" t="str">
        <f t="shared" si="639"/>
        <v/>
      </c>
      <c r="O539" s="65" t="str">
        <f t="shared" ref="O539:P539" si="715">N539</f>
        <v/>
      </c>
      <c r="P539" s="65" t="str">
        <f t="shared" si="715"/>
        <v/>
      </c>
      <c r="Q539" s="38"/>
      <c r="R539" s="3" t="str">
        <f t="shared" si="699"/>
        <v>Thoothukudi</v>
      </c>
      <c r="S539" s="3" t="str">
        <f t="shared" si="642"/>
        <v>Tiruchendur</v>
      </c>
      <c r="T539" s="3" t="str">
        <f t="shared" si="643"/>
        <v>Alwarthirunagari</v>
      </c>
      <c r="U539" s="3" t="str">
        <f t="shared" si="644"/>
        <v>Thoothukudi_Tiruchendur_Alwarthirunagari</v>
      </c>
      <c r="V539" s="3">
        <f>IF(_xlfn.XLOOKUP($U539,GCA!$H$3:$H$593,GCA!E$3:E$593,"",0,1)="","",_xlfn.XLOOKUP($U539,GCA!$H$3:$H$593,GCA!E$3:E$593,"",0,1))</f>
        <v>1193.7950000000001</v>
      </c>
      <c r="W539" s="3">
        <f>IF(_xlfn.XLOOKUP($U539,GCA!$H$3:$H$593,GCA!F$3:F$593,"",0,1)="","",_xlfn.XLOOKUP($U539,GCA!$H$3:$H$593,GCA!F$3:F$593,"",0,1))</f>
        <v>961.99</v>
      </c>
      <c r="X539" s="3">
        <f>IF(_xlfn.XLOOKUP($U539,GCA!$H$3:$H$593,GCA!G$3:G$593,"",0,1)="","",_xlfn.XLOOKUP($U539,GCA!$H$3:$H$593,GCA!G$3:G$593,"",0,1))</f>
        <v>1141.885</v>
      </c>
    </row>
    <row r="540" spans="1:24" ht="13.2">
      <c r="A540" s="49"/>
      <c r="B540" s="49"/>
      <c r="C540" s="48"/>
      <c r="D540" s="49"/>
      <c r="E540" s="50"/>
      <c r="F540" s="26" t="s">
        <v>930</v>
      </c>
      <c r="G540" s="26" t="s">
        <v>930</v>
      </c>
      <c r="H540" s="27">
        <f t="shared" si="692"/>
        <v>3843.36</v>
      </c>
      <c r="I540" s="27">
        <f t="shared" si="693"/>
        <v>3814.55</v>
      </c>
      <c r="J540" s="27">
        <f t="shared" si="694"/>
        <v>3889.2950000000001</v>
      </c>
      <c r="K540" s="27">
        <f t="shared" si="695"/>
        <v>3849.0683333333332</v>
      </c>
      <c r="L540" s="65"/>
      <c r="M540" s="67">
        <f t="shared" si="696"/>
        <v>0</v>
      </c>
      <c r="N540" s="65" t="str">
        <f t="shared" si="639"/>
        <v/>
      </c>
      <c r="O540" s="65" t="str">
        <f t="shared" ref="O540:P540" si="716">N540</f>
        <v/>
      </c>
      <c r="P540" s="65" t="str">
        <f t="shared" si="716"/>
        <v/>
      </c>
      <c r="Q540" s="38"/>
      <c r="R540" s="3" t="str">
        <f t="shared" si="699"/>
        <v>Thoothukudi</v>
      </c>
      <c r="S540" s="3" t="str">
        <f t="shared" si="642"/>
        <v>Tiruchendur</v>
      </c>
      <c r="T540" s="3" t="str">
        <f t="shared" si="643"/>
        <v>Tiruchendur</v>
      </c>
      <c r="U540" s="3" t="str">
        <f t="shared" si="644"/>
        <v>Thoothukudi_Tiruchendur_Tiruchendur</v>
      </c>
      <c r="V540" s="3">
        <f>IF(_xlfn.XLOOKUP($U540,GCA!$H$3:$H$593,GCA!E$3:E$593,"",0,1)="","",_xlfn.XLOOKUP($U540,GCA!$H$3:$H$593,GCA!E$3:E$593,"",0,1))</f>
        <v>3843.36</v>
      </c>
      <c r="W540" s="3">
        <f>IF(_xlfn.XLOOKUP($U540,GCA!$H$3:$H$593,GCA!F$3:F$593,"",0,1)="","",_xlfn.XLOOKUP($U540,GCA!$H$3:$H$593,GCA!F$3:F$593,"",0,1))</f>
        <v>3814.55</v>
      </c>
      <c r="X540" s="3">
        <f>IF(_xlfn.XLOOKUP($U540,GCA!$H$3:$H$593,GCA!G$3:G$593,"",0,1)="","",_xlfn.XLOOKUP($U540,GCA!$H$3:$H$593,GCA!G$3:G$593,"",0,1))</f>
        <v>3889.2950000000001</v>
      </c>
    </row>
    <row r="541" spans="1:24" ht="13.2">
      <c r="A541" s="49"/>
      <c r="B541" s="49"/>
      <c r="C541" s="48"/>
      <c r="D541" s="49"/>
      <c r="E541" s="50"/>
      <c r="F541" s="26" t="s">
        <v>930</v>
      </c>
      <c r="G541" s="26" t="s">
        <v>931</v>
      </c>
      <c r="H541" s="27">
        <f t="shared" si="692"/>
        <v>3923.43</v>
      </c>
      <c r="I541" s="27">
        <f t="shared" si="693"/>
        <v>3979.36</v>
      </c>
      <c r="J541" s="27">
        <f t="shared" si="694"/>
        <v>4003.29</v>
      </c>
      <c r="K541" s="27">
        <f t="shared" si="695"/>
        <v>3968.6933333333332</v>
      </c>
      <c r="L541" s="65"/>
      <c r="M541" s="67">
        <f t="shared" si="696"/>
        <v>0</v>
      </c>
      <c r="N541" s="65" t="str">
        <f t="shared" si="639"/>
        <v/>
      </c>
      <c r="O541" s="65" t="str">
        <f t="shared" ref="O541:P541" si="717">N541</f>
        <v/>
      </c>
      <c r="P541" s="65" t="str">
        <f t="shared" si="717"/>
        <v/>
      </c>
      <c r="Q541" s="38"/>
      <c r="R541" s="3" t="str">
        <f t="shared" si="699"/>
        <v>Thoothukudi</v>
      </c>
      <c r="S541" s="3" t="str">
        <f t="shared" si="642"/>
        <v>Tiruchendur</v>
      </c>
      <c r="T541" s="3" t="str">
        <f t="shared" si="643"/>
        <v>Udangudi</v>
      </c>
      <c r="U541" s="3" t="str">
        <f t="shared" si="644"/>
        <v>Thoothukudi_Tiruchendur_Udangudi</v>
      </c>
      <c r="V541" s="3">
        <f>IF(_xlfn.XLOOKUP($U541,GCA!$H$3:$H$593,GCA!E$3:E$593,"",0,1)="","",_xlfn.XLOOKUP($U541,GCA!$H$3:$H$593,GCA!E$3:E$593,"",0,1))</f>
        <v>3923.43</v>
      </c>
      <c r="W541" s="3">
        <f>IF(_xlfn.XLOOKUP($U541,GCA!$H$3:$H$593,GCA!F$3:F$593,"",0,1)="","",_xlfn.XLOOKUP($U541,GCA!$H$3:$H$593,GCA!F$3:F$593,"",0,1))</f>
        <v>3979.36</v>
      </c>
      <c r="X541" s="3">
        <f>IF(_xlfn.XLOOKUP($U541,GCA!$H$3:$H$593,GCA!G$3:G$593,"",0,1)="","",_xlfn.XLOOKUP($U541,GCA!$H$3:$H$593,GCA!G$3:G$593,"",0,1))</f>
        <v>4003.29</v>
      </c>
    </row>
    <row r="542" spans="1:24" ht="13.2">
      <c r="A542" s="49"/>
      <c r="B542" s="49"/>
      <c r="C542" s="48"/>
      <c r="D542" s="49"/>
      <c r="E542" s="50">
        <v>4</v>
      </c>
      <c r="F542" s="26" t="s">
        <v>925</v>
      </c>
      <c r="G542" s="26" t="s">
        <v>924</v>
      </c>
      <c r="H542" s="27">
        <f t="shared" si="692"/>
        <v>25981.456999999999</v>
      </c>
      <c r="I542" s="27">
        <f t="shared" si="693"/>
        <v>25696.14</v>
      </c>
      <c r="J542" s="27">
        <f t="shared" si="694"/>
        <v>25550.235000000001</v>
      </c>
      <c r="K542" s="27">
        <f t="shared" si="695"/>
        <v>25742.610666666664</v>
      </c>
      <c r="L542" s="65">
        <f>SUM(K542:K543)</f>
        <v>58412.329666666665</v>
      </c>
      <c r="M542" s="67">
        <f t="shared" si="696"/>
        <v>2.4518011991587385</v>
      </c>
      <c r="N542" s="65">
        <f t="shared" si="639"/>
        <v>2</v>
      </c>
      <c r="O542" s="65">
        <f t="shared" ref="O542:P542" si="718">N542</f>
        <v>2</v>
      </c>
      <c r="P542" s="65">
        <f t="shared" si="718"/>
        <v>2</v>
      </c>
      <c r="Q542" s="38"/>
      <c r="R542" s="3" t="str">
        <f t="shared" si="699"/>
        <v>Thoothukudi</v>
      </c>
      <c r="S542" s="3" t="str">
        <f t="shared" si="642"/>
        <v>Vilathikulam</v>
      </c>
      <c r="T542" s="3" t="str">
        <f t="shared" si="643"/>
        <v>Pudur</v>
      </c>
      <c r="U542" s="3" t="str">
        <f t="shared" si="644"/>
        <v>Thoothukudi_Vilathikulam_Pudur</v>
      </c>
      <c r="V542" s="3">
        <f>IF(_xlfn.XLOOKUP($U542,GCA!$H$3:$H$593,GCA!E$3:E$593,"",0,1)="","",_xlfn.XLOOKUP($U542,GCA!$H$3:$H$593,GCA!E$3:E$593,"",0,1))</f>
        <v>25981.456999999999</v>
      </c>
      <c r="W542" s="3">
        <f>IF(_xlfn.XLOOKUP($U542,GCA!$H$3:$H$593,GCA!F$3:F$593,"",0,1)="","",_xlfn.XLOOKUP($U542,GCA!$H$3:$H$593,GCA!F$3:F$593,"",0,1))</f>
        <v>25696.14</v>
      </c>
      <c r="X542" s="3">
        <f>IF(_xlfn.XLOOKUP($U542,GCA!$H$3:$H$593,GCA!G$3:G$593,"",0,1)="","",_xlfn.XLOOKUP($U542,GCA!$H$3:$H$593,GCA!G$3:G$593,"",0,1))</f>
        <v>25550.235000000001</v>
      </c>
    </row>
    <row r="543" spans="1:24" ht="13.2">
      <c r="A543" s="49"/>
      <c r="B543" s="49"/>
      <c r="C543" s="48"/>
      <c r="D543" s="49"/>
      <c r="E543" s="50"/>
      <c r="F543" s="26" t="s">
        <v>925</v>
      </c>
      <c r="G543" s="26" t="s">
        <v>925</v>
      </c>
      <c r="H543" s="27">
        <f t="shared" si="692"/>
        <v>33157.792000000001</v>
      </c>
      <c r="I543" s="27">
        <f t="shared" si="693"/>
        <v>32693.775000000001</v>
      </c>
      <c r="J543" s="27">
        <f t="shared" si="694"/>
        <v>32157.59</v>
      </c>
      <c r="K543" s="27">
        <f t="shared" si="695"/>
        <v>32669.719000000001</v>
      </c>
      <c r="L543" s="65"/>
      <c r="M543" s="67">
        <f t="shared" si="696"/>
        <v>0</v>
      </c>
      <c r="N543" s="65" t="str">
        <f t="shared" si="639"/>
        <v/>
      </c>
      <c r="O543" s="65" t="str">
        <f t="shared" ref="O543:P543" si="719">N543</f>
        <v/>
      </c>
      <c r="P543" s="65" t="str">
        <f t="shared" si="719"/>
        <v/>
      </c>
      <c r="Q543" s="38"/>
      <c r="R543" s="3" t="str">
        <f t="shared" si="699"/>
        <v>Thoothukudi</v>
      </c>
      <c r="S543" s="3" t="str">
        <f t="shared" si="642"/>
        <v>Vilathikulam</v>
      </c>
      <c r="T543" s="3" t="str">
        <f t="shared" si="643"/>
        <v>Vilathikulam</v>
      </c>
      <c r="U543" s="3" t="str">
        <f t="shared" si="644"/>
        <v>Thoothukudi_Vilathikulam_Vilathikulam</v>
      </c>
      <c r="V543" s="3">
        <f>IF(_xlfn.XLOOKUP($U543,GCA!$H$3:$H$593,GCA!E$3:E$593,"",0,1)="","",_xlfn.XLOOKUP($U543,GCA!$H$3:$H$593,GCA!E$3:E$593,"",0,1))</f>
        <v>33157.792000000001</v>
      </c>
      <c r="W543" s="3">
        <f>IF(_xlfn.XLOOKUP($U543,GCA!$H$3:$H$593,GCA!F$3:F$593,"",0,1)="","",_xlfn.XLOOKUP($U543,GCA!$H$3:$H$593,GCA!F$3:F$593,"",0,1))</f>
        <v>32693.775000000001</v>
      </c>
      <c r="X543" s="3">
        <f>IF(_xlfn.XLOOKUP($U543,GCA!$H$3:$H$593,GCA!G$3:G$593,"",0,1)="","",_xlfn.XLOOKUP($U543,GCA!$H$3:$H$593,GCA!G$3:G$593,"",0,1))</f>
        <v>32157.59</v>
      </c>
    </row>
    <row r="544" spans="1:24" ht="13.2">
      <c r="A544" s="49"/>
      <c r="B544" s="49"/>
      <c r="C544" s="48"/>
      <c r="D544" s="49"/>
      <c r="E544" s="47" t="s">
        <v>564</v>
      </c>
      <c r="F544" s="47"/>
      <c r="G544" s="47"/>
      <c r="H544" s="29">
        <f t="shared" ref="H544:P544" si="720">SUM(H522:H543)</f>
        <v>212199.68199999997</v>
      </c>
      <c r="I544" s="29">
        <f t="shared" si="720"/>
        <v>214840.58</v>
      </c>
      <c r="J544" s="29">
        <f t="shared" si="720"/>
        <v>213911.89000000004</v>
      </c>
      <c r="K544" s="29">
        <f t="shared" si="720"/>
        <v>213650.71733333333</v>
      </c>
      <c r="L544" s="29">
        <f t="shared" si="720"/>
        <v>213650.71733333333</v>
      </c>
      <c r="M544" s="30">
        <f t="shared" si="720"/>
        <v>8.9677827942876487</v>
      </c>
      <c r="N544" s="31">
        <f t="shared" si="720"/>
        <v>9</v>
      </c>
      <c r="O544" s="31">
        <f t="shared" si="720"/>
        <v>9</v>
      </c>
      <c r="P544" s="31">
        <f t="shared" si="720"/>
        <v>9</v>
      </c>
      <c r="Q544" s="38"/>
      <c r="R544" s="3" t="str">
        <f t="shared" si="699"/>
        <v>Thoothukudi</v>
      </c>
      <c r="S544" s="3">
        <f t="shared" si="642"/>
        <v>0</v>
      </c>
      <c r="T544" s="3">
        <f t="shared" si="643"/>
        <v>0</v>
      </c>
      <c r="U544" s="3" t="str">
        <f t="shared" si="644"/>
        <v>Thoothukudi_0_0</v>
      </c>
      <c r="V544" s="3" t="str">
        <f>IF(_xlfn.XLOOKUP($U544,GCA!$H$3:$H$593,GCA!E$3:E$593,"",0,1)="","",_xlfn.XLOOKUP($U544,GCA!$H$3:$H$593,GCA!E$3:E$593,"",0,1))</f>
        <v/>
      </c>
      <c r="W544" s="3" t="str">
        <f>IF(_xlfn.XLOOKUP($U544,GCA!$H$3:$H$593,GCA!F$3:F$593,"",0,1)="","",_xlfn.XLOOKUP($U544,GCA!$H$3:$H$593,GCA!F$3:F$593,"",0,1))</f>
        <v/>
      </c>
      <c r="X544" s="3" t="str">
        <f>IF(_xlfn.XLOOKUP($U544,GCA!$H$3:$H$593,GCA!G$3:G$593,"",0,1)="","",_xlfn.XLOOKUP($U544,GCA!$H$3:$H$593,GCA!G$3:G$593,"",0,1))</f>
        <v/>
      </c>
    </row>
    <row r="545" spans="1:24" ht="13.2">
      <c r="A545" s="49"/>
      <c r="B545" s="49"/>
      <c r="C545" s="48" t="s">
        <v>245</v>
      </c>
      <c r="D545" s="49" t="s">
        <v>557</v>
      </c>
      <c r="E545" s="50">
        <v>1</v>
      </c>
      <c r="F545" s="26" t="s">
        <v>932</v>
      </c>
      <c r="G545" s="26" t="s">
        <v>932</v>
      </c>
      <c r="H545" s="27">
        <f t="shared" ref="H545:H561" si="721">V545</f>
        <v>8655.1849999999995</v>
      </c>
      <c r="I545" s="27">
        <f t="shared" ref="I545:I561" si="722">W545</f>
        <v>6438.3549999999996</v>
      </c>
      <c r="J545" s="27">
        <f t="shared" ref="J545:J561" si="723">X545</f>
        <v>8488.1200000000008</v>
      </c>
      <c r="K545" s="27">
        <f t="shared" ref="K545:K561" si="724">IFERROR(AVERAGE(H545:J545),"")</f>
        <v>7860.5533333333333</v>
      </c>
      <c r="L545" s="65">
        <f>SUM(K545:K561)</f>
        <v>74322.701000000001</v>
      </c>
      <c r="M545" s="67">
        <f t="shared" ref="M545:M561" si="725">L545*$L$643/$L$642</f>
        <v>3.1196236903474137</v>
      </c>
      <c r="N545" s="65">
        <f t="shared" si="639"/>
        <v>3</v>
      </c>
      <c r="O545" s="65">
        <f t="shared" ref="O545:P545" si="726">N545</f>
        <v>3</v>
      </c>
      <c r="P545" s="65">
        <f t="shared" si="726"/>
        <v>3</v>
      </c>
      <c r="Q545" s="38"/>
      <c r="R545" s="3" t="str">
        <f t="shared" si="657"/>
        <v>Tirunelveli</v>
      </c>
      <c r="S545" s="3" t="str">
        <f t="shared" si="642"/>
        <v>Ambasamudram</v>
      </c>
      <c r="T545" s="3" t="str">
        <f t="shared" si="643"/>
        <v>Ambasamudram</v>
      </c>
      <c r="U545" s="3" t="str">
        <f t="shared" si="644"/>
        <v>Tirunelveli_Ambasamudram_Ambasamudram</v>
      </c>
      <c r="V545" s="3">
        <f>IF(_xlfn.XLOOKUP($U545,GCA!$H$3:$H$593,GCA!E$3:E$593,"",0,1)="","",_xlfn.XLOOKUP($U545,GCA!$H$3:$H$593,GCA!E$3:E$593,"",0,1))</f>
        <v>8655.1849999999995</v>
      </c>
      <c r="W545" s="3">
        <f>IF(_xlfn.XLOOKUP($U545,GCA!$H$3:$H$593,GCA!F$3:F$593,"",0,1)="","",_xlfn.XLOOKUP($U545,GCA!$H$3:$H$593,GCA!F$3:F$593,"",0,1))</f>
        <v>6438.3549999999996</v>
      </c>
      <c r="X545" s="3">
        <f>IF(_xlfn.XLOOKUP($U545,GCA!$H$3:$H$593,GCA!G$3:G$593,"",0,1)="","",_xlfn.XLOOKUP($U545,GCA!$H$3:$H$593,GCA!G$3:G$593,"",0,1))</f>
        <v>8488.1200000000008</v>
      </c>
    </row>
    <row r="546" spans="1:24" ht="13.2">
      <c r="A546" s="49"/>
      <c r="B546" s="49"/>
      <c r="C546" s="48"/>
      <c r="D546" s="49"/>
      <c r="E546" s="50"/>
      <c r="F546" s="26" t="s">
        <v>932</v>
      </c>
      <c r="G546" s="26" t="s">
        <v>933</v>
      </c>
      <c r="H546" s="27">
        <f t="shared" si="721"/>
        <v>1739.2249999999999</v>
      </c>
      <c r="I546" s="27">
        <f t="shared" si="722"/>
        <v>1279.3050000000001</v>
      </c>
      <c r="J546" s="27">
        <f t="shared" si="723"/>
        <v>1670.4449999999999</v>
      </c>
      <c r="K546" s="27">
        <f t="shared" si="724"/>
        <v>1562.9916666666666</v>
      </c>
      <c r="L546" s="65"/>
      <c r="M546" s="67">
        <f t="shared" si="725"/>
        <v>0</v>
      </c>
      <c r="N546" s="65" t="str">
        <f t="shared" ref="N546:N596" si="727">IF(M546&gt;=2, ROUND(M546,0), IF(M546&gt;1.1,2,""))</f>
        <v/>
      </c>
      <c r="O546" s="65" t="str">
        <f t="shared" ref="O546:P546" si="728">N546</f>
        <v/>
      </c>
      <c r="P546" s="65" t="str">
        <f t="shared" si="728"/>
        <v/>
      </c>
      <c r="Q546" s="38"/>
      <c r="R546" s="3" t="str">
        <f t="shared" ref="R546:R562" si="729">R545</f>
        <v>Tirunelveli</v>
      </c>
      <c r="S546" s="3" t="str">
        <f t="shared" si="642"/>
        <v>Ambasamudram</v>
      </c>
      <c r="T546" s="3" t="str">
        <f t="shared" si="643"/>
        <v>Cheranmahadevi</v>
      </c>
      <c r="U546" s="3" t="str">
        <f t="shared" si="644"/>
        <v>Tirunelveli_Ambasamudram_Cheranmahadevi</v>
      </c>
      <c r="V546" s="3">
        <f>IF(_xlfn.XLOOKUP($U546,GCA!$H$3:$H$593,GCA!E$3:E$593,"",0,1)="","",_xlfn.XLOOKUP($U546,GCA!$H$3:$H$593,GCA!E$3:E$593,"",0,1))</f>
        <v>1739.2249999999999</v>
      </c>
      <c r="W546" s="3">
        <f>IF(_xlfn.XLOOKUP($U546,GCA!$H$3:$H$593,GCA!F$3:F$593,"",0,1)="","",_xlfn.XLOOKUP($U546,GCA!$H$3:$H$593,GCA!F$3:F$593,"",0,1))</f>
        <v>1279.3050000000001</v>
      </c>
      <c r="X546" s="3">
        <f>IF(_xlfn.XLOOKUP($U546,GCA!$H$3:$H$593,GCA!G$3:G$593,"",0,1)="","",_xlfn.XLOOKUP($U546,GCA!$H$3:$H$593,GCA!G$3:G$593,"",0,1))</f>
        <v>1670.4449999999999</v>
      </c>
    </row>
    <row r="547" spans="1:24" ht="13.2">
      <c r="A547" s="49"/>
      <c r="B547" s="49"/>
      <c r="C547" s="48"/>
      <c r="D547" s="49"/>
      <c r="E547" s="50"/>
      <c r="F547" s="26" t="s">
        <v>932</v>
      </c>
      <c r="G547" s="26" t="s">
        <v>934</v>
      </c>
      <c r="H547" s="27">
        <f t="shared" si="721"/>
        <v>1286.5650000000001</v>
      </c>
      <c r="I547" s="27">
        <f t="shared" si="722"/>
        <v>1406.4649999999999</v>
      </c>
      <c r="J547" s="27">
        <f t="shared" si="723"/>
        <v>1344.43</v>
      </c>
      <c r="K547" s="27">
        <f t="shared" si="724"/>
        <v>1345.82</v>
      </c>
      <c r="L547" s="65"/>
      <c r="M547" s="67">
        <f t="shared" si="725"/>
        <v>0</v>
      </c>
      <c r="N547" s="65" t="str">
        <f t="shared" si="727"/>
        <v/>
      </c>
      <c r="O547" s="65" t="str">
        <f t="shared" ref="O547:P547" si="730">N547</f>
        <v/>
      </c>
      <c r="P547" s="65" t="str">
        <f t="shared" si="730"/>
        <v/>
      </c>
      <c r="Q547" s="38"/>
      <c r="R547" s="3" t="str">
        <f t="shared" si="729"/>
        <v>Tirunelveli</v>
      </c>
      <c r="S547" s="3" t="str">
        <f t="shared" ref="S547:S598" si="731">F547</f>
        <v>Ambasamudram</v>
      </c>
      <c r="T547" s="3" t="str">
        <f t="shared" ref="T547:T598" si="732">G547</f>
        <v>Pappakudi</v>
      </c>
      <c r="U547" s="3" t="str">
        <f t="shared" ref="U547:U598" si="733">CONCATENATE(R547,"_",S547,"_",T547)</f>
        <v>Tirunelveli_Ambasamudram_Pappakudi</v>
      </c>
      <c r="V547" s="3">
        <f>IF(_xlfn.XLOOKUP($U547,GCA!$H$3:$H$593,GCA!E$3:E$593,"",0,1)="","",_xlfn.XLOOKUP($U547,GCA!$H$3:$H$593,GCA!E$3:E$593,"",0,1))</f>
        <v>1286.5650000000001</v>
      </c>
      <c r="W547" s="3">
        <f>IF(_xlfn.XLOOKUP($U547,GCA!$H$3:$H$593,GCA!F$3:F$593,"",0,1)="","",_xlfn.XLOOKUP($U547,GCA!$H$3:$H$593,GCA!F$3:F$593,"",0,1))</f>
        <v>1406.4649999999999</v>
      </c>
      <c r="X547" s="3">
        <f>IF(_xlfn.XLOOKUP($U547,GCA!$H$3:$H$593,GCA!G$3:G$593,"",0,1)="","",_xlfn.XLOOKUP($U547,GCA!$H$3:$H$593,GCA!G$3:G$593,"",0,1))</f>
        <v>1344.43</v>
      </c>
    </row>
    <row r="548" spans="1:24" ht="13.2">
      <c r="A548" s="49"/>
      <c r="B548" s="49"/>
      <c r="C548" s="48"/>
      <c r="D548" s="49"/>
      <c r="E548" s="50"/>
      <c r="F548" s="26" t="s">
        <v>933</v>
      </c>
      <c r="G548" s="26" t="s">
        <v>933</v>
      </c>
      <c r="H548" s="27">
        <f t="shared" si="721"/>
        <v>8335.75</v>
      </c>
      <c r="I548" s="27">
        <f t="shared" si="722"/>
        <v>6737.7349999999997</v>
      </c>
      <c r="J548" s="27">
        <f t="shared" si="723"/>
        <v>7464.67</v>
      </c>
      <c r="K548" s="27">
        <f t="shared" si="724"/>
        <v>7512.7183333333332</v>
      </c>
      <c r="L548" s="65"/>
      <c r="M548" s="67">
        <f t="shared" si="725"/>
        <v>0</v>
      </c>
      <c r="N548" s="65" t="str">
        <f t="shared" si="727"/>
        <v/>
      </c>
      <c r="O548" s="65" t="str">
        <f t="shared" ref="O548:P548" si="734">N548</f>
        <v/>
      </c>
      <c r="P548" s="65" t="str">
        <f t="shared" si="734"/>
        <v/>
      </c>
      <c r="Q548" s="38"/>
      <c r="R548" s="3" t="str">
        <f t="shared" si="729"/>
        <v>Tirunelveli</v>
      </c>
      <c r="S548" s="3" t="str">
        <f t="shared" si="731"/>
        <v>Cheranmahadevi</v>
      </c>
      <c r="T548" s="3" t="str">
        <f t="shared" si="732"/>
        <v>Cheranmahadevi</v>
      </c>
      <c r="U548" s="3" t="str">
        <f t="shared" si="733"/>
        <v>Tirunelveli_Cheranmahadevi_Cheranmahadevi</v>
      </c>
      <c r="V548" s="3">
        <f>IF(_xlfn.XLOOKUP($U548,GCA!$H$3:$H$593,GCA!E$3:E$593,"",0,1)="","",_xlfn.XLOOKUP($U548,GCA!$H$3:$H$593,GCA!E$3:E$593,"",0,1))</f>
        <v>8335.75</v>
      </c>
      <c r="W548" s="3">
        <f>IF(_xlfn.XLOOKUP($U548,GCA!$H$3:$H$593,GCA!F$3:F$593,"",0,1)="","",_xlfn.XLOOKUP($U548,GCA!$H$3:$H$593,GCA!F$3:F$593,"",0,1))</f>
        <v>6737.7349999999997</v>
      </c>
      <c r="X548" s="3">
        <f>IF(_xlfn.XLOOKUP($U548,GCA!$H$3:$H$593,GCA!G$3:G$593,"",0,1)="","",_xlfn.XLOOKUP($U548,GCA!$H$3:$H$593,GCA!G$3:G$593,"",0,1))</f>
        <v>7464.67</v>
      </c>
    </row>
    <row r="549" spans="1:24" ht="13.2">
      <c r="A549" s="49"/>
      <c r="B549" s="49"/>
      <c r="C549" s="48"/>
      <c r="D549" s="49"/>
      <c r="E549" s="50"/>
      <c r="F549" s="26" t="s">
        <v>933</v>
      </c>
      <c r="G549" s="26" t="s">
        <v>934</v>
      </c>
      <c r="H549" s="27">
        <f t="shared" si="721"/>
        <v>3314.085</v>
      </c>
      <c r="I549" s="27">
        <f t="shared" si="722"/>
        <v>3301.24</v>
      </c>
      <c r="J549" s="27">
        <f t="shared" si="723"/>
        <v>3211.55</v>
      </c>
      <c r="K549" s="27">
        <f t="shared" si="724"/>
        <v>3275.625</v>
      </c>
      <c r="L549" s="65"/>
      <c r="M549" s="67">
        <f t="shared" si="725"/>
        <v>0</v>
      </c>
      <c r="N549" s="65" t="str">
        <f t="shared" si="727"/>
        <v/>
      </c>
      <c r="O549" s="65" t="str">
        <f t="shared" ref="O549:P549" si="735">N549</f>
        <v/>
      </c>
      <c r="P549" s="65" t="str">
        <f t="shared" si="735"/>
        <v/>
      </c>
      <c r="Q549" s="38"/>
      <c r="R549" s="3" t="str">
        <f t="shared" si="729"/>
        <v>Tirunelveli</v>
      </c>
      <c r="S549" s="3" t="str">
        <f t="shared" si="731"/>
        <v>Cheranmahadevi</v>
      </c>
      <c r="T549" s="3" t="str">
        <f t="shared" si="732"/>
        <v>Pappakudi</v>
      </c>
      <c r="U549" s="3" t="str">
        <f t="shared" si="733"/>
        <v>Tirunelveli_Cheranmahadevi_Pappakudi</v>
      </c>
      <c r="V549" s="3">
        <f>IF(_xlfn.XLOOKUP($U549,GCA!$H$3:$H$593,GCA!E$3:E$593,"",0,1)="","",_xlfn.XLOOKUP($U549,GCA!$H$3:$H$593,GCA!E$3:E$593,"",0,1))</f>
        <v>3314.085</v>
      </c>
      <c r="W549" s="3">
        <f>IF(_xlfn.XLOOKUP($U549,GCA!$H$3:$H$593,GCA!F$3:F$593,"",0,1)="","",_xlfn.XLOOKUP($U549,GCA!$H$3:$H$593,GCA!F$3:F$593,"",0,1))</f>
        <v>3301.24</v>
      </c>
      <c r="X549" s="3">
        <f>IF(_xlfn.XLOOKUP($U549,GCA!$H$3:$H$593,GCA!G$3:G$593,"",0,1)="","",_xlfn.XLOOKUP($U549,GCA!$H$3:$H$593,GCA!G$3:G$593,"",0,1))</f>
        <v>3211.55</v>
      </c>
    </row>
    <row r="550" spans="1:24" ht="13.2">
      <c r="A550" s="49"/>
      <c r="B550" s="49"/>
      <c r="C550" s="48"/>
      <c r="D550" s="49"/>
      <c r="E550" s="50"/>
      <c r="F550" s="26" t="s">
        <v>935</v>
      </c>
      <c r="G550" s="26" t="s">
        <v>935</v>
      </c>
      <c r="H550" s="27">
        <f t="shared" si="721"/>
        <v>13160.209000000001</v>
      </c>
      <c r="I550" s="27">
        <f t="shared" si="722"/>
        <v>12528.32</v>
      </c>
      <c r="J550" s="27">
        <f t="shared" si="723"/>
        <v>10784.948</v>
      </c>
      <c r="K550" s="27">
        <f t="shared" si="724"/>
        <v>12157.825666666666</v>
      </c>
      <c r="L550" s="65"/>
      <c r="M550" s="67">
        <f t="shared" si="725"/>
        <v>0</v>
      </c>
      <c r="N550" s="65" t="str">
        <f t="shared" si="727"/>
        <v/>
      </c>
      <c r="O550" s="65" t="str">
        <f t="shared" ref="O550:P550" si="736">N550</f>
        <v/>
      </c>
      <c r="P550" s="65" t="str">
        <f t="shared" si="736"/>
        <v/>
      </c>
      <c r="Q550" s="38"/>
      <c r="R550" s="3" t="str">
        <f t="shared" si="729"/>
        <v>Tirunelveli</v>
      </c>
      <c r="S550" s="3" t="str">
        <f t="shared" si="731"/>
        <v>Manur</v>
      </c>
      <c r="T550" s="3" t="str">
        <f t="shared" si="732"/>
        <v>Manur</v>
      </c>
      <c r="U550" s="3" t="str">
        <f t="shared" si="733"/>
        <v>Tirunelveli_Manur_Manur</v>
      </c>
      <c r="V550" s="3">
        <f>IF(_xlfn.XLOOKUP($U550,GCA!$H$3:$H$593,GCA!E$3:E$593,"",0,1)="","",_xlfn.XLOOKUP($U550,GCA!$H$3:$H$593,GCA!E$3:E$593,"",0,1))</f>
        <v>13160.209000000001</v>
      </c>
      <c r="W550" s="3">
        <f>IF(_xlfn.XLOOKUP($U550,GCA!$H$3:$H$593,GCA!F$3:F$593,"",0,1)="","",_xlfn.XLOOKUP($U550,GCA!$H$3:$H$593,GCA!F$3:F$593,"",0,1))</f>
        <v>12528.32</v>
      </c>
      <c r="X550" s="3">
        <f>IF(_xlfn.XLOOKUP($U550,GCA!$H$3:$H$593,GCA!G$3:G$593,"",0,1)="","",_xlfn.XLOOKUP($U550,GCA!$H$3:$H$593,GCA!G$3:G$593,"",0,1))</f>
        <v>10784.948</v>
      </c>
    </row>
    <row r="551" spans="1:24" ht="13.2">
      <c r="A551" s="49"/>
      <c r="B551" s="49"/>
      <c r="C551" s="48"/>
      <c r="D551" s="49"/>
      <c r="E551" s="50"/>
      <c r="F551" s="26" t="s">
        <v>936</v>
      </c>
      <c r="G551" s="26" t="s">
        <v>937</v>
      </c>
      <c r="H551" s="27">
        <f t="shared" si="721"/>
        <v>8527.8850000000002</v>
      </c>
      <c r="I551" s="27">
        <f t="shared" si="722"/>
        <v>7905.3770000000004</v>
      </c>
      <c r="J551" s="27">
        <f t="shared" si="723"/>
        <v>7409.55</v>
      </c>
      <c r="K551" s="27">
        <f t="shared" si="724"/>
        <v>7947.6040000000003</v>
      </c>
      <c r="L551" s="65"/>
      <c r="M551" s="67">
        <f t="shared" si="725"/>
        <v>0</v>
      </c>
      <c r="N551" s="65" t="str">
        <f t="shared" si="727"/>
        <v/>
      </c>
      <c r="O551" s="65" t="str">
        <f t="shared" ref="O551:P551" si="737">N551</f>
        <v/>
      </c>
      <c r="P551" s="65" t="str">
        <f t="shared" si="737"/>
        <v/>
      </c>
      <c r="Q551" s="38"/>
      <c r="R551" s="3" t="str">
        <f t="shared" si="729"/>
        <v>Tirunelveli</v>
      </c>
      <c r="S551" s="3" t="str">
        <f t="shared" si="731"/>
        <v>Nanguneri</v>
      </c>
      <c r="T551" s="3" t="str">
        <f t="shared" si="732"/>
        <v>Kalakad</v>
      </c>
      <c r="U551" s="3" t="str">
        <f t="shared" si="733"/>
        <v>Tirunelveli_Nanguneri_Kalakad</v>
      </c>
      <c r="V551" s="3">
        <f>IF(_xlfn.XLOOKUP($U551,GCA!$H$3:$H$593,GCA!E$3:E$593,"",0,1)="","",_xlfn.XLOOKUP($U551,GCA!$H$3:$H$593,GCA!E$3:E$593,"",0,1))</f>
        <v>8527.8850000000002</v>
      </c>
      <c r="W551" s="3">
        <f>IF(_xlfn.XLOOKUP($U551,GCA!$H$3:$H$593,GCA!F$3:F$593,"",0,1)="","",_xlfn.XLOOKUP($U551,GCA!$H$3:$H$593,GCA!F$3:F$593,"",0,1))</f>
        <v>7905.3770000000004</v>
      </c>
      <c r="X551" s="3">
        <f>IF(_xlfn.XLOOKUP($U551,GCA!$H$3:$H$593,GCA!G$3:G$593,"",0,1)="","",_xlfn.XLOOKUP($U551,GCA!$H$3:$H$593,GCA!G$3:G$593,"",0,1))</f>
        <v>7409.55</v>
      </c>
    </row>
    <row r="552" spans="1:24" ht="13.2">
      <c r="A552" s="49"/>
      <c r="B552" s="49"/>
      <c r="C552" s="48"/>
      <c r="D552" s="49"/>
      <c r="E552" s="50"/>
      <c r="F552" s="26" t="s">
        <v>936</v>
      </c>
      <c r="G552" s="26" t="s">
        <v>936</v>
      </c>
      <c r="H552" s="27">
        <f t="shared" si="721"/>
        <v>6275.6</v>
      </c>
      <c r="I552" s="27">
        <f t="shared" si="722"/>
        <v>7339.5349999999999</v>
      </c>
      <c r="J552" s="27">
        <f t="shared" si="723"/>
        <v>5114.2640000000001</v>
      </c>
      <c r="K552" s="27">
        <f t="shared" si="724"/>
        <v>6243.1330000000007</v>
      </c>
      <c r="L552" s="65"/>
      <c r="M552" s="67">
        <f t="shared" si="725"/>
        <v>0</v>
      </c>
      <c r="N552" s="65" t="str">
        <f t="shared" si="727"/>
        <v/>
      </c>
      <c r="O552" s="65" t="str">
        <f t="shared" ref="O552:P552" si="738">N552</f>
        <v/>
      </c>
      <c r="P552" s="65" t="str">
        <f t="shared" si="738"/>
        <v/>
      </c>
      <c r="Q552" s="38"/>
      <c r="R552" s="3" t="str">
        <f t="shared" si="729"/>
        <v>Tirunelveli</v>
      </c>
      <c r="S552" s="3" t="str">
        <f t="shared" si="731"/>
        <v>Nanguneri</v>
      </c>
      <c r="T552" s="3" t="str">
        <f t="shared" si="732"/>
        <v>Nanguneri</v>
      </c>
      <c r="U552" s="3" t="str">
        <f t="shared" si="733"/>
        <v>Tirunelveli_Nanguneri_Nanguneri</v>
      </c>
      <c r="V552" s="3">
        <f>IF(_xlfn.XLOOKUP($U552,GCA!$H$3:$H$593,GCA!E$3:E$593,"",0,1)="","",_xlfn.XLOOKUP($U552,GCA!$H$3:$H$593,GCA!E$3:E$593,"",0,1))</f>
        <v>6275.6</v>
      </c>
      <c r="W552" s="3">
        <f>IF(_xlfn.XLOOKUP($U552,GCA!$H$3:$H$593,GCA!F$3:F$593,"",0,1)="","",_xlfn.XLOOKUP($U552,GCA!$H$3:$H$593,GCA!F$3:F$593,"",0,1))</f>
        <v>7339.5349999999999</v>
      </c>
      <c r="X552" s="3">
        <f>IF(_xlfn.XLOOKUP($U552,GCA!$H$3:$H$593,GCA!G$3:G$593,"",0,1)="","",_xlfn.XLOOKUP($U552,GCA!$H$3:$H$593,GCA!G$3:G$593,"",0,1))</f>
        <v>5114.2640000000001</v>
      </c>
    </row>
    <row r="553" spans="1:24" ht="13.2">
      <c r="A553" s="49"/>
      <c r="B553" s="49"/>
      <c r="C553" s="48"/>
      <c r="D553" s="49"/>
      <c r="E553" s="50"/>
      <c r="F553" s="26" t="s">
        <v>938</v>
      </c>
      <c r="G553" s="26" t="s">
        <v>938</v>
      </c>
      <c r="H553" s="27">
        <f t="shared" si="721"/>
        <v>7389.14</v>
      </c>
      <c r="I553" s="27">
        <f t="shared" si="722"/>
        <v>6735.2920000000004</v>
      </c>
      <c r="J553" s="27">
        <f t="shared" si="723"/>
        <v>5343.9430000000002</v>
      </c>
      <c r="K553" s="27">
        <f t="shared" si="724"/>
        <v>6489.458333333333</v>
      </c>
      <c r="L553" s="65"/>
      <c r="M553" s="67">
        <f t="shared" si="725"/>
        <v>0</v>
      </c>
      <c r="N553" s="65" t="str">
        <f t="shared" si="727"/>
        <v/>
      </c>
      <c r="O553" s="65" t="str">
        <f t="shared" ref="O553:P553" si="739">N553</f>
        <v/>
      </c>
      <c r="P553" s="65" t="str">
        <f t="shared" si="739"/>
        <v/>
      </c>
      <c r="Q553" s="38"/>
      <c r="R553" s="3" t="str">
        <f t="shared" si="729"/>
        <v>Tirunelveli</v>
      </c>
      <c r="S553" s="3" t="str">
        <f t="shared" si="731"/>
        <v>Palayamkottai</v>
      </c>
      <c r="T553" s="3" t="str">
        <f t="shared" si="732"/>
        <v>Palayamkottai</v>
      </c>
      <c r="U553" s="3" t="str">
        <f t="shared" si="733"/>
        <v>Tirunelveli_Palayamkottai_Palayamkottai</v>
      </c>
      <c r="V553" s="3">
        <f>IF(_xlfn.XLOOKUP($U553,GCA!$H$3:$H$593,GCA!E$3:E$593,"",0,1)="","",_xlfn.XLOOKUP($U553,GCA!$H$3:$H$593,GCA!E$3:E$593,"",0,1))</f>
        <v>7389.14</v>
      </c>
      <c r="W553" s="3">
        <f>IF(_xlfn.XLOOKUP($U553,GCA!$H$3:$H$593,GCA!F$3:F$593,"",0,1)="","",_xlfn.XLOOKUP($U553,GCA!$H$3:$H$593,GCA!F$3:F$593,"",0,1))</f>
        <v>6735.2920000000004</v>
      </c>
      <c r="X553" s="3">
        <f>IF(_xlfn.XLOOKUP($U553,GCA!$H$3:$H$593,GCA!G$3:G$593,"",0,1)="","",_xlfn.XLOOKUP($U553,GCA!$H$3:$H$593,GCA!G$3:G$593,"",0,1))</f>
        <v>5343.9430000000002</v>
      </c>
    </row>
    <row r="554" spans="1:24" ht="13.2">
      <c r="A554" s="49"/>
      <c r="B554" s="49"/>
      <c r="C554" s="48"/>
      <c r="D554" s="49"/>
      <c r="E554" s="50"/>
      <c r="F554" s="26" t="s">
        <v>939</v>
      </c>
      <c r="G554" s="26" t="s">
        <v>939</v>
      </c>
      <c r="H554" s="27">
        <f t="shared" si="721"/>
        <v>1608.66</v>
      </c>
      <c r="I554" s="27">
        <f t="shared" si="722"/>
        <v>1865.02</v>
      </c>
      <c r="J554" s="27">
        <f t="shared" si="723"/>
        <v>1714.54</v>
      </c>
      <c r="K554" s="27">
        <f t="shared" si="724"/>
        <v>1729.4066666666668</v>
      </c>
      <c r="L554" s="65"/>
      <c r="M554" s="67">
        <f t="shared" si="725"/>
        <v>0</v>
      </c>
      <c r="N554" s="65" t="str">
        <f t="shared" si="727"/>
        <v/>
      </c>
      <c r="O554" s="65" t="str">
        <f t="shared" ref="O554:P554" si="740">N554</f>
        <v/>
      </c>
      <c r="P554" s="65" t="str">
        <f t="shared" si="740"/>
        <v/>
      </c>
      <c r="Q554" s="38"/>
      <c r="R554" s="3" t="str">
        <f t="shared" si="729"/>
        <v>Tirunelveli</v>
      </c>
      <c r="S554" s="3" t="str">
        <f t="shared" si="731"/>
        <v>Radhapuram</v>
      </c>
      <c r="T554" s="3" t="str">
        <f t="shared" si="732"/>
        <v>Radhapuram</v>
      </c>
      <c r="U554" s="3" t="str">
        <f t="shared" si="733"/>
        <v>Tirunelveli_Radhapuram_Radhapuram</v>
      </c>
      <c r="V554" s="3">
        <f>IF(_xlfn.XLOOKUP($U554,GCA!$H$3:$H$593,GCA!E$3:E$593,"",0,1)="","",_xlfn.XLOOKUP($U554,GCA!$H$3:$H$593,GCA!E$3:E$593,"",0,1))</f>
        <v>1608.66</v>
      </c>
      <c r="W554" s="3">
        <f>IF(_xlfn.XLOOKUP($U554,GCA!$H$3:$H$593,GCA!F$3:F$593,"",0,1)="","",_xlfn.XLOOKUP($U554,GCA!$H$3:$H$593,GCA!F$3:F$593,"",0,1))</f>
        <v>1865.02</v>
      </c>
      <c r="X554" s="3">
        <f>IF(_xlfn.XLOOKUP($U554,GCA!$H$3:$H$593,GCA!G$3:G$593,"",0,1)="","",_xlfn.XLOOKUP($U554,GCA!$H$3:$H$593,GCA!G$3:G$593,"",0,1))</f>
        <v>1714.54</v>
      </c>
    </row>
    <row r="555" spans="1:24" ht="13.2">
      <c r="A555" s="49"/>
      <c r="B555" s="49"/>
      <c r="C555" s="48"/>
      <c r="D555" s="49"/>
      <c r="E555" s="50"/>
      <c r="F555" s="26" t="s">
        <v>939</v>
      </c>
      <c r="G555" s="26" t="s">
        <v>940</v>
      </c>
      <c r="H555" s="27">
        <f t="shared" si="721"/>
        <v>4903.3779999999997</v>
      </c>
      <c r="I555" s="27">
        <f t="shared" si="722"/>
        <v>5083.0559999999996</v>
      </c>
      <c r="J555" s="27">
        <f t="shared" si="723"/>
        <v>4898.5050000000001</v>
      </c>
      <c r="K555" s="27">
        <f t="shared" si="724"/>
        <v>4961.6463333333331</v>
      </c>
      <c r="L555" s="65"/>
      <c r="M555" s="67">
        <f t="shared" si="725"/>
        <v>0</v>
      </c>
      <c r="N555" s="65" t="str">
        <f t="shared" si="727"/>
        <v/>
      </c>
      <c r="O555" s="65" t="str">
        <f t="shared" ref="O555:P555" si="741">N555</f>
        <v/>
      </c>
      <c r="P555" s="65" t="str">
        <f t="shared" si="741"/>
        <v/>
      </c>
      <c r="Q555" s="38"/>
      <c r="R555" s="3" t="str">
        <f t="shared" si="729"/>
        <v>Tirunelveli</v>
      </c>
      <c r="S555" s="3" t="str">
        <f t="shared" si="731"/>
        <v>Radhapuram</v>
      </c>
      <c r="T555" s="3" t="str">
        <f t="shared" si="732"/>
        <v>Valliyoor</v>
      </c>
      <c r="U555" s="3" t="str">
        <f t="shared" si="733"/>
        <v>Tirunelveli_Radhapuram_Valliyoor</v>
      </c>
      <c r="V555" s="3">
        <f>IF(_xlfn.XLOOKUP($U555,GCA!$H$3:$H$593,GCA!E$3:E$593,"",0,1)="","",_xlfn.XLOOKUP($U555,GCA!$H$3:$H$593,GCA!E$3:E$593,"",0,1))</f>
        <v>4903.3779999999997</v>
      </c>
      <c r="W555" s="3">
        <f>IF(_xlfn.XLOOKUP($U555,GCA!$H$3:$H$593,GCA!F$3:F$593,"",0,1)="","",_xlfn.XLOOKUP($U555,GCA!$H$3:$H$593,GCA!F$3:F$593,"",0,1))</f>
        <v>5083.0559999999996</v>
      </c>
      <c r="X555" s="3">
        <f>IF(_xlfn.XLOOKUP($U555,GCA!$H$3:$H$593,GCA!G$3:G$593,"",0,1)="","",_xlfn.XLOOKUP($U555,GCA!$H$3:$H$593,GCA!G$3:G$593,"",0,1))</f>
        <v>4898.5050000000001</v>
      </c>
    </row>
    <row r="556" spans="1:24" ht="13.2">
      <c r="A556" s="49"/>
      <c r="B556" s="49"/>
      <c r="C556" s="48"/>
      <c r="D556" s="49"/>
      <c r="E556" s="50"/>
      <c r="F556" s="26" t="s">
        <v>562</v>
      </c>
      <c r="G556" s="26" t="s">
        <v>935</v>
      </c>
      <c r="H556" s="27">
        <f t="shared" si="721"/>
        <v>4864.5219999999999</v>
      </c>
      <c r="I556" s="27">
        <f t="shared" si="722"/>
        <v>4186.3850000000002</v>
      </c>
      <c r="J556" s="27">
        <f t="shared" si="723"/>
        <v>3470.5030000000002</v>
      </c>
      <c r="K556" s="27">
        <f t="shared" si="724"/>
        <v>4173.8033333333333</v>
      </c>
      <c r="L556" s="65"/>
      <c r="M556" s="67">
        <f t="shared" si="725"/>
        <v>0</v>
      </c>
      <c r="N556" s="65" t="str">
        <f t="shared" si="727"/>
        <v/>
      </c>
      <c r="O556" s="65" t="str">
        <f t="shared" ref="O556:P556" si="742">N556</f>
        <v/>
      </c>
      <c r="P556" s="65" t="str">
        <f t="shared" si="742"/>
        <v/>
      </c>
      <c r="Q556" s="38"/>
      <c r="R556" s="3" t="str">
        <f t="shared" si="729"/>
        <v>Tirunelveli</v>
      </c>
      <c r="S556" s="3" t="str">
        <f t="shared" si="731"/>
        <v>Thirunelveli</v>
      </c>
      <c r="T556" s="3" t="str">
        <f t="shared" si="732"/>
        <v>Manur</v>
      </c>
      <c r="U556" s="3" t="str">
        <f t="shared" si="733"/>
        <v>Tirunelveli_Thirunelveli_Manur</v>
      </c>
      <c r="V556" s="3">
        <f>IF(_xlfn.XLOOKUP($U556,GCA!$H$3:$H$593,GCA!E$3:E$593,"",0,1)="","",_xlfn.XLOOKUP($U556,GCA!$H$3:$H$593,GCA!E$3:E$593,"",0,1))</f>
        <v>4864.5219999999999</v>
      </c>
      <c r="W556" s="3">
        <f>IF(_xlfn.XLOOKUP($U556,GCA!$H$3:$H$593,GCA!F$3:F$593,"",0,1)="","",_xlfn.XLOOKUP($U556,GCA!$H$3:$H$593,GCA!F$3:F$593,"",0,1))</f>
        <v>4186.3850000000002</v>
      </c>
      <c r="X556" s="3">
        <f>IF(_xlfn.XLOOKUP($U556,GCA!$H$3:$H$593,GCA!G$3:G$593,"",0,1)="","",_xlfn.XLOOKUP($U556,GCA!$H$3:$H$593,GCA!G$3:G$593,"",0,1))</f>
        <v>3470.5030000000002</v>
      </c>
    </row>
    <row r="557" spans="1:24" ht="13.2">
      <c r="A557" s="49"/>
      <c r="B557" s="49"/>
      <c r="C557" s="48"/>
      <c r="D557" s="49"/>
      <c r="E557" s="50"/>
      <c r="F557" s="26" t="s">
        <v>562</v>
      </c>
      <c r="G557" s="26" t="s">
        <v>938</v>
      </c>
      <c r="H557" s="27">
        <f t="shared" si="721"/>
        <v>1290.4949999999999</v>
      </c>
      <c r="I557" s="27">
        <f t="shared" si="722"/>
        <v>1286.5260000000001</v>
      </c>
      <c r="J557" s="27">
        <f t="shared" si="723"/>
        <v>1133.68</v>
      </c>
      <c r="K557" s="27">
        <f t="shared" si="724"/>
        <v>1236.9003333333333</v>
      </c>
      <c r="L557" s="65"/>
      <c r="M557" s="67">
        <f t="shared" si="725"/>
        <v>0</v>
      </c>
      <c r="N557" s="65" t="str">
        <f t="shared" si="727"/>
        <v/>
      </c>
      <c r="O557" s="65" t="str">
        <f t="shared" ref="O557:P557" si="743">N557</f>
        <v/>
      </c>
      <c r="P557" s="65" t="str">
        <f t="shared" si="743"/>
        <v/>
      </c>
      <c r="Q557" s="38"/>
      <c r="R557" s="3" t="str">
        <f t="shared" si="729"/>
        <v>Tirunelveli</v>
      </c>
      <c r="S557" s="3" t="str">
        <f t="shared" si="731"/>
        <v>Thirunelveli</v>
      </c>
      <c r="T557" s="3" t="str">
        <f t="shared" si="732"/>
        <v>Palayamkottai</v>
      </c>
      <c r="U557" s="3" t="str">
        <f t="shared" si="733"/>
        <v>Tirunelveli_Thirunelveli_Palayamkottai</v>
      </c>
      <c r="V557" s="3">
        <f>IF(_xlfn.XLOOKUP($U557,GCA!$H$3:$H$593,GCA!E$3:E$593,"",0,1)="","",_xlfn.XLOOKUP($U557,GCA!$H$3:$H$593,GCA!E$3:E$593,"",0,1))</f>
        <v>1290.4949999999999</v>
      </c>
      <c r="W557" s="3">
        <f>IF(_xlfn.XLOOKUP($U557,GCA!$H$3:$H$593,GCA!F$3:F$593,"",0,1)="","",_xlfn.XLOOKUP($U557,GCA!$H$3:$H$593,GCA!F$3:F$593,"",0,1))</f>
        <v>1286.5260000000001</v>
      </c>
      <c r="X557" s="3">
        <f>IF(_xlfn.XLOOKUP($U557,GCA!$H$3:$H$593,GCA!G$3:G$593,"",0,1)="","",_xlfn.XLOOKUP($U557,GCA!$H$3:$H$593,GCA!G$3:G$593,"",0,1))</f>
        <v>1133.68</v>
      </c>
    </row>
    <row r="558" spans="1:24" ht="13.2">
      <c r="A558" s="49"/>
      <c r="B558" s="49"/>
      <c r="C558" s="48"/>
      <c r="D558" s="49"/>
      <c r="E558" s="50"/>
      <c r="F558" s="26" t="s">
        <v>562</v>
      </c>
      <c r="G558" s="26" t="s">
        <v>934</v>
      </c>
      <c r="H558" s="27">
        <f t="shared" si="721"/>
        <v>2279.42</v>
      </c>
      <c r="I558" s="27">
        <f t="shared" si="722"/>
        <v>1754.405</v>
      </c>
      <c r="J558" s="27">
        <f t="shared" si="723"/>
        <v>2175.2550000000001</v>
      </c>
      <c r="K558" s="27">
        <f t="shared" si="724"/>
        <v>2069.6933333333332</v>
      </c>
      <c r="L558" s="65"/>
      <c r="M558" s="67">
        <f t="shared" si="725"/>
        <v>0</v>
      </c>
      <c r="N558" s="65" t="str">
        <f t="shared" si="727"/>
        <v/>
      </c>
      <c r="O558" s="65" t="str">
        <f t="shared" ref="O558:P558" si="744">N558</f>
        <v/>
      </c>
      <c r="P558" s="65" t="str">
        <f t="shared" si="744"/>
        <v/>
      </c>
      <c r="Q558" s="38"/>
      <c r="R558" s="3" t="str">
        <f t="shared" si="729"/>
        <v>Tirunelveli</v>
      </c>
      <c r="S558" s="3" t="str">
        <f t="shared" si="731"/>
        <v>Thirunelveli</v>
      </c>
      <c r="T558" s="3" t="str">
        <f t="shared" si="732"/>
        <v>Pappakudi</v>
      </c>
      <c r="U558" s="3" t="str">
        <f t="shared" si="733"/>
        <v>Tirunelveli_Thirunelveli_Pappakudi</v>
      </c>
      <c r="V558" s="3">
        <f>IF(_xlfn.XLOOKUP($U558,GCA!$H$3:$H$593,GCA!E$3:E$593,"",0,1)="","",_xlfn.XLOOKUP($U558,GCA!$H$3:$H$593,GCA!E$3:E$593,"",0,1))</f>
        <v>2279.42</v>
      </c>
      <c r="W558" s="3">
        <f>IF(_xlfn.XLOOKUP($U558,GCA!$H$3:$H$593,GCA!F$3:F$593,"",0,1)="","",_xlfn.XLOOKUP($U558,GCA!$H$3:$H$593,GCA!F$3:F$593,"",0,1))</f>
        <v>1754.405</v>
      </c>
      <c r="X558" s="3">
        <f>IF(_xlfn.XLOOKUP($U558,GCA!$H$3:$H$593,GCA!G$3:G$593,"",0,1)="","",_xlfn.XLOOKUP($U558,GCA!$H$3:$H$593,GCA!G$3:G$593,"",0,1))</f>
        <v>2175.2550000000001</v>
      </c>
    </row>
    <row r="559" spans="1:24" ht="13.2">
      <c r="A559" s="49"/>
      <c r="B559" s="49"/>
      <c r="C559" s="48"/>
      <c r="D559" s="49"/>
      <c r="E559" s="50"/>
      <c r="F559" s="26" t="s">
        <v>941</v>
      </c>
      <c r="G559" s="26" t="s">
        <v>936</v>
      </c>
      <c r="H559" s="27">
        <f t="shared" si="721"/>
        <v>1462.7349999999999</v>
      </c>
      <c r="I559" s="27">
        <f t="shared" si="722"/>
        <v>1841.78</v>
      </c>
      <c r="J559" s="27">
        <f t="shared" si="723"/>
        <v>1779.655</v>
      </c>
      <c r="K559" s="27">
        <f t="shared" si="724"/>
        <v>1694.7233333333334</v>
      </c>
      <c r="L559" s="65"/>
      <c r="M559" s="67">
        <f t="shared" si="725"/>
        <v>0</v>
      </c>
      <c r="N559" s="65" t="str">
        <f t="shared" si="727"/>
        <v/>
      </c>
      <c r="O559" s="65" t="str">
        <f t="shared" ref="O559:P559" si="745">N559</f>
        <v/>
      </c>
      <c r="P559" s="65" t="str">
        <f t="shared" si="745"/>
        <v/>
      </c>
      <c r="Q559" s="38"/>
      <c r="R559" s="3" t="str">
        <f t="shared" si="729"/>
        <v>Tirunelveli</v>
      </c>
      <c r="S559" s="3" t="str">
        <f t="shared" si="731"/>
        <v>Tisayanvilai</v>
      </c>
      <c r="T559" s="3" t="str">
        <f t="shared" si="732"/>
        <v>Nanguneri</v>
      </c>
      <c r="U559" s="3" t="str">
        <f t="shared" si="733"/>
        <v>Tirunelveli_Tisayanvilai_Nanguneri</v>
      </c>
      <c r="V559" s="3">
        <f>IF(_xlfn.XLOOKUP($U559,GCA!$H$3:$H$593,GCA!E$3:E$593,"",0,1)="","",_xlfn.XLOOKUP($U559,GCA!$H$3:$H$593,GCA!E$3:E$593,"",0,1))</f>
        <v>1462.7349999999999</v>
      </c>
      <c r="W559" s="3">
        <f>IF(_xlfn.XLOOKUP($U559,GCA!$H$3:$H$593,GCA!F$3:F$593,"",0,1)="","",_xlfn.XLOOKUP($U559,GCA!$H$3:$H$593,GCA!F$3:F$593,"",0,1))</f>
        <v>1841.78</v>
      </c>
      <c r="X559" s="3">
        <f>IF(_xlfn.XLOOKUP($U559,GCA!$H$3:$H$593,GCA!G$3:G$593,"",0,1)="","",_xlfn.XLOOKUP($U559,GCA!$H$3:$H$593,GCA!G$3:G$593,"",0,1))</f>
        <v>1779.655</v>
      </c>
    </row>
    <row r="560" spans="1:24" ht="13.2">
      <c r="A560" s="49"/>
      <c r="B560" s="49"/>
      <c r="C560" s="48"/>
      <c r="D560" s="49"/>
      <c r="E560" s="50"/>
      <c r="F560" s="26" t="s">
        <v>941</v>
      </c>
      <c r="G560" s="26" t="s">
        <v>939</v>
      </c>
      <c r="H560" s="27">
        <f t="shared" si="721"/>
        <v>3549.085</v>
      </c>
      <c r="I560" s="27">
        <f t="shared" si="722"/>
        <v>3670.9549999999999</v>
      </c>
      <c r="J560" s="27">
        <f t="shared" si="723"/>
        <v>3348.4650000000001</v>
      </c>
      <c r="K560" s="27">
        <f t="shared" si="724"/>
        <v>3522.8350000000005</v>
      </c>
      <c r="L560" s="65"/>
      <c r="M560" s="67">
        <f t="shared" si="725"/>
        <v>0</v>
      </c>
      <c r="N560" s="65" t="str">
        <f t="shared" si="727"/>
        <v/>
      </c>
      <c r="O560" s="65" t="str">
        <f t="shared" ref="O560:P560" si="746">N560</f>
        <v/>
      </c>
      <c r="P560" s="65" t="str">
        <f t="shared" si="746"/>
        <v/>
      </c>
      <c r="Q560" s="38"/>
      <c r="R560" s="3" t="str">
        <f t="shared" si="729"/>
        <v>Tirunelveli</v>
      </c>
      <c r="S560" s="3" t="str">
        <f t="shared" si="731"/>
        <v>Tisayanvilai</v>
      </c>
      <c r="T560" s="3" t="str">
        <f t="shared" si="732"/>
        <v>Radhapuram</v>
      </c>
      <c r="U560" s="3" t="str">
        <f t="shared" si="733"/>
        <v>Tirunelveli_Tisayanvilai_Radhapuram</v>
      </c>
      <c r="V560" s="3">
        <f>IF(_xlfn.XLOOKUP($U560,GCA!$H$3:$H$593,GCA!E$3:E$593,"",0,1)="","",_xlfn.XLOOKUP($U560,GCA!$H$3:$H$593,GCA!E$3:E$593,"",0,1))</f>
        <v>3549.085</v>
      </c>
      <c r="W560" s="3">
        <f>IF(_xlfn.XLOOKUP($U560,GCA!$H$3:$H$593,GCA!F$3:F$593,"",0,1)="","",_xlfn.XLOOKUP($U560,GCA!$H$3:$H$593,GCA!F$3:F$593,"",0,1))</f>
        <v>3670.9549999999999</v>
      </c>
      <c r="X560" s="3">
        <f>IF(_xlfn.XLOOKUP($U560,GCA!$H$3:$H$593,GCA!G$3:G$593,"",0,1)="","",_xlfn.XLOOKUP($U560,GCA!$H$3:$H$593,GCA!G$3:G$593,"",0,1))</f>
        <v>3348.4650000000001</v>
      </c>
    </row>
    <row r="561" spans="1:24" ht="13.2">
      <c r="A561" s="49"/>
      <c r="B561" s="49"/>
      <c r="C561" s="48"/>
      <c r="D561" s="49"/>
      <c r="E561" s="50"/>
      <c r="F561" s="26" t="s">
        <v>941</v>
      </c>
      <c r="G561" s="26" t="s">
        <v>940</v>
      </c>
      <c r="H561" s="27">
        <f t="shared" si="721"/>
        <v>525.66</v>
      </c>
      <c r="I561" s="27">
        <f t="shared" si="722"/>
        <v>515.26499999999999</v>
      </c>
      <c r="J561" s="27">
        <f t="shared" si="723"/>
        <v>572.96500000000003</v>
      </c>
      <c r="K561" s="27">
        <f t="shared" si="724"/>
        <v>537.96333333333325</v>
      </c>
      <c r="L561" s="65"/>
      <c r="M561" s="67">
        <f t="shared" si="725"/>
        <v>0</v>
      </c>
      <c r="N561" s="65" t="str">
        <f t="shared" si="727"/>
        <v/>
      </c>
      <c r="O561" s="65" t="str">
        <f t="shared" ref="O561:P561" si="747">N561</f>
        <v/>
      </c>
      <c r="P561" s="65" t="str">
        <f t="shared" si="747"/>
        <v/>
      </c>
      <c r="Q561" s="38"/>
      <c r="R561" s="3" t="str">
        <f t="shared" si="729"/>
        <v>Tirunelveli</v>
      </c>
      <c r="S561" s="3" t="str">
        <f t="shared" si="731"/>
        <v>Tisayanvilai</v>
      </c>
      <c r="T561" s="3" t="str">
        <f t="shared" si="732"/>
        <v>Valliyoor</v>
      </c>
      <c r="U561" s="3" t="str">
        <f t="shared" si="733"/>
        <v>Tirunelveli_Tisayanvilai_Valliyoor</v>
      </c>
      <c r="V561" s="3">
        <f>IF(_xlfn.XLOOKUP($U561,GCA!$H$3:$H$593,GCA!E$3:E$593,"",0,1)="","",_xlfn.XLOOKUP($U561,GCA!$H$3:$H$593,GCA!E$3:E$593,"",0,1))</f>
        <v>525.66</v>
      </c>
      <c r="W561" s="3">
        <f>IF(_xlfn.XLOOKUP($U561,GCA!$H$3:$H$593,GCA!F$3:F$593,"",0,1)="","",_xlfn.XLOOKUP($U561,GCA!$H$3:$H$593,GCA!F$3:F$593,"",0,1))</f>
        <v>515.26499999999999</v>
      </c>
      <c r="X561" s="3">
        <f>IF(_xlfn.XLOOKUP($U561,GCA!$H$3:$H$593,GCA!G$3:G$593,"",0,1)="","",_xlfn.XLOOKUP($U561,GCA!$H$3:$H$593,GCA!G$3:G$593,"",0,1))</f>
        <v>572.96500000000003</v>
      </c>
    </row>
    <row r="562" spans="1:24" ht="13.2">
      <c r="A562" s="49"/>
      <c r="B562" s="49"/>
      <c r="C562" s="48"/>
      <c r="D562" s="49"/>
      <c r="E562" s="47" t="s">
        <v>564</v>
      </c>
      <c r="F562" s="47"/>
      <c r="G562" s="47"/>
      <c r="H562" s="29">
        <f t="shared" ref="H562:P562" si="748">SUM(H545:H561)</f>
        <v>79167.599000000002</v>
      </c>
      <c r="I562" s="29">
        <f t="shared" si="748"/>
        <v>73875.015999999989</v>
      </c>
      <c r="J562" s="29">
        <f t="shared" si="748"/>
        <v>69925.487999999998</v>
      </c>
      <c r="K562" s="29">
        <f t="shared" si="748"/>
        <v>74322.701000000001</v>
      </c>
      <c r="L562" s="29">
        <f t="shared" si="748"/>
        <v>74322.701000000001</v>
      </c>
      <c r="M562" s="30">
        <f t="shared" si="748"/>
        <v>3.1196236903474137</v>
      </c>
      <c r="N562" s="31">
        <f t="shared" si="748"/>
        <v>3</v>
      </c>
      <c r="O562" s="31">
        <f t="shared" si="748"/>
        <v>3</v>
      </c>
      <c r="P562" s="31">
        <f t="shared" si="748"/>
        <v>3</v>
      </c>
      <c r="Q562" s="38"/>
      <c r="R562" s="3" t="str">
        <f t="shared" si="729"/>
        <v>Tirunelveli</v>
      </c>
      <c r="S562" s="3">
        <f t="shared" si="731"/>
        <v>0</v>
      </c>
      <c r="T562" s="3">
        <f t="shared" si="732"/>
        <v>0</v>
      </c>
      <c r="U562" s="3" t="str">
        <f t="shared" si="733"/>
        <v>Tirunelveli_0_0</v>
      </c>
      <c r="V562" s="3" t="str">
        <f>IF(_xlfn.XLOOKUP($U562,GCA!$H$3:$H$593,GCA!E$3:E$593,"",0,1)="","",_xlfn.XLOOKUP($U562,GCA!$H$3:$H$593,GCA!E$3:E$593,"",0,1))</f>
        <v/>
      </c>
      <c r="W562" s="3" t="str">
        <f>IF(_xlfn.XLOOKUP($U562,GCA!$H$3:$H$593,GCA!F$3:F$593,"",0,1)="","",_xlfn.XLOOKUP($U562,GCA!$H$3:$H$593,GCA!F$3:F$593,"",0,1))</f>
        <v/>
      </c>
      <c r="X562" s="3" t="str">
        <f>IF(_xlfn.XLOOKUP($U562,GCA!$H$3:$H$593,GCA!G$3:G$593,"",0,1)="","",_xlfn.XLOOKUP($U562,GCA!$H$3:$H$593,GCA!G$3:G$593,"",0,1))</f>
        <v/>
      </c>
    </row>
    <row r="563" spans="1:24" ht="13.2">
      <c r="A563" s="49"/>
      <c r="B563" s="49"/>
      <c r="C563" s="48" t="s">
        <v>458</v>
      </c>
      <c r="D563" s="49" t="s">
        <v>558</v>
      </c>
      <c r="E563" s="50">
        <v>1</v>
      </c>
      <c r="F563" s="26" t="s">
        <v>942</v>
      </c>
      <c r="G563" s="26" t="s">
        <v>942</v>
      </c>
      <c r="H563" s="27">
        <f t="shared" ref="H563:H573" si="749">V563</f>
        <v>8646.6509999999998</v>
      </c>
      <c r="I563" s="27">
        <f t="shared" ref="I563:I573" si="750">W563</f>
        <v>8637.7099999999991</v>
      </c>
      <c r="J563" s="27">
        <f t="shared" ref="J563:J573" si="751">X563</f>
        <v>8635.6090000000004</v>
      </c>
      <c r="K563" s="27">
        <f t="shared" ref="K563:K573" si="752">IFERROR(AVERAGE(H563:J563),"")</f>
        <v>8639.99</v>
      </c>
      <c r="L563" s="65">
        <f>SUM(K563:K568)</f>
        <v>42801.267333333322</v>
      </c>
      <c r="M563" s="67">
        <f t="shared" ref="M563:M573" si="753">L563*$L$643/$L$642</f>
        <v>1.7965419145620058</v>
      </c>
      <c r="N563" s="65">
        <f t="shared" si="727"/>
        <v>2</v>
      </c>
      <c r="O563" s="65">
        <f t="shared" ref="O563:P563" si="754">N563</f>
        <v>2</v>
      </c>
      <c r="P563" s="65">
        <f t="shared" si="754"/>
        <v>2</v>
      </c>
      <c r="Q563" s="38"/>
      <c r="R563" s="3" t="str">
        <f t="shared" ref="R563:R598" si="755">C563</f>
        <v>Kanyakumari</v>
      </c>
      <c r="S563" s="3" t="str">
        <f t="shared" si="731"/>
        <v>Agastheeswaram</v>
      </c>
      <c r="T563" s="3" t="str">
        <f t="shared" si="732"/>
        <v>Agastheeswaram</v>
      </c>
      <c r="U563" s="3" t="str">
        <f t="shared" si="733"/>
        <v>Kanyakumari_Agastheeswaram_Agastheeswaram</v>
      </c>
      <c r="V563" s="3">
        <f>IF(_xlfn.XLOOKUP($U563,GCA!$H$3:$H$593,GCA!E$3:E$593,"",0,1)="","",_xlfn.XLOOKUP($U563,GCA!$H$3:$H$593,GCA!E$3:E$593,"",0,1))</f>
        <v>8646.6509999999998</v>
      </c>
      <c r="W563" s="3">
        <f>IF(_xlfn.XLOOKUP($U563,GCA!$H$3:$H$593,GCA!F$3:F$593,"",0,1)="","",_xlfn.XLOOKUP($U563,GCA!$H$3:$H$593,GCA!F$3:F$593,"",0,1))</f>
        <v>8637.7099999999991</v>
      </c>
      <c r="X563" s="3">
        <f>IF(_xlfn.XLOOKUP($U563,GCA!$H$3:$H$593,GCA!G$3:G$593,"",0,1)="","",_xlfn.XLOOKUP($U563,GCA!$H$3:$H$593,GCA!G$3:G$593,"",0,1))</f>
        <v>8635.6090000000004</v>
      </c>
    </row>
    <row r="564" spans="1:24" ht="13.2">
      <c r="A564" s="49"/>
      <c r="B564" s="49"/>
      <c r="C564" s="48"/>
      <c r="D564" s="49"/>
      <c r="E564" s="50"/>
      <c r="F564" s="26" t="s">
        <v>942</v>
      </c>
      <c r="G564" s="26" t="s">
        <v>943</v>
      </c>
      <c r="H564" s="27">
        <f t="shared" si="749"/>
        <v>8494.4419999999991</v>
      </c>
      <c r="I564" s="27">
        <f t="shared" si="750"/>
        <v>8490.4619999999995</v>
      </c>
      <c r="J564" s="27">
        <f t="shared" si="751"/>
        <v>8493.1810000000005</v>
      </c>
      <c r="K564" s="27">
        <f t="shared" si="752"/>
        <v>8492.6949999999997</v>
      </c>
      <c r="L564" s="65"/>
      <c r="M564" s="67">
        <f t="shared" si="753"/>
        <v>0</v>
      </c>
      <c r="N564" s="65" t="str">
        <f t="shared" si="727"/>
        <v/>
      </c>
      <c r="O564" s="65" t="str">
        <f t="shared" ref="O564:P564" si="756">N564</f>
        <v/>
      </c>
      <c r="P564" s="65" t="str">
        <f t="shared" si="756"/>
        <v/>
      </c>
      <c r="Q564" s="38"/>
      <c r="R564" s="3" t="str">
        <f t="shared" ref="R564:R574" si="757">R563</f>
        <v>Kanyakumari</v>
      </c>
      <c r="S564" s="3" t="str">
        <f t="shared" si="731"/>
        <v>Agastheeswaram</v>
      </c>
      <c r="T564" s="3" t="str">
        <f t="shared" si="732"/>
        <v>Rajakkamangalam</v>
      </c>
      <c r="U564" s="3" t="str">
        <f t="shared" si="733"/>
        <v>Kanyakumari_Agastheeswaram_Rajakkamangalam</v>
      </c>
      <c r="V564" s="3">
        <f>IF(_xlfn.XLOOKUP($U564,GCA!$H$3:$H$593,GCA!E$3:E$593,"",0,1)="","",_xlfn.XLOOKUP($U564,GCA!$H$3:$H$593,GCA!E$3:E$593,"",0,1))</f>
        <v>8494.4419999999991</v>
      </c>
      <c r="W564" s="3">
        <f>IF(_xlfn.XLOOKUP($U564,GCA!$H$3:$H$593,GCA!F$3:F$593,"",0,1)="","",_xlfn.XLOOKUP($U564,GCA!$H$3:$H$593,GCA!F$3:F$593,"",0,1))</f>
        <v>8490.4619999999995</v>
      </c>
      <c r="X564" s="3">
        <f>IF(_xlfn.XLOOKUP($U564,GCA!$H$3:$H$593,GCA!G$3:G$593,"",0,1)="","",_xlfn.XLOOKUP($U564,GCA!$H$3:$H$593,GCA!G$3:G$593,"",0,1))</f>
        <v>8493.1810000000005</v>
      </c>
    </row>
    <row r="565" spans="1:24" ht="13.2">
      <c r="A565" s="49"/>
      <c r="B565" s="49"/>
      <c r="C565" s="48"/>
      <c r="D565" s="49"/>
      <c r="E565" s="50"/>
      <c r="F565" s="26" t="s">
        <v>944</v>
      </c>
      <c r="G565" s="26" t="s">
        <v>945</v>
      </c>
      <c r="H565" s="27">
        <f t="shared" si="749"/>
        <v>7590.8739999999998</v>
      </c>
      <c r="I565" s="27">
        <f t="shared" si="750"/>
        <v>7427.1629999999996</v>
      </c>
      <c r="J565" s="27">
        <f t="shared" si="751"/>
        <v>7461.1589999999997</v>
      </c>
      <c r="K565" s="27">
        <f t="shared" si="752"/>
        <v>7493.065333333333</v>
      </c>
      <c r="L565" s="65"/>
      <c r="M565" s="67">
        <f t="shared" si="753"/>
        <v>0</v>
      </c>
      <c r="N565" s="65" t="str">
        <f t="shared" si="727"/>
        <v/>
      </c>
      <c r="O565" s="65" t="str">
        <f t="shared" ref="O565:P565" si="758">N565</f>
        <v/>
      </c>
      <c r="P565" s="65" t="str">
        <f t="shared" si="758"/>
        <v/>
      </c>
      <c r="Q565" s="38"/>
      <c r="R565" s="3" t="str">
        <f t="shared" si="757"/>
        <v>Kanyakumari</v>
      </c>
      <c r="S565" s="3" t="str">
        <f t="shared" si="731"/>
        <v>Kalkulam</v>
      </c>
      <c r="T565" s="3" t="str">
        <f t="shared" si="732"/>
        <v>Kurunthencode</v>
      </c>
      <c r="U565" s="3" t="str">
        <f t="shared" si="733"/>
        <v>Kanyakumari_Kalkulam_Kurunthencode</v>
      </c>
      <c r="V565" s="3">
        <f>IF(_xlfn.XLOOKUP($U565,GCA!$H$3:$H$593,GCA!E$3:E$593,"",0,1)="","",_xlfn.XLOOKUP($U565,GCA!$H$3:$H$593,GCA!E$3:E$593,"",0,1))</f>
        <v>7590.8739999999998</v>
      </c>
      <c r="W565" s="3">
        <f>IF(_xlfn.XLOOKUP($U565,GCA!$H$3:$H$593,GCA!F$3:F$593,"",0,1)="","",_xlfn.XLOOKUP($U565,GCA!$H$3:$H$593,GCA!F$3:F$593,"",0,1))</f>
        <v>7427.1629999999996</v>
      </c>
      <c r="X565" s="3">
        <f>IF(_xlfn.XLOOKUP($U565,GCA!$H$3:$H$593,GCA!G$3:G$593,"",0,1)="","",_xlfn.XLOOKUP($U565,GCA!$H$3:$H$593,GCA!G$3:G$593,"",0,1))</f>
        <v>7461.1589999999997</v>
      </c>
    </row>
    <row r="566" spans="1:24" ht="13.2">
      <c r="A566" s="49"/>
      <c r="B566" s="49"/>
      <c r="C566" s="48"/>
      <c r="D566" s="49"/>
      <c r="E566" s="50"/>
      <c r="F566" s="26" t="s">
        <v>944</v>
      </c>
      <c r="G566" s="26" t="s">
        <v>946</v>
      </c>
      <c r="H566" s="27">
        <f t="shared" si="749"/>
        <v>9485.5669999999991</v>
      </c>
      <c r="I566" s="27">
        <f t="shared" si="750"/>
        <v>9280.2379999999994</v>
      </c>
      <c r="J566" s="27">
        <f t="shared" si="751"/>
        <v>9492.1350000000002</v>
      </c>
      <c r="K566" s="27">
        <f t="shared" si="752"/>
        <v>9419.3133333333335</v>
      </c>
      <c r="L566" s="65"/>
      <c r="M566" s="67">
        <f t="shared" si="753"/>
        <v>0</v>
      </c>
      <c r="N566" s="65" t="str">
        <f t="shared" si="727"/>
        <v/>
      </c>
      <c r="O566" s="65" t="str">
        <f t="shared" ref="O566:P566" si="759">N566</f>
        <v/>
      </c>
      <c r="P566" s="65" t="str">
        <f t="shared" si="759"/>
        <v/>
      </c>
      <c r="Q566" s="38"/>
      <c r="R566" s="3" t="str">
        <f t="shared" si="757"/>
        <v>Kanyakumari</v>
      </c>
      <c r="S566" s="3" t="str">
        <f t="shared" si="731"/>
        <v>Kalkulam</v>
      </c>
      <c r="T566" s="3" t="str">
        <f t="shared" si="732"/>
        <v>Thuckalay</v>
      </c>
      <c r="U566" s="3" t="str">
        <f t="shared" si="733"/>
        <v>Kanyakumari_Kalkulam_Thuckalay</v>
      </c>
      <c r="V566" s="3">
        <f>IF(_xlfn.XLOOKUP($U566,GCA!$H$3:$H$593,GCA!E$3:E$593,"",0,1)="","",_xlfn.XLOOKUP($U566,GCA!$H$3:$H$593,GCA!E$3:E$593,"",0,1))</f>
        <v>9485.5669999999991</v>
      </c>
      <c r="W566" s="3">
        <f>IF(_xlfn.XLOOKUP($U566,GCA!$H$3:$H$593,GCA!F$3:F$593,"",0,1)="","",_xlfn.XLOOKUP($U566,GCA!$H$3:$H$593,GCA!F$3:F$593,"",0,1))</f>
        <v>9280.2379999999994</v>
      </c>
      <c r="X566" s="3">
        <f>IF(_xlfn.XLOOKUP($U566,GCA!$H$3:$H$593,GCA!G$3:G$593,"",0,1)="","",_xlfn.XLOOKUP($U566,GCA!$H$3:$H$593,GCA!G$3:G$593,"",0,1))</f>
        <v>9492.1350000000002</v>
      </c>
    </row>
    <row r="567" spans="1:24" ht="13.2">
      <c r="A567" s="49"/>
      <c r="B567" s="49"/>
      <c r="C567" s="48"/>
      <c r="D567" s="49"/>
      <c r="E567" s="50"/>
      <c r="F567" s="26" t="s">
        <v>947</v>
      </c>
      <c r="G567" s="26" t="s">
        <v>947</v>
      </c>
      <c r="H567" s="27">
        <f t="shared" si="749"/>
        <v>4368.5590000000002</v>
      </c>
      <c r="I567" s="27">
        <f t="shared" si="750"/>
        <v>4335.4949999999999</v>
      </c>
      <c r="J567" s="27">
        <f t="shared" si="751"/>
        <v>4184.8209999999999</v>
      </c>
      <c r="K567" s="27">
        <f t="shared" si="752"/>
        <v>4296.291666666667</v>
      </c>
      <c r="L567" s="65"/>
      <c r="M567" s="67">
        <f t="shared" si="753"/>
        <v>0</v>
      </c>
      <c r="N567" s="65" t="str">
        <f t="shared" si="727"/>
        <v/>
      </c>
      <c r="O567" s="65" t="str">
        <f t="shared" ref="O567:P567" si="760">N567</f>
        <v/>
      </c>
      <c r="P567" s="65" t="str">
        <f t="shared" si="760"/>
        <v/>
      </c>
      <c r="Q567" s="38"/>
      <c r="R567" s="3" t="str">
        <f t="shared" si="757"/>
        <v>Kanyakumari</v>
      </c>
      <c r="S567" s="3" t="str">
        <f t="shared" si="731"/>
        <v>Killiyoor</v>
      </c>
      <c r="T567" s="3" t="str">
        <f t="shared" si="732"/>
        <v>Killiyoor</v>
      </c>
      <c r="U567" s="3" t="str">
        <f t="shared" si="733"/>
        <v>Kanyakumari_Killiyoor_Killiyoor</v>
      </c>
      <c r="V567" s="3">
        <f>IF(_xlfn.XLOOKUP($U567,GCA!$H$3:$H$593,GCA!E$3:E$593,"",0,1)="","",_xlfn.XLOOKUP($U567,GCA!$H$3:$H$593,GCA!E$3:E$593,"",0,1))</f>
        <v>4368.5590000000002</v>
      </c>
      <c r="W567" s="3">
        <f>IF(_xlfn.XLOOKUP($U567,GCA!$H$3:$H$593,GCA!F$3:F$593,"",0,1)="","",_xlfn.XLOOKUP($U567,GCA!$H$3:$H$593,GCA!F$3:F$593,"",0,1))</f>
        <v>4335.4949999999999</v>
      </c>
      <c r="X567" s="3">
        <f>IF(_xlfn.XLOOKUP($U567,GCA!$H$3:$H$593,GCA!G$3:G$593,"",0,1)="","",_xlfn.XLOOKUP($U567,GCA!$H$3:$H$593,GCA!G$3:G$593,"",0,1))</f>
        <v>4184.8209999999999</v>
      </c>
    </row>
    <row r="568" spans="1:24" ht="13.2">
      <c r="A568" s="49"/>
      <c r="B568" s="49"/>
      <c r="C568" s="48"/>
      <c r="D568" s="49"/>
      <c r="E568" s="50"/>
      <c r="F568" s="26" t="s">
        <v>947</v>
      </c>
      <c r="G568" s="26" t="s">
        <v>948</v>
      </c>
      <c r="H568" s="27">
        <f t="shared" si="749"/>
        <v>4536.8239999999996</v>
      </c>
      <c r="I568" s="27">
        <f t="shared" si="750"/>
        <v>4519.3909999999996</v>
      </c>
      <c r="J568" s="27">
        <f t="shared" si="751"/>
        <v>4323.5209999999997</v>
      </c>
      <c r="K568" s="27">
        <f t="shared" si="752"/>
        <v>4459.9120000000003</v>
      </c>
      <c r="L568" s="65"/>
      <c r="M568" s="67">
        <f t="shared" si="753"/>
        <v>0</v>
      </c>
      <c r="N568" s="65" t="str">
        <f t="shared" si="727"/>
        <v/>
      </c>
      <c r="O568" s="65" t="str">
        <f t="shared" ref="O568:P568" si="761">N568</f>
        <v/>
      </c>
      <c r="P568" s="65" t="str">
        <f t="shared" si="761"/>
        <v/>
      </c>
      <c r="Q568" s="38"/>
      <c r="R568" s="3" t="str">
        <f t="shared" si="757"/>
        <v>Kanyakumari</v>
      </c>
      <c r="S568" s="3" t="str">
        <f t="shared" si="731"/>
        <v>Killiyoor</v>
      </c>
      <c r="T568" s="3" t="str">
        <f t="shared" si="732"/>
        <v>Munchirai</v>
      </c>
      <c r="U568" s="3" t="str">
        <f t="shared" si="733"/>
        <v>Kanyakumari_Killiyoor_Munchirai</v>
      </c>
      <c r="V568" s="3">
        <f>IF(_xlfn.XLOOKUP($U568,GCA!$H$3:$H$593,GCA!E$3:E$593,"",0,1)="","",_xlfn.XLOOKUP($U568,GCA!$H$3:$H$593,GCA!E$3:E$593,"",0,1))</f>
        <v>4536.8239999999996</v>
      </c>
      <c r="W568" s="3">
        <f>IF(_xlfn.XLOOKUP($U568,GCA!$H$3:$H$593,GCA!F$3:F$593,"",0,1)="","",_xlfn.XLOOKUP($U568,GCA!$H$3:$H$593,GCA!F$3:F$593,"",0,1))</f>
        <v>4519.3909999999996</v>
      </c>
      <c r="X568" s="3">
        <f>IF(_xlfn.XLOOKUP($U568,GCA!$H$3:$H$593,GCA!G$3:G$593,"",0,1)="","",_xlfn.XLOOKUP($U568,GCA!$H$3:$H$593,GCA!G$3:G$593,"",0,1))</f>
        <v>4323.5209999999997</v>
      </c>
    </row>
    <row r="569" spans="1:24" ht="13.2">
      <c r="A569" s="49"/>
      <c r="B569" s="49"/>
      <c r="C569" s="48"/>
      <c r="D569" s="49"/>
      <c r="E569" s="50">
        <v>2</v>
      </c>
      <c r="F569" s="26" t="s">
        <v>949</v>
      </c>
      <c r="G569" s="26" t="s">
        <v>949</v>
      </c>
      <c r="H569" s="27">
        <f t="shared" si="749"/>
        <v>12100.808999999999</v>
      </c>
      <c r="I569" s="27">
        <f t="shared" si="750"/>
        <v>12069.516</v>
      </c>
      <c r="J569" s="27">
        <f t="shared" si="751"/>
        <v>12145.991</v>
      </c>
      <c r="K569" s="27">
        <f t="shared" si="752"/>
        <v>12105.438666666667</v>
      </c>
      <c r="L569" s="65">
        <f>SUM(K569:K573)</f>
        <v>35982.951999999997</v>
      </c>
      <c r="M569" s="67">
        <f t="shared" si="753"/>
        <v>1.5103497046996965</v>
      </c>
      <c r="N569" s="65">
        <f t="shared" si="727"/>
        <v>2</v>
      </c>
      <c r="O569" s="65">
        <f t="shared" ref="O569:P569" si="762">N569</f>
        <v>2</v>
      </c>
      <c r="P569" s="65">
        <f t="shared" si="762"/>
        <v>2</v>
      </c>
      <c r="Q569" s="38"/>
      <c r="R569" s="3" t="str">
        <f t="shared" si="757"/>
        <v>Kanyakumari</v>
      </c>
      <c r="S569" s="3" t="str">
        <f t="shared" si="731"/>
        <v>Thiruvattar</v>
      </c>
      <c r="T569" s="3" t="str">
        <f t="shared" si="732"/>
        <v>Thiruvattar</v>
      </c>
      <c r="U569" s="3" t="str">
        <f t="shared" si="733"/>
        <v>Kanyakumari_Thiruvattar_Thiruvattar</v>
      </c>
      <c r="V569" s="3">
        <f>IF(_xlfn.XLOOKUP($U569,GCA!$H$3:$H$593,GCA!E$3:E$593,"",0,1)="","",_xlfn.XLOOKUP($U569,GCA!$H$3:$H$593,GCA!E$3:E$593,"",0,1))</f>
        <v>12100.808999999999</v>
      </c>
      <c r="W569" s="3">
        <f>IF(_xlfn.XLOOKUP($U569,GCA!$H$3:$H$593,GCA!F$3:F$593,"",0,1)="","",_xlfn.XLOOKUP($U569,GCA!$H$3:$H$593,GCA!F$3:F$593,"",0,1))</f>
        <v>12069.516</v>
      </c>
      <c r="X569" s="3">
        <f>IF(_xlfn.XLOOKUP($U569,GCA!$H$3:$H$593,GCA!G$3:G$593,"",0,1)="","",_xlfn.XLOOKUP($U569,GCA!$H$3:$H$593,GCA!G$3:G$593,"",0,1))</f>
        <v>12145.991</v>
      </c>
    </row>
    <row r="570" spans="1:24" ht="13.2">
      <c r="A570" s="49"/>
      <c r="B570" s="49"/>
      <c r="C570" s="48"/>
      <c r="D570" s="49"/>
      <c r="E570" s="50"/>
      <c r="F570" s="26" t="s">
        <v>950</v>
      </c>
      <c r="G570" s="26" t="s">
        <v>950</v>
      </c>
      <c r="H570" s="27">
        <f t="shared" si="749"/>
        <v>9677.4</v>
      </c>
      <c r="I570" s="27">
        <f t="shared" si="750"/>
        <v>9856.24</v>
      </c>
      <c r="J570" s="27">
        <f t="shared" si="751"/>
        <v>9796.3289999999997</v>
      </c>
      <c r="K570" s="27">
        <f t="shared" si="752"/>
        <v>9776.6563333333324</v>
      </c>
      <c r="L570" s="65"/>
      <c r="M570" s="67">
        <f t="shared" si="753"/>
        <v>0</v>
      </c>
      <c r="N570" s="65" t="str">
        <f t="shared" si="727"/>
        <v/>
      </c>
      <c r="O570" s="65" t="str">
        <f t="shared" ref="O570:P570" si="763">N570</f>
        <v/>
      </c>
      <c r="P570" s="65" t="str">
        <f t="shared" si="763"/>
        <v/>
      </c>
      <c r="Q570" s="38"/>
      <c r="R570" s="3" t="str">
        <f t="shared" si="757"/>
        <v>Kanyakumari</v>
      </c>
      <c r="S570" s="3" t="str">
        <f t="shared" si="731"/>
        <v>Thovalai</v>
      </c>
      <c r="T570" s="3" t="str">
        <f t="shared" si="732"/>
        <v>Thovalai</v>
      </c>
      <c r="U570" s="3" t="str">
        <f t="shared" si="733"/>
        <v>Kanyakumari_Thovalai_Thovalai</v>
      </c>
      <c r="V570" s="3">
        <f>IF(_xlfn.XLOOKUP($U570,GCA!$H$3:$H$593,GCA!E$3:E$593,"",0,1)="","",_xlfn.XLOOKUP($U570,GCA!$H$3:$H$593,GCA!E$3:E$593,"",0,1))</f>
        <v>9677.4</v>
      </c>
      <c r="W570" s="3">
        <f>IF(_xlfn.XLOOKUP($U570,GCA!$H$3:$H$593,GCA!F$3:F$593,"",0,1)="","",_xlfn.XLOOKUP($U570,GCA!$H$3:$H$593,GCA!F$3:F$593,"",0,1))</f>
        <v>9856.24</v>
      </c>
      <c r="X570" s="3">
        <f>IF(_xlfn.XLOOKUP($U570,GCA!$H$3:$H$593,GCA!G$3:G$593,"",0,1)="","",_xlfn.XLOOKUP($U570,GCA!$H$3:$H$593,GCA!G$3:G$593,"",0,1))</f>
        <v>9796.3289999999997</v>
      </c>
    </row>
    <row r="571" spans="1:24" ht="13.2">
      <c r="A571" s="49"/>
      <c r="B571" s="49"/>
      <c r="C571" s="48"/>
      <c r="D571" s="49"/>
      <c r="E571" s="50"/>
      <c r="F571" s="26" t="s">
        <v>951</v>
      </c>
      <c r="G571" s="26" t="s">
        <v>947</v>
      </c>
      <c r="H571" s="27">
        <f t="shared" si="749"/>
        <v>1782.4259999999999</v>
      </c>
      <c r="I571" s="27">
        <f t="shared" si="750"/>
        <v>1764.405</v>
      </c>
      <c r="J571" s="27">
        <f t="shared" si="751"/>
        <v>1730.4849999999999</v>
      </c>
      <c r="K571" s="27">
        <f t="shared" si="752"/>
        <v>1759.1053333333332</v>
      </c>
      <c r="L571" s="65"/>
      <c r="M571" s="67">
        <f t="shared" si="753"/>
        <v>0</v>
      </c>
      <c r="N571" s="65" t="str">
        <f t="shared" si="727"/>
        <v/>
      </c>
      <c r="O571" s="65" t="str">
        <f t="shared" ref="O571:P571" si="764">N571</f>
        <v/>
      </c>
      <c r="P571" s="65" t="str">
        <f t="shared" si="764"/>
        <v/>
      </c>
      <c r="Q571" s="38"/>
      <c r="R571" s="3" t="str">
        <f t="shared" si="757"/>
        <v>Kanyakumari</v>
      </c>
      <c r="S571" s="3" t="str">
        <f t="shared" si="731"/>
        <v>Vilavancode</v>
      </c>
      <c r="T571" s="3" t="str">
        <f t="shared" si="732"/>
        <v>Killiyoor</v>
      </c>
      <c r="U571" s="3" t="str">
        <f t="shared" si="733"/>
        <v>Kanyakumari_Vilavancode_Killiyoor</v>
      </c>
      <c r="V571" s="3">
        <f>IF(_xlfn.XLOOKUP($U571,GCA!$H$3:$H$593,GCA!E$3:E$593,"",0,1)="","",_xlfn.XLOOKUP($U571,GCA!$H$3:$H$593,GCA!E$3:E$593,"",0,1))</f>
        <v>1782.4259999999999</v>
      </c>
      <c r="W571" s="3">
        <f>IF(_xlfn.XLOOKUP($U571,GCA!$H$3:$H$593,GCA!F$3:F$593,"",0,1)="","",_xlfn.XLOOKUP($U571,GCA!$H$3:$H$593,GCA!F$3:F$593,"",0,1))</f>
        <v>1764.405</v>
      </c>
      <c r="X571" s="3">
        <f>IF(_xlfn.XLOOKUP($U571,GCA!$H$3:$H$593,GCA!G$3:G$593,"",0,1)="","",_xlfn.XLOOKUP($U571,GCA!$H$3:$H$593,GCA!G$3:G$593,"",0,1))</f>
        <v>1730.4849999999999</v>
      </c>
    </row>
    <row r="572" spans="1:24" ht="13.2">
      <c r="A572" s="49"/>
      <c r="B572" s="49"/>
      <c r="C572" s="48"/>
      <c r="D572" s="49"/>
      <c r="E572" s="50"/>
      <c r="F572" s="26" t="s">
        <v>951</v>
      </c>
      <c r="G572" s="26" t="s">
        <v>952</v>
      </c>
      <c r="H572" s="27">
        <f t="shared" si="749"/>
        <v>11771.23</v>
      </c>
      <c r="I572" s="27">
        <f t="shared" si="750"/>
        <v>11685.125</v>
      </c>
      <c r="J572" s="27">
        <f t="shared" si="751"/>
        <v>11623.025</v>
      </c>
      <c r="K572" s="27">
        <f t="shared" si="752"/>
        <v>11693.126666666665</v>
      </c>
      <c r="L572" s="65"/>
      <c r="M572" s="67">
        <f t="shared" si="753"/>
        <v>0</v>
      </c>
      <c r="N572" s="65" t="str">
        <f t="shared" si="727"/>
        <v/>
      </c>
      <c r="O572" s="65" t="str">
        <f t="shared" ref="O572:P572" si="765">N572</f>
        <v/>
      </c>
      <c r="P572" s="65" t="str">
        <f t="shared" si="765"/>
        <v/>
      </c>
      <c r="Q572" s="38"/>
      <c r="R572" s="3" t="str">
        <f t="shared" si="757"/>
        <v>Kanyakumari</v>
      </c>
      <c r="S572" s="3" t="str">
        <f t="shared" si="731"/>
        <v>Vilavancode</v>
      </c>
      <c r="T572" s="3" t="str">
        <f t="shared" si="732"/>
        <v>Melpuram</v>
      </c>
      <c r="U572" s="3" t="str">
        <f t="shared" si="733"/>
        <v>Kanyakumari_Vilavancode_Melpuram</v>
      </c>
      <c r="V572" s="3">
        <f>IF(_xlfn.XLOOKUP($U572,GCA!$H$3:$H$593,GCA!E$3:E$593,"",0,1)="","",_xlfn.XLOOKUP($U572,GCA!$H$3:$H$593,GCA!E$3:E$593,"",0,1))</f>
        <v>11771.23</v>
      </c>
      <c r="W572" s="3">
        <f>IF(_xlfn.XLOOKUP($U572,GCA!$H$3:$H$593,GCA!F$3:F$593,"",0,1)="","",_xlfn.XLOOKUP($U572,GCA!$H$3:$H$593,GCA!F$3:F$593,"",0,1))</f>
        <v>11685.125</v>
      </c>
      <c r="X572" s="3">
        <f>IF(_xlfn.XLOOKUP($U572,GCA!$H$3:$H$593,GCA!G$3:G$593,"",0,1)="","",_xlfn.XLOOKUP($U572,GCA!$H$3:$H$593,GCA!G$3:G$593,"",0,1))</f>
        <v>11623.025</v>
      </c>
    </row>
    <row r="573" spans="1:24" ht="13.2">
      <c r="A573" s="49"/>
      <c r="B573" s="49"/>
      <c r="C573" s="48"/>
      <c r="D573" s="49"/>
      <c r="E573" s="50"/>
      <c r="F573" s="26" t="s">
        <v>951</v>
      </c>
      <c r="G573" s="26" t="s">
        <v>948</v>
      </c>
      <c r="H573" s="27">
        <f t="shared" si="749"/>
        <v>664.79600000000005</v>
      </c>
      <c r="I573" s="27">
        <f t="shared" si="750"/>
        <v>657.84299999999996</v>
      </c>
      <c r="J573" s="27">
        <f t="shared" si="751"/>
        <v>623.23599999999999</v>
      </c>
      <c r="K573" s="27">
        <f t="shared" si="752"/>
        <v>648.625</v>
      </c>
      <c r="L573" s="65"/>
      <c r="M573" s="67">
        <f t="shared" si="753"/>
        <v>0</v>
      </c>
      <c r="N573" s="65" t="str">
        <f t="shared" si="727"/>
        <v/>
      </c>
      <c r="O573" s="65" t="str">
        <f t="shared" ref="O573:P573" si="766">N573</f>
        <v/>
      </c>
      <c r="P573" s="65" t="str">
        <f t="shared" si="766"/>
        <v/>
      </c>
      <c r="Q573" s="38"/>
      <c r="R573" s="3" t="str">
        <f t="shared" si="757"/>
        <v>Kanyakumari</v>
      </c>
      <c r="S573" s="3" t="str">
        <f t="shared" si="731"/>
        <v>Vilavancode</v>
      </c>
      <c r="T573" s="3" t="str">
        <f t="shared" si="732"/>
        <v>Munchirai</v>
      </c>
      <c r="U573" s="3" t="str">
        <f t="shared" si="733"/>
        <v>Kanyakumari_Vilavancode_Munchirai</v>
      </c>
      <c r="V573" s="3">
        <f>IF(_xlfn.XLOOKUP($U573,GCA!$H$3:$H$593,GCA!E$3:E$593,"",0,1)="","",_xlfn.XLOOKUP($U573,GCA!$H$3:$H$593,GCA!E$3:E$593,"",0,1))</f>
        <v>664.79600000000005</v>
      </c>
      <c r="W573" s="3">
        <f>IF(_xlfn.XLOOKUP($U573,GCA!$H$3:$H$593,GCA!F$3:F$593,"",0,1)="","",_xlfn.XLOOKUP($U573,GCA!$H$3:$H$593,GCA!F$3:F$593,"",0,1))</f>
        <v>657.84299999999996</v>
      </c>
      <c r="X573" s="3">
        <f>IF(_xlfn.XLOOKUP($U573,GCA!$H$3:$H$593,GCA!G$3:G$593,"",0,1)="","",_xlfn.XLOOKUP($U573,GCA!$H$3:$H$593,GCA!G$3:G$593,"",0,1))</f>
        <v>623.23599999999999</v>
      </c>
    </row>
    <row r="574" spans="1:24" ht="13.2">
      <c r="A574" s="49"/>
      <c r="B574" s="49"/>
      <c r="C574" s="48"/>
      <c r="D574" s="49"/>
      <c r="E574" s="47" t="s">
        <v>564</v>
      </c>
      <c r="F574" s="47"/>
      <c r="G574" s="47"/>
      <c r="H574" s="29">
        <f t="shared" ref="H574:P574" si="767">SUM(H563:H573)</f>
        <v>79119.578000000009</v>
      </c>
      <c r="I574" s="29">
        <f t="shared" si="767"/>
        <v>78723.588000000003</v>
      </c>
      <c r="J574" s="29">
        <f t="shared" si="767"/>
        <v>78509.491999999998</v>
      </c>
      <c r="K574" s="29">
        <f t="shared" si="767"/>
        <v>78784.219333333327</v>
      </c>
      <c r="L574" s="29">
        <f t="shared" si="767"/>
        <v>78784.219333333313</v>
      </c>
      <c r="M574" s="30">
        <f t="shared" si="767"/>
        <v>3.3068916192617026</v>
      </c>
      <c r="N574" s="31">
        <f t="shared" si="767"/>
        <v>4</v>
      </c>
      <c r="O574" s="31">
        <f t="shared" si="767"/>
        <v>4</v>
      </c>
      <c r="P574" s="31">
        <f t="shared" si="767"/>
        <v>4</v>
      </c>
      <c r="Q574" s="38"/>
      <c r="R574" s="3" t="str">
        <f t="shared" si="757"/>
        <v>Kanyakumari</v>
      </c>
      <c r="S574" s="3">
        <f t="shared" si="731"/>
        <v>0</v>
      </c>
      <c r="T574" s="3">
        <f t="shared" si="732"/>
        <v>0</v>
      </c>
      <c r="U574" s="3" t="str">
        <f t="shared" si="733"/>
        <v>Kanyakumari_0_0</v>
      </c>
      <c r="V574" s="3" t="str">
        <f>IF(_xlfn.XLOOKUP($U574,GCA!$H$3:$H$593,GCA!E$3:E$593,"",0,1)="","",_xlfn.XLOOKUP($U574,GCA!$H$3:$H$593,GCA!E$3:E$593,"",0,1))</f>
        <v/>
      </c>
      <c r="W574" s="3" t="str">
        <f>IF(_xlfn.XLOOKUP($U574,GCA!$H$3:$H$593,GCA!F$3:F$593,"",0,1)="","",_xlfn.XLOOKUP($U574,GCA!$H$3:$H$593,GCA!F$3:F$593,"",0,1))</f>
        <v/>
      </c>
      <c r="X574" s="3" t="str">
        <f>IF(_xlfn.XLOOKUP($U574,GCA!$H$3:$H$593,GCA!G$3:G$593,"",0,1)="","",_xlfn.XLOOKUP($U574,GCA!$H$3:$H$593,GCA!G$3:G$593,"",0,1))</f>
        <v/>
      </c>
    </row>
    <row r="575" spans="1:24" ht="13.2">
      <c r="A575" s="49"/>
      <c r="B575" s="49"/>
      <c r="C575" s="48" t="s">
        <v>246</v>
      </c>
      <c r="D575" s="49" t="s">
        <v>559</v>
      </c>
      <c r="E575" s="50">
        <v>1</v>
      </c>
      <c r="F575" s="26" t="s">
        <v>953</v>
      </c>
      <c r="G575" s="26" t="s">
        <v>953</v>
      </c>
      <c r="H575" s="27">
        <f t="shared" ref="H575:H596" si="768">V575</f>
        <v>6205.55</v>
      </c>
      <c r="I575" s="27">
        <f t="shared" ref="I575:I596" si="769">W575</f>
        <v>5965.01</v>
      </c>
      <c r="J575" s="27">
        <f t="shared" ref="J575:J596" si="770">X575</f>
        <v>4063.875</v>
      </c>
      <c r="K575" s="27">
        <f t="shared" ref="K575:K596" si="771">IFERROR(AVERAGE(H575:J575),"")</f>
        <v>5411.4783333333335</v>
      </c>
      <c r="L575" s="65">
        <f>SUM(K575:K584)</f>
        <v>50708.351000000002</v>
      </c>
      <c r="M575" s="67">
        <f t="shared" ref="M575:M596" si="772">L575*$L$643/$L$642</f>
        <v>2.1284341251006467</v>
      </c>
      <c r="N575" s="65">
        <f t="shared" si="727"/>
        <v>2</v>
      </c>
      <c r="O575" s="65">
        <f t="shared" ref="O575:P575" si="773">N575</f>
        <v>2</v>
      </c>
      <c r="P575" s="65">
        <f t="shared" si="773"/>
        <v>2</v>
      </c>
      <c r="Q575" s="38"/>
      <c r="R575" s="3" t="str">
        <f t="shared" si="755"/>
        <v>Tenkasi</v>
      </c>
      <c r="S575" s="3" t="str">
        <f t="shared" si="731"/>
        <v>Alankulam</v>
      </c>
      <c r="T575" s="3" t="str">
        <f t="shared" si="732"/>
        <v>Alankulam</v>
      </c>
      <c r="U575" s="3" t="str">
        <f t="shared" si="733"/>
        <v>Tenkasi_Alankulam_Alankulam</v>
      </c>
      <c r="V575" s="3">
        <f>IF(_xlfn.XLOOKUP($U575,GCA!$H$3:$H$593,GCA!E$3:E$593,"",0,1)="","",_xlfn.XLOOKUP($U575,GCA!$H$3:$H$593,GCA!E$3:E$593,"",0,1))</f>
        <v>6205.55</v>
      </c>
      <c r="W575" s="3">
        <f>IF(_xlfn.XLOOKUP($U575,GCA!$H$3:$H$593,GCA!F$3:F$593,"",0,1)="","",_xlfn.XLOOKUP($U575,GCA!$H$3:$H$593,GCA!F$3:F$593,"",0,1))</f>
        <v>5965.01</v>
      </c>
      <c r="X575" s="3">
        <f>IF(_xlfn.XLOOKUP($U575,GCA!$H$3:$H$593,GCA!G$3:G$593,"",0,1)="","",_xlfn.XLOOKUP($U575,GCA!$H$3:$H$593,GCA!G$3:G$593,"",0,1))</f>
        <v>4063.875</v>
      </c>
    </row>
    <row r="576" spans="1:24" ht="13.2">
      <c r="A576" s="49"/>
      <c r="B576" s="49"/>
      <c r="C576" s="48"/>
      <c r="D576" s="49"/>
      <c r="E576" s="50"/>
      <c r="F576" s="26" t="s">
        <v>953</v>
      </c>
      <c r="G576" s="26" t="s">
        <v>954</v>
      </c>
      <c r="H576" s="27">
        <f t="shared" si="768"/>
        <v>1786.6</v>
      </c>
      <c r="I576" s="27">
        <f t="shared" si="769"/>
        <v>1555.155</v>
      </c>
      <c r="J576" s="27">
        <f t="shared" si="770"/>
        <v>1182.1199999999999</v>
      </c>
      <c r="K576" s="27">
        <f t="shared" si="771"/>
        <v>1507.9583333333333</v>
      </c>
      <c r="L576" s="65"/>
      <c r="M576" s="67">
        <f t="shared" si="772"/>
        <v>0</v>
      </c>
      <c r="N576" s="65" t="str">
        <f t="shared" si="727"/>
        <v/>
      </c>
      <c r="O576" s="65" t="str">
        <f t="shared" ref="O576:P576" si="774">N576</f>
        <v/>
      </c>
      <c r="P576" s="65" t="str">
        <f t="shared" si="774"/>
        <v/>
      </c>
      <c r="Q576" s="38"/>
      <c r="R576" s="3" t="str">
        <f t="shared" ref="R576:R597" si="775">R575</f>
        <v>Tenkasi</v>
      </c>
      <c r="S576" s="3" t="str">
        <f t="shared" si="731"/>
        <v>Alankulam</v>
      </c>
      <c r="T576" s="3" t="str">
        <f t="shared" si="732"/>
        <v>Kadayam</v>
      </c>
      <c r="U576" s="3" t="str">
        <f t="shared" si="733"/>
        <v>Tenkasi_Alankulam_Kadayam</v>
      </c>
      <c r="V576" s="3">
        <f>IF(_xlfn.XLOOKUP($U576,GCA!$H$3:$H$593,GCA!E$3:E$593,"",0,1)="","",_xlfn.XLOOKUP($U576,GCA!$H$3:$H$593,GCA!E$3:E$593,"",0,1))</f>
        <v>1786.6</v>
      </c>
      <c r="W576" s="3">
        <f>IF(_xlfn.XLOOKUP($U576,GCA!$H$3:$H$593,GCA!F$3:F$593,"",0,1)="","",_xlfn.XLOOKUP($U576,GCA!$H$3:$H$593,GCA!F$3:F$593,"",0,1))</f>
        <v>1555.155</v>
      </c>
      <c r="X576" s="3">
        <f>IF(_xlfn.XLOOKUP($U576,GCA!$H$3:$H$593,GCA!G$3:G$593,"",0,1)="","",_xlfn.XLOOKUP($U576,GCA!$H$3:$H$593,GCA!G$3:G$593,"",0,1))</f>
        <v>1182.1199999999999</v>
      </c>
    </row>
    <row r="577" spans="1:24" ht="13.2">
      <c r="A577" s="49"/>
      <c r="B577" s="49"/>
      <c r="C577" s="48"/>
      <c r="D577" s="49"/>
      <c r="E577" s="50"/>
      <c r="F577" s="26" t="s">
        <v>953</v>
      </c>
      <c r="G577" s="26" t="s">
        <v>955</v>
      </c>
      <c r="H577" s="27">
        <f t="shared" si="768"/>
        <v>3260.23</v>
      </c>
      <c r="I577" s="27">
        <f t="shared" si="769"/>
        <v>3095.75</v>
      </c>
      <c r="J577" s="27">
        <f t="shared" si="770"/>
        <v>2307.41</v>
      </c>
      <c r="K577" s="27">
        <f t="shared" si="771"/>
        <v>2887.7966666666666</v>
      </c>
      <c r="L577" s="65"/>
      <c r="M577" s="67">
        <f t="shared" si="772"/>
        <v>0</v>
      </c>
      <c r="N577" s="65" t="str">
        <f t="shared" si="727"/>
        <v/>
      </c>
      <c r="O577" s="65" t="str">
        <f t="shared" ref="O577:P577" si="776">N577</f>
        <v/>
      </c>
      <c r="P577" s="65" t="str">
        <f t="shared" si="776"/>
        <v/>
      </c>
      <c r="Q577" s="38"/>
      <c r="R577" s="3" t="str">
        <f t="shared" si="775"/>
        <v>Tenkasi</v>
      </c>
      <c r="S577" s="3" t="str">
        <f t="shared" si="731"/>
        <v>Alankulam</v>
      </c>
      <c r="T577" s="3" t="str">
        <f t="shared" si="732"/>
        <v>Keelpavoor</v>
      </c>
      <c r="U577" s="3" t="str">
        <f t="shared" si="733"/>
        <v>Tenkasi_Alankulam_Keelpavoor</v>
      </c>
      <c r="V577" s="3">
        <f>IF(_xlfn.XLOOKUP($U577,GCA!$H$3:$H$593,GCA!E$3:E$593,"",0,1)="","",_xlfn.XLOOKUP($U577,GCA!$H$3:$H$593,GCA!E$3:E$593,"",0,1))</f>
        <v>3260.23</v>
      </c>
      <c r="W577" s="3">
        <f>IF(_xlfn.XLOOKUP($U577,GCA!$H$3:$H$593,GCA!F$3:F$593,"",0,1)="","",_xlfn.XLOOKUP($U577,GCA!$H$3:$H$593,GCA!F$3:F$593,"",0,1))</f>
        <v>3095.75</v>
      </c>
      <c r="X577" s="3">
        <f>IF(_xlfn.XLOOKUP($U577,GCA!$H$3:$H$593,GCA!G$3:G$593,"",0,1)="","",_xlfn.XLOOKUP($U577,GCA!$H$3:$H$593,GCA!G$3:G$593,"",0,1))</f>
        <v>2307.41</v>
      </c>
    </row>
    <row r="578" spans="1:24" ht="13.2">
      <c r="A578" s="49"/>
      <c r="B578" s="49"/>
      <c r="C578" s="48"/>
      <c r="D578" s="49"/>
      <c r="E578" s="50"/>
      <c r="F578" s="26" t="s">
        <v>956</v>
      </c>
      <c r="G578" s="26" t="s">
        <v>956</v>
      </c>
      <c r="H578" s="27">
        <f t="shared" si="768"/>
        <v>9162.2150000000001</v>
      </c>
      <c r="I578" s="27">
        <f t="shared" si="769"/>
        <v>9050.3700000000008</v>
      </c>
      <c r="J578" s="27">
        <f t="shared" si="770"/>
        <v>8620.9950000000008</v>
      </c>
      <c r="K578" s="27">
        <f t="shared" si="771"/>
        <v>8944.5266666666666</v>
      </c>
      <c r="L578" s="65"/>
      <c r="M578" s="67">
        <f t="shared" si="772"/>
        <v>0</v>
      </c>
      <c r="N578" s="65" t="str">
        <f t="shared" si="727"/>
        <v/>
      </c>
      <c r="O578" s="65" t="str">
        <f t="shared" ref="O578:P578" si="777">N578</f>
        <v/>
      </c>
      <c r="P578" s="65" t="str">
        <f t="shared" si="777"/>
        <v/>
      </c>
      <c r="Q578" s="38"/>
      <c r="R578" s="3" t="str">
        <f t="shared" si="775"/>
        <v>Tenkasi</v>
      </c>
      <c r="S578" s="3" t="str">
        <f t="shared" si="731"/>
        <v>Kadayanallur</v>
      </c>
      <c r="T578" s="3" t="str">
        <f t="shared" si="732"/>
        <v>Kadayanallur</v>
      </c>
      <c r="U578" s="3" t="str">
        <f t="shared" si="733"/>
        <v>Tenkasi_Kadayanallur_Kadayanallur</v>
      </c>
      <c r="V578" s="3">
        <f>IF(_xlfn.XLOOKUP($U578,GCA!$H$3:$H$593,GCA!E$3:E$593,"",0,1)="","",_xlfn.XLOOKUP($U578,GCA!$H$3:$H$593,GCA!E$3:E$593,"",0,1))</f>
        <v>9162.2150000000001</v>
      </c>
      <c r="W578" s="3">
        <f>IF(_xlfn.XLOOKUP($U578,GCA!$H$3:$H$593,GCA!F$3:F$593,"",0,1)="","",_xlfn.XLOOKUP($U578,GCA!$H$3:$H$593,GCA!F$3:F$593,"",0,1))</f>
        <v>9050.3700000000008</v>
      </c>
      <c r="X578" s="3">
        <f>IF(_xlfn.XLOOKUP($U578,GCA!$H$3:$H$593,GCA!G$3:G$593,"",0,1)="","",_xlfn.XLOOKUP($U578,GCA!$H$3:$H$593,GCA!G$3:G$593,"",0,1))</f>
        <v>8620.9950000000008</v>
      </c>
    </row>
    <row r="579" spans="1:24" ht="13.2">
      <c r="A579" s="49"/>
      <c r="B579" s="49"/>
      <c r="C579" s="48"/>
      <c r="D579" s="49"/>
      <c r="E579" s="50"/>
      <c r="F579" s="26" t="s">
        <v>956</v>
      </c>
      <c r="G579" s="26" t="s">
        <v>957</v>
      </c>
      <c r="H579" s="27">
        <f t="shared" si="768"/>
        <v>1460.42</v>
      </c>
      <c r="I579" s="27">
        <f t="shared" si="769"/>
        <v>922.92</v>
      </c>
      <c r="J579" s="27">
        <f t="shared" si="770"/>
        <v>874.245</v>
      </c>
      <c r="K579" s="27">
        <f t="shared" si="771"/>
        <v>1085.8616666666667</v>
      </c>
      <c r="L579" s="65"/>
      <c r="M579" s="67">
        <f t="shared" si="772"/>
        <v>0</v>
      </c>
      <c r="N579" s="65" t="str">
        <f t="shared" si="727"/>
        <v/>
      </c>
      <c r="O579" s="65" t="str">
        <f t="shared" ref="O579:P579" si="778">N579</f>
        <v/>
      </c>
      <c r="P579" s="65" t="str">
        <f t="shared" si="778"/>
        <v/>
      </c>
      <c r="Q579" s="38"/>
      <c r="R579" s="3" t="str">
        <f t="shared" si="775"/>
        <v>Tenkasi</v>
      </c>
      <c r="S579" s="3" t="str">
        <f t="shared" si="731"/>
        <v>Kadayanallur</v>
      </c>
      <c r="T579" s="3" t="str">
        <f t="shared" si="732"/>
        <v>Melaneelithanallur</v>
      </c>
      <c r="U579" s="3" t="str">
        <f t="shared" si="733"/>
        <v>Tenkasi_Kadayanallur_Melaneelithanallur</v>
      </c>
      <c r="V579" s="3">
        <f>IF(_xlfn.XLOOKUP($U579,GCA!$H$3:$H$593,GCA!E$3:E$593,"",0,1)="","",_xlfn.XLOOKUP($U579,GCA!$H$3:$H$593,GCA!E$3:E$593,"",0,1))</f>
        <v>1460.42</v>
      </c>
      <c r="W579" s="3">
        <f>IF(_xlfn.XLOOKUP($U579,GCA!$H$3:$H$593,GCA!F$3:F$593,"",0,1)="","",_xlfn.XLOOKUP($U579,GCA!$H$3:$H$593,GCA!F$3:F$593,"",0,1))</f>
        <v>922.92</v>
      </c>
      <c r="X579" s="3">
        <f>IF(_xlfn.XLOOKUP($U579,GCA!$H$3:$H$593,GCA!G$3:G$593,"",0,1)="","",_xlfn.XLOOKUP($U579,GCA!$H$3:$H$593,GCA!G$3:G$593,"",0,1))</f>
        <v>874.245</v>
      </c>
    </row>
    <row r="580" spans="1:24" ht="13.2">
      <c r="A580" s="49"/>
      <c r="B580" s="49"/>
      <c r="C580" s="48"/>
      <c r="D580" s="49"/>
      <c r="E580" s="50"/>
      <c r="F580" s="26" t="s">
        <v>956</v>
      </c>
      <c r="G580" s="26" t="s">
        <v>958</v>
      </c>
      <c r="H580" s="27">
        <f t="shared" si="768"/>
        <v>1069.22</v>
      </c>
      <c r="I580" s="27">
        <f t="shared" si="769"/>
        <v>1042.075</v>
      </c>
      <c r="J580" s="27">
        <f t="shared" si="770"/>
        <v>1373.5250000000001</v>
      </c>
      <c r="K580" s="27">
        <f t="shared" si="771"/>
        <v>1161.6066666666668</v>
      </c>
      <c r="L580" s="65"/>
      <c r="M580" s="67">
        <f t="shared" si="772"/>
        <v>0</v>
      </c>
      <c r="N580" s="65" t="str">
        <f t="shared" si="727"/>
        <v/>
      </c>
      <c r="O580" s="65" t="str">
        <f t="shared" ref="O580:P580" si="779">N580</f>
        <v/>
      </c>
      <c r="P580" s="65" t="str">
        <f t="shared" si="779"/>
        <v/>
      </c>
      <c r="Q580" s="38"/>
      <c r="R580" s="3" t="str">
        <f t="shared" si="775"/>
        <v>Tenkasi</v>
      </c>
      <c r="S580" s="3" t="str">
        <f t="shared" si="731"/>
        <v>Kadayanallur</v>
      </c>
      <c r="T580" s="3" t="str">
        <f t="shared" si="732"/>
        <v>Sankarankoil</v>
      </c>
      <c r="U580" s="3" t="str">
        <f t="shared" si="733"/>
        <v>Tenkasi_Kadayanallur_Sankarankoil</v>
      </c>
      <c r="V580" s="3">
        <f>IF(_xlfn.XLOOKUP($U580,GCA!$H$3:$H$593,GCA!E$3:E$593,"",0,1)="","",_xlfn.XLOOKUP($U580,GCA!$H$3:$H$593,GCA!E$3:E$593,"",0,1))</f>
        <v>1069.22</v>
      </c>
      <c r="W580" s="3">
        <f>IF(_xlfn.XLOOKUP($U580,GCA!$H$3:$H$593,GCA!F$3:F$593,"",0,1)="","",_xlfn.XLOOKUP($U580,GCA!$H$3:$H$593,GCA!F$3:F$593,"",0,1))</f>
        <v>1042.075</v>
      </c>
      <c r="X580" s="3">
        <f>IF(_xlfn.XLOOKUP($U580,GCA!$H$3:$H$593,GCA!G$3:G$593,"",0,1)="","",_xlfn.XLOOKUP($U580,GCA!$H$3:$H$593,GCA!G$3:G$593,"",0,1))</f>
        <v>1373.5250000000001</v>
      </c>
    </row>
    <row r="581" spans="1:24" ht="13.2">
      <c r="A581" s="49"/>
      <c r="B581" s="49"/>
      <c r="C581" s="48"/>
      <c r="D581" s="49"/>
      <c r="E581" s="50"/>
      <c r="F581" s="26" t="s">
        <v>956</v>
      </c>
      <c r="G581" s="26" t="s">
        <v>959</v>
      </c>
      <c r="H581" s="27">
        <f t="shared" si="768"/>
        <v>2708.46</v>
      </c>
      <c r="I581" s="27">
        <f t="shared" si="769"/>
        <v>2364.9499999999998</v>
      </c>
      <c r="J581" s="27">
        <f t="shared" si="770"/>
        <v>2284.7150000000001</v>
      </c>
      <c r="K581" s="27">
        <f t="shared" si="771"/>
        <v>2452.7083333333335</v>
      </c>
      <c r="L581" s="65"/>
      <c r="M581" s="67">
        <f t="shared" si="772"/>
        <v>0</v>
      </c>
      <c r="N581" s="65" t="str">
        <f t="shared" si="727"/>
        <v/>
      </c>
      <c r="O581" s="65" t="str">
        <f t="shared" ref="O581:P581" si="780">N581</f>
        <v/>
      </c>
      <c r="P581" s="65" t="str">
        <f t="shared" si="780"/>
        <v/>
      </c>
      <c r="Q581" s="38"/>
      <c r="R581" s="3" t="str">
        <f t="shared" si="775"/>
        <v>Tenkasi</v>
      </c>
      <c r="S581" s="3" t="str">
        <f t="shared" si="731"/>
        <v>Kadayanallur</v>
      </c>
      <c r="T581" s="3" t="str">
        <f t="shared" si="732"/>
        <v>Shenkottai</v>
      </c>
      <c r="U581" s="3" t="str">
        <f t="shared" si="733"/>
        <v>Tenkasi_Kadayanallur_Shenkottai</v>
      </c>
      <c r="V581" s="3">
        <f>IF(_xlfn.XLOOKUP($U581,GCA!$H$3:$H$593,GCA!E$3:E$593,"",0,1)="","",_xlfn.XLOOKUP($U581,GCA!$H$3:$H$593,GCA!E$3:E$593,"",0,1))</f>
        <v>2708.46</v>
      </c>
      <c r="W581" s="3">
        <f>IF(_xlfn.XLOOKUP($U581,GCA!$H$3:$H$593,GCA!F$3:F$593,"",0,1)="","",_xlfn.XLOOKUP($U581,GCA!$H$3:$H$593,GCA!F$3:F$593,"",0,1))</f>
        <v>2364.9499999999998</v>
      </c>
      <c r="X581" s="3">
        <f>IF(_xlfn.XLOOKUP($U581,GCA!$H$3:$H$593,GCA!G$3:G$593,"",0,1)="","",_xlfn.XLOOKUP($U581,GCA!$H$3:$H$593,GCA!G$3:G$593,"",0,1))</f>
        <v>2284.7150000000001</v>
      </c>
    </row>
    <row r="582" spans="1:24" ht="13.2">
      <c r="A582" s="49"/>
      <c r="B582" s="49"/>
      <c r="C582" s="48"/>
      <c r="D582" s="49"/>
      <c r="E582" s="50"/>
      <c r="F582" s="26" t="s">
        <v>956</v>
      </c>
      <c r="G582" s="26" t="s">
        <v>960</v>
      </c>
      <c r="H582" s="27">
        <f t="shared" si="768"/>
        <v>6268.67</v>
      </c>
      <c r="I582" s="27">
        <f t="shared" si="769"/>
        <v>5984.34</v>
      </c>
      <c r="J582" s="27">
        <f t="shared" si="770"/>
        <v>5885.4949999999999</v>
      </c>
      <c r="K582" s="27">
        <f t="shared" si="771"/>
        <v>6046.168333333334</v>
      </c>
      <c r="L582" s="65"/>
      <c r="M582" s="67">
        <f t="shared" si="772"/>
        <v>0</v>
      </c>
      <c r="N582" s="65" t="str">
        <f t="shared" si="727"/>
        <v/>
      </c>
      <c r="O582" s="65" t="str">
        <f t="shared" ref="O582:P582" si="781">N582</f>
        <v/>
      </c>
      <c r="P582" s="65" t="str">
        <f t="shared" si="781"/>
        <v/>
      </c>
      <c r="Q582" s="38"/>
      <c r="R582" s="3" t="str">
        <f t="shared" si="775"/>
        <v>Tenkasi</v>
      </c>
      <c r="S582" s="3" t="str">
        <f t="shared" si="731"/>
        <v>Kadayanallur</v>
      </c>
      <c r="T582" s="3" t="str">
        <f t="shared" si="732"/>
        <v>Vasudevanallur</v>
      </c>
      <c r="U582" s="3" t="str">
        <f t="shared" si="733"/>
        <v>Tenkasi_Kadayanallur_Vasudevanallur</v>
      </c>
      <c r="V582" s="3">
        <f>IF(_xlfn.XLOOKUP($U582,GCA!$H$3:$H$593,GCA!E$3:E$593,"",0,1)="","",_xlfn.XLOOKUP($U582,GCA!$H$3:$H$593,GCA!E$3:E$593,"",0,1))</f>
        <v>6268.67</v>
      </c>
      <c r="W582" s="3">
        <f>IF(_xlfn.XLOOKUP($U582,GCA!$H$3:$H$593,GCA!F$3:F$593,"",0,1)="","",_xlfn.XLOOKUP($U582,GCA!$H$3:$H$593,GCA!F$3:F$593,"",0,1))</f>
        <v>5984.34</v>
      </c>
      <c r="X582" s="3">
        <f>IF(_xlfn.XLOOKUP($U582,GCA!$H$3:$H$593,GCA!G$3:G$593,"",0,1)="","",_xlfn.XLOOKUP($U582,GCA!$H$3:$H$593,GCA!G$3:G$593,"",0,1))</f>
        <v>5885.4949999999999</v>
      </c>
    </row>
    <row r="583" spans="1:24" ht="13.2">
      <c r="A583" s="49"/>
      <c r="B583" s="49"/>
      <c r="C583" s="48"/>
      <c r="D583" s="49"/>
      <c r="E583" s="50"/>
      <c r="F583" s="26" t="s">
        <v>961</v>
      </c>
      <c r="G583" s="26" t="s">
        <v>957</v>
      </c>
      <c r="H583" s="27">
        <f t="shared" si="768"/>
        <v>9578.1049999999996</v>
      </c>
      <c r="I583" s="27">
        <f t="shared" si="769"/>
        <v>8516.89</v>
      </c>
      <c r="J583" s="27">
        <f t="shared" si="770"/>
        <v>8749.52</v>
      </c>
      <c r="K583" s="27">
        <f t="shared" si="771"/>
        <v>8948.1716666666671</v>
      </c>
      <c r="L583" s="65"/>
      <c r="M583" s="67">
        <f t="shared" si="772"/>
        <v>0</v>
      </c>
      <c r="N583" s="65" t="str">
        <f t="shared" si="727"/>
        <v/>
      </c>
      <c r="O583" s="65" t="str">
        <f t="shared" ref="O583:P583" si="782">N583</f>
        <v/>
      </c>
      <c r="P583" s="65" t="str">
        <f t="shared" si="782"/>
        <v/>
      </c>
      <c r="Q583" s="38"/>
      <c r="R583" s="3" t="str">
        <f t="shared" si="775"/>
        <v>Tenkasi</v>
      </c>
      <c r="S583" s="3" t="str">
        <f t="shared" si="731"/>
        <v>Sankarankovil</v>
      </c>
      <c r="T583" s="3" t="str">
        <f t="shared" si="732"/>
        <v>Melaneelithanallur</v>
      </c>
      <c r="U583" s="3" t="str">
        <f t="shared" si="733"/>
        <v>Tenkasi_Sankarankovil_Melaneelithanallur</v>
      </c>
      <c r="V583" s="3">
        <f>IF(_xlfn.XLOOKUP($U583,GCA!$H$3:$H$593,GCA!E$3:E$593,"",0,1)="","",_xlfn.XLOOKUP($U583,GCA!$H$3:$H$593,GCA!E$3:E$593,"",0,1))</f>
        <v>9578.1049999999996</v>
      </c>
      <c r="W583" s="3">
        <f>IF(_xlfn.XLOOKUP($U583,GCA!$H$3:$H$593,GCA!F$3:F$593,"",0,1)="","",_xlfn.XLOOKUP($U583,GCA!$H$3:$H$593,GCA!F$3:F$593,"",0,1))</f>
        <v>8516.89</v>
      </c>
      <c r="X583" s="3">
        <f>IF(_xlfn.XLOOKUP($U583,GCA!$H$3:$H$593,GCA!G$3:G$593,"",0,1)="","",_xlfn.XLOOKUP($U583,GCA!$H$3:$H$593,GCA!G$3:G$593,"",0,1))</f>
        <v>8749.52</v>
      </c>
    </row>
    <row r="584" spans="1:24" ht="13.2">
      <c r="A584" s="49"/>
      <c r="B584" s="49"/>
      <c r="C584" s="48"/>
      <c r="D584" s="49"/>
      <c r="E584" s="50"/>
      <c r="F584" s="26" t="s">
        <v>961</v>
      </c>
      <c r="G584" s="26" t="s">
        <v>958</v>
      </c>
      <c r="H584" s="27">
        <f t="shared" si="768"/>
        <v>13126.58</v>
      </c>
      <c r="I584" s="27">
        <f t="shared" si="769"/>
        <v>12239.254999999999</v>
      </c>
      <c r="J584" s="27">
        <f t="shared" si="770"/>
        <v>11420.388000000001</v>
      </c>
      <c r="K584" s="27">
        <f t="shared" si="771"/>
        <v>12262.074333333332</v>
      </c>
      <c r="L584" s="65"/>
      <c r="M584" s="67">
        <f t="shared" si="772"/>
        <v>0</v>
      </c>
      <c r="N584" s="65" t="str">
        <f t="shared" si="727"/>
        <v/>
      </c>
      <c r="O584" s="65" t="str">
        <f t="shared" ref="O584:P584" si="783">N584</f>
        <v/>
      </c>
      <c r="P584" s="65" t="str">
        <f t="shared" si="783"/>
        <v/>
      </c>
      <c r="Q584" s="38"/>
      <c r="R584" s="3" t="str">
        <f t="shared" si="775"/>
        <v>Tenkasi</v>
      </c>
      <c r="S584" s="3" t="str">
        <f t="shared" si="731"/>
        <v>Sankarankovil</v>
      </c>
      <c r="T584" s="3" t="str">
        <f t="shared" si="732"/>
        <v>Sankarankoil</v>
      </c>
      <c r="U584" s="3" t="str">
        <f t="shared" si="733"/>
        <v>Tenkasi_Sankarankovil_Sankarankoil</v>
      </c>
      <c r="V584" s="3">
        <f>IF(_xlfn.XLOOKUP($U584,GCA!$H$3:$H$593,GCA!E$3:E$593,"",0,1)="","",_xlfn.XLOOKUP($U584,GCA!$H$3:$H$593,GCA!E$3:E$593,"",0,1))</f>
        <v>13126.58</v>
      </c>
      <c r="W584" s="3">
        <f>IF(_xlfn.XLOOKUP($U584,GCA!$H$3:$H$593,GCA!F$3:F$593,"",0,1)="","",_xlfn.XLOOKUP($U584,GCA!$H$3:$H$593,GCA!F$3:F$593,"",0,1))</f>
        <v>12239.254999999999</v>
      </c>
      <c r="X584" s="3">
        <f>IF(_xlfn.XLOOKUP($U584,GCA!$H$3:$H$593,GCA!G$3:G$593,"",0,1)="","",_xlfn.XLOOKUP($U584,GCA!$H$3:$H$593,GCA!G$3:G$593,"",0,1))</f>
        <v>11420.388000000001</v>
      </c>
    </row>
    <row r="585" spans="1:24" ht="13.2">
      <c r="A585" s="49"/>
      <c r="B585" s="49"/>
      <c r="C585" s="48"/>
      <c r="D585" s="49"/>
      <c r="E585" s="50">
        <v>2</v>
      </c>
      <c r="F585" s="26" t="s">
        <v>962</v>
      </c>
      <c r="G585" s="26" t="s">
        <v>956</v>
      </c>
      <c r="H585" s="27">
        <f t="shared" si="768"/>
        <v>293.91500000000002</v>
      </c>
      <c r="I585" s="27">
        <f t="shared" si="769"/>
        <v>265.94</v>
      </c>
      <c r="J585" s="27">
        <f t="shared" si="770"/>
        <v>230.89500000000001</v>
      </c>
      <c r="K585" s="27">
        <f t="shared" si="771"/>
        <v>263.58333333333331</v>
      </c>
      <c r="L585" s="65">
        <f>SUM(K585:K596)</f>
        <v>77270.46133333334</v>
      </c>
      <c r="M585" s="67">
        <f t="shared" si="772"/>
        <v>3.2433530872289005</v>
      </c>
      <c r="N585" s="65">
        <f t="shared" si="727"/>
        <v>3</v>
      </c>
      <c r="O585" s="65">
        <f t="shared" ref="O585:P585" si="784">N585</f>
        <v>3</v>
      </c>
      <c r="P585" s="65">
        <f t="shared" si="784"/>
        <v>3</v>
      </c>
      <c r="Q585" s="38"/>
      <c r="R585" s="3" t="str">
        <f t="shared" si="775"/>
        <v>Tenkasi</v>
      </c>
      <c r="S585" s="3" t="str">
        <f t="shared" si="731"/>
        <v>Senkottai</v>
      </c>
      <c r="T585" s="3" t="str">
        <f t="shared" si="732"/>
        <v>Kadayanallur</v>
      </c>
      <c r="U585" s="3" t="str">
        <f t="shared" si="733"/>
        <v>Tenkasi_Senkottai_Kadayanallur</v>
      </c>
      <c r="V585" s="3">
        <f>IF(_xlfn.XLOOKUP($U585,GCA!$H$3:$H$593,GCA!E$3:E$593,"",0,1)="","",_xlfn.XLOOKUP($U585,GCA!$H$3:$H$593,GCA!E$3:E$593,"",0,1))</f>
        <v>293.91500000000002</v>
      </c>
      <c r="W585" s="3">
        <f>IF(_xlfn.XLOOKUP($U585,GCA!$H$3:$H$593,GCA!F$3:F$593,"",0,1)="","",_xlfn.XLOOKUP($U585,GCA!$H$3:$H$593,GCA!F$3:F$593,"",0,1))</f>
        <v>265.94</v>
      </c>
      <c r="X585" s="3">
        <f>IF(_xlfn.XLOOKUP($U585,GCA!$H$3:$H$593,GCA!G$3:G$593,"",0,1)="","",_xlfn.XLOOKUP($U585,GCA!$H$3:$H$593,GCA!G$3:G$593,"",0,1))</f>
        <v>230.89500000000001</v>
      </c>
    </row>
    <row r="586" spans="1:24" ht="13.2">
      <c r="A586" s="49"/>
      <c r="B586" s="49"/>
      <c r="C586" s="48"/>
      <c r="D586" s="49"/>
      <c r="E586" s="50"/>
      <c r="F586" s="26" t="s">
        <v>962</v>
      </c>
      <c r="G586" s="26" t="s">
        <v>959</v>
      </c>
      <c r="H586" s="27">
        <f t="shared" si="768"/>
        <v>5398.76</v>
      </c>
      <c r="I586" s="27">
        <f t="shared" si="769"/>
        <v>4736.7</v>
      </c>
      <c r="J586" s="27">
        <f t="shared" si="770"/>
        <v>4960.5</v>
      </c>
      <c r="K586" s="27">
        <f t="shared" si="771"/>
        <v>5031.9866666666667</v>
      </c>
      <c r="L586" s="65"/>
      <c r="M586" s="67">
        <f t="shared" si="772"/>
        <v>0</v>
      </c>
      <c r="N586" s="65" t="str">
        <f t="shared" si="727"/>
        <v/>
      </c>
      <c r="O586" s="65" t="str">
        <f t="shared" ref="O586:P586" si="785">N586</f>
        <v/>
      </c>
      <c r="P586" s="65" t="str">
        <f t="shared" si="785"/>
        <v/>
      </c>
      <c r="Q586" s="38"/>
      <c r="R586" s="3" t="str">
        <f t="shared" si="775"/>
        <v>Tenkasi</v>
      </c>
      <c r="S586" s="3" t="str">
        <f t="shared" si="731"/>
        <v>Senkottai</v>
      </c>
      <c r="T586" s="3" t="str">
        <f t="shared" si="732"/>
        <v>Shenkottai</v>
      </c>
      <c r="U586" s="3" t="str">
        <f t="shared" si="733"/>
        <v>Tenkasi_Senkottai_Shenkottai</v>
      </c>
      <c r="V586" s="3">
        <f>IF(_xlfn.XLOOKUP($U586,GCA!$H$3:$H$593,GCA!E$3:E$593,"",0,1)="","",_xlfn.XLOOKUP($U586,GCA!$H$3:$H$593,GCA!E$3:E$593,"",0,1))</f>
        <v>5398.76</v>
      </c>
      <c r="W586" s="3">
        <f>IF(_xlfn.XLOOKUP($U586,GCA!$H$3:$H$593,GCA!F$3:F$593,"",0,1)="","",_xlfn.XLOOKUP($U586,GCA!$H$3:$H$593,GCA!F$3:F$593,"",0,1))</f>
        <v>4736.7</v>
      </c>
      <c r="X586" s="3">
        <f>IF(_xlfn.XLOOKUP($U586,GCA!$H$3:$H$593,GCA!G$3:G$593,"",0,1)="","",_xlfn.XLOOKUP($U586,GCA!$H$3:$H$593,GCA!G$3:G$593,"",0,1))</f>
        <v>4960.5</v>
      </c>
    </row>
    <row r="587" spans="1:24" ht="13.2">
      <c r="A587" s="49"/>
      <c r="B587" s="49"/>
      <c r="C587" s="48"/>
      <c r="D587" s="49"/>
      <c r="E587" s="50"/>
      <c r="F587" s="26" t="s">
        <v>962</v>
      </c>
      <c r="G587" s="26" t="s">
        <v>246</v>
      </c>
      <c r="H587" s="27">
        <f t="shared" si="768"/>
        <v>4791.55</v>
      </c>
      <c r="I587" s="27">
        <f t="shared" si="769"/>
        <v>4295.8500000000004</v>
      </c>
      <c r="J587" s="27">
        <f t="shared" si="770"/>
        <v>4144.5810000000001</v>
      </c>
      <c r="K587" s="27">
        <f t="shared" si="771"/>
        <v>4410.6603333333342</v>
      </c>
      <c r="L587" s="65"/>
      <c r="M587" s="67">
        <f t="shared" si="772"/>
        <v>0</v>
      </c>
      <c r="N587" s="65" t="str">
        <f t="shared" si="727"/>
        <v/>
      </c>
      <c r="O587" s="65" t="str">
        <f t="shared" ref="O587:P587" si="786">N587</f>
        <v/>
      </c>
      <c r="P587" s="65" t="str">
        <f t="shared" si="786"/>
        <v/>
      </c>
      <c r="Q587" s="38"/>
      <c r="R587" s="3" t="str">
        <f t="shared" si="775"/>
        <v>Tenkasi</v>
      </c>
      <c r="S587" s="3" t="str">
        <f t="shared" si="731"/>
        <v>Senkottai</v>
      </c>
      <c r="T587" s="3" t="str">
        <f t="shared" si="732"/>
        <v>Tenkasi</v>
      </c>
      <c r="U587" s="3" t="str">
        <f t="shared" si="733"/>
        <v>Tenkasi_Senkottai_Tenkasi</v>
      </c>
      <c r="V587" s="3">
        <f>IF(_xlfn.XLOOKUP($U587,GCA!$H$3:$H$593,GCA!E$3:E$593,"",0,1)="","",_xlfn.XLOOKUP($U587,GCA!$H$3:$H$593,GCA!E$3:E$593,"",0,1))</f>
        <v>4791.55</v>
      </c>
      <c r="W587" s="3">
        <f>IF(_xlfn.XLOOKUP($U587,GCA!$H$3:$H$593,GCA!F$3:F$593,"",0,1)="","",_xlfn.XLOOKUP($U587,GCA!$H$3:$H$593,GCA!F$3:F$593,"",0,1))</f>
        <v>4295.8500000000004</v>
      </c>
      <c r="X587" s="3">
        <f>IF(_xlfn.XLOOKUP($U587,GCA!$H$3:$H$593,GCA!G$3:G$593,"",0,1)="","",_xlfn.XLOOKUP($U587,GCA!$H$3:$H$593,GCA!G$3:G$593,"",0,1))</f>
        <v>4144.5810000000001</v>
      </c>
    </row>
    <row r="588" spans="1:24" ht="13.2">
      <c r="A588" s="49"/>
      <c r="B588" s="49"/>
      <c r="C588" s="48"/>
      <c r="D588" s="49"/>
      <c r="E588" s="50"/>
      <c r="F588" s="26" t="s">
        <v>963</v>
      </c>
      <c r="G588" s="26" t="s">
        <v>960</v>
      </c>
      <c r="H588" s="27">
        <f t="shared" si="768"/>
        <v>17611.564999999999</v>
      </c>
      <c r="I588" s="27">
        <f t="shared" si="769"/>
        <v>15818.6</v>
      </c>
      <c r="J588" s="27">
        <f t="shared" si="770"/>
        <v>15050.215</v>
      </c>
      <c r="K588" s="27">
        <f t="shared" si="771"/>
        <v>16160.126666666669</v>
      </c>
      <c r="L588" s="65"/>
      <c r="M588" s="67">
        <f t="shared" si="772"/>
        <v>0</v>
      </c>
      <c r="N588" s="65" t="str">
        <f t="shared" si="727"/>
        <v/>
      </c>
      <c r="O588" s="65" t="str">
        <f t="shared" ref="O588:P588" si="787">N588</f>
        <v/>
      </c>
      <c r="P588" s="65" t="str">
        <f t="shared" si="787"/>
        <v/>
      </c>
      <c r="Q588" s="38"/>
      <c r="R588" s="3" t="str">
        <f t="shared" si="775"/>
        <v>Tenkasi</v>
      </c>
      <c r="S588" s="3" t="str">
        <f t="shared" si="731"/>
        <v>Sivagiri</v>
      </c>
      <c r="T588" s="3" t="str">
        <f t="shared" si="732"/>
        <v>Vasudevanallur</v>
      </c>
      <c r="U588" s="3" t="str">
        <f t="shared" si="733"/>
        <v>Tenkasi_Sivagiri_Vasudevanallur</v>
      </c>
      <c r="V588" s="3">
        <f>IF(_xlfn.XLOOKUP($U588,GCA!$H$3:$H$593,GCA!E$3:E$593,"",0,1)="","",_xlfn.XLOOKUP($U588,GCA!$H$3:$H$593,GCA!E$3:E$593,"",0,1))</f>
        <v>17611.564999999999</v>
      </c>
      <c r="W588" s="3">
        <f>IF(_xlfn.XLOOKUP($U588,GCA!$H$3:$H$593,GCA!F$3:F$593,"",0,1)="","",_xlfn.XLOOKUP($U588,GCA!$H$3:$H$593,GCA!F$3:F$593,"",0,1))</f>
        <v>15818.6</v>
      </c>
      <c r="X588" s="3">
        <f>IF(_xlfn.XLOOKUP($U588,GCA!$H$3:$H$593,GCA!G$3:G$593,"",0,1)="","",_xlfn.XLOOKUP($U588,GCA!$H$3:$H$593,GCA!G$3:G$593,"",0,1))</f>
        <v>15050.215</v>
      </c>
    </row>
    <row r="589" spans="1:24" ht="13.2">
      <c r="A589" s="49"/>
      <c r="B589" s="49"/>
      <c r="C589" s="48"/>
      <c r="D589" s="49"/>
      <c r="E589" s="50"/>
      <c r="F589" s="26" t="s">
        <v>964</v>
      </c>
      <c r="G589" s="26" t="s">
        <v>954</v>
      </c>
      <c r="H589" s="27">
        <f t="shared" si="768"/>
        <v>6712.8850000000002</v>
      </c>
      <c r="I589" s="27">
        <f t="shared" si="769"/>
        <v>5712.9449999999997</v>
      </c>
      <c r="J589" s="27">
        <f t="shared" si="770"/>
        <v>5762.54</v>
      </c>
      <c r="K589" s="27">
        <f t="shared" si="771"/>
        <v>6062.79</v>
      </c>
      <c r="L589" s="65"/>
      <c r="M589" s="67">
        <f t="shared" si="772"/>
        <v>0</v>
      </c>
      <c r="N589" s="65" t="str">
        <f t="shared" si="727"/>
        <v/>
      </c>
      <c r="O589" s="65" t="str">
        <f t="shared" ref="O589:P589" si="788">N589</f>
        <v/>
      </c>
      <c r="P589" s="65" t="str">
        <f t="shared" si="788"/>
        <v/>
      </c>
      <c r="Q589" s="38"/>
      <c r="R589" s="3" t="str">
        <f t="shared" si="775"/>
        <v>Tenkasi</v>
      </c>
      <c r="S589" s="3" t="str">
        <f t="shared" si="731"/>
        <v>Thenkasi</v>
      </c>
      <c r="T589" s="3" t="str">
        <f t="shared" si="732"/>
        <v>Kadayam</v>
      </c>
      <c r="U589" s="3" t="str">
        <f t="shared" si="733"/>
        <v>Tenkasi_Thenkasi_Kadayam</v>
      </c>
      <c r="V589" s="3">
        <f>IF(_xlfn.XLOOKUP($U589,GCA!$H$3:$H$593,GCA!E$3:E$593,"",0,1)="","",_xlfn.XLOOKUP($U589,GCA!$H$3:$H$593,GCA!E$3:E$593,"",0,1))</f>
        <v>6712.8850000000002</v>
      </c>
      <c r="W589" s="3">
        <f>IF(_xlfn.XLOOKUP($U589,GCA!$H$3:$H$593,GCA!F$3:F$593,"",0,1)="","",_xlfn.XLOOKUP($U589,GCA!$H$3:$H$593,GCA!F$3:F$593,"",0,1))</f>
        <v>5712.9449999999997</v>
      </c>
      <c r="X589" s="3">
        <f>IF(_xlfn.XLOOKUP($U589,GCA!$H$3:$H$593,GCA!G$3:G$593,"",0,1)="","",_xlfn.XLOOKUP($U589,GCA!$H$3:$H$593,GCA!G$3:G$593,"",0,1))</f>
        <v>5762.54</v>
      </c>
    </row>
    <row r="590" spans="1:24" ht="13.2">
      <c r="A590" s="49"/>
      <c r="B590" s="49"/>
      <c r="C590" s="48"/>
      <c r="D590" s="49"/>
      <c r="E590" s="50"/>
      <c r="F590" s="26" t="s">
        <v>964</v>
      </c>
      <c r="G590" s="26" t="s">
        <v>955</v>
      </c>
      <c r="H590" s="27">
        <f t="shared" si="768"/>
        <v>2286.2249999999999</v>
      </c>
      <c r="I590" s="27">
        <f t="shared" si="769"/>
        <v>2269.46</v>
      </c>
      <c r="J590" s="27">
        <f t="shared" si="770"/>
        <v>2192.52</v>
      </c>
      <c r="K590" s="27">
        <f t="shared" si="771"/>
        <v>2249.4016666666666</v>
      </c>
      <c r="L590" s="65"/>
      <c r="M590" s="67">
        <f t="shared" si="772"/>
        <v>0</v>
      </c>
      <c r="N590" s="65" t="str">
        <f t="shared" si="727"/>
        <v/>
      </c>
      <c r="O590" s="65" t="str">
        <f t="shared" ref="O590:P590" si="789">N590</f>
        <v/>
      </c>
      <c r="P590" s="65" t="str">
        <f t="shared" si="789"/>
        <v/>
      </c>
      <c r="Q590" s="38"/>
      <c r="R590" s="3" t="str">
        <f t="shared" si="775"/>
        <v>Tenkasi</v>
      </c>
      <c r="S590" s="3" t="str">
        <f t="shared" si="731"/>
        <v>Thenkasi</v>
      </c>
      <c r="T590" s="3" t="str">
        <f t="shared" si="732"/>
        <v>Keelpavoor</v>
      </c>
      <c r="U590" s="3" t="str">
        <f t="shared" si="733"/>
        <v>Tenkasi_Thenkasi_Keelpavoor</v>
      </c>
      <c r="V590" s="3">
        <f>IF(_xlfn.XLOOKUP($U590,GCA!$H$3:$H$593,GCA!E$3:E$593,"",0,1)="","",_xlfn.XLOOKUP($U590,GCA!$H$3:$H$593,GCA!E$3:E$593,"",0,1))</f>
        <v>2286.2249999999999</v>
      </c>
      <c r="W590" s="3">
        <f>IF(_xlfn.XLOOKUP($U590,GCA!$H$3:$H$593,GCA!F$3:F$593,"",0,1)="","",_xlfn.XLOOKUP($U590,GCA!$H$3:$H$593,GCA!F$3:F$593,"",0,1))</f>
        <v>2269.46</v>
      </c>
      <c r="X590" s="3">
        <f>IF(_xlfn.XLOOKUP($U590,GCA!$H$3:$H$593,GCA!G$3:G$593,"",0,1)="","",_xlfn.XLOOKUP($U590,GCA!$H$3:$H$593,GCA!G$3:G$593,"",0,1))</f>
        <v>2192.52</v>
      </c>
    </row>
    <row r="591" spans="1:24" ht="13.2">
      <c r="A591" s="49"/>
      <c r="B591" s="49"/>
      <c r="C591" s="48"/>
      <c r="D591" s="49"/>
      <c r="E591" s="50"/>
      <c r="F591" s="26" t="s">
        <v>964</v>
      </c>
      <c r="G591" s="26" t="s">
        <v>246</v>
      </c>
      <c r="H591" s="27">
        <f t="shared" si="768"/>
        <v>4795.5749999999998</v>
      </c>
      <c r="I591" s="27">
        <f t="shared" si="769"/>
        <v>4562.12</v>
      </c>
      <c r="J591" s="27">
        <f t="shared" si="770"/>
        <v>4527.49</v>
      </c>
      <c r="K591" s="27">
        <f t="shared" si="771"/>
        <v>4628.3949999999995</v>
      </c>
      <c r="L591" s="65"/>
      <c r="M591" s="67">
        <f t="shared" si="772"/>
        <v>0</v>
      </c>
      <c r="N591" s="65" t="str">
        <f t="shared" si="727"/>
        <v/>
      </c>
      <c r="O591" s="65" t="str">
        <f t="shared" ref="O591:P591" si="790">N591</f>
        <v/>
      </c>
      <c r="P591" s="65" t="str">
        <f t="shared" si="790"/>
        <v/>
      </c>
      <c r="Q591" s="38"/>
      <c r="R591" s="3" t="str">
        <f t="shared" si="775"/>
        <v>Tenkasi</v>
      </c>
      <c r="S591" s="3" t="str">
        <f t="shared" si="731"/>
        <v>Thenkasi</v>
      </c>
      <c r="T591" s="3" t="str">
        <f t="shared" si="732"/>
        <v>Tenkasi</v>
      </c>
      <c r="U591" s="3" t="str">
        <f t="shared" si="733"/>
        <v>Tenkasi_Thenkasi_Tenkasi</v>
      </c>
      <c r="V591" s="3">
        <f>IF(_xlfn.XLOOKUP($U591,GCA!$H$3:$H$593,GCA!E$3:E$593,"",0,1)="","",_xlfn.XLOOKUP($U591,GCA!$H$3:$H$593,GCA!E$3:E$593,"",0,1))</f>
        <v>4795.5749999999998</v>
      </c>
      <c r="W591" s="3">
        <f>IF(_xlfn.XLOOKUP($U591,GCA!$H$3:$H$593,GCA!F$3:F$593,"",0,1)="","",_xlfn.XLOOKUP($U591,GCA!$H$3:$H$593,GCA!F$3:F$593,"",0,1))</f>
        <v>4562.12</v>
      </c>
      <c r="X591" s="3">
        <f>IF(_xlfn.XLOOKUP($U591,GCA!$H$3:$H$593,GCA!G$3:G$593,"",0,1)="","",_xlfn.XLOOKUP($U591,GCA!$H$3:$H$593,GCA!G$3:G$593,"",0,1))</f>
        <v>4527.49</v>
      </c>
    </row>
    <row r="592" spans="1:24" ht="13.2">
      <c r="A592" s="49"/>
      <c r="B592" s="49"/>
      <c r="C592" s="48"/>
      <c r="D592" s="49"/>
      <c r="E592" s="50"/>
      <c r="F592" s="26" t="s">
        <v>965</v>
      </c>
      <c r="G592" s="26" t="s">
        <v>966</v>
      </c>
      <c r="H592" s="27">
        <f t="shared" si="768"/>
        <v>21735.125</v>
      </c>
      <c r="I592" s="27">
        <f t="shared" si="769"/>
        <v>21660.15</v>
      </c>
      <c r="J592" s="27">
        <f t="shared" si="770"/>
        <v>21912.637999999999</v>
      </c>
      <c r="K592" s="27">
        <f t="shared" si="771"/>
        <v>21769.304333333333</v>
      </c>
      <c r="L592" s="65"/>
      <c r="M592" s="67">
        <f t="shared" si="772"/>
        <v>0</v>
      </c>
      <c r="N592" s="65" t="str">
        <f t="shared" si="727"/>
        <v/>
      </c>
      <c r="O592" s="65" t="str">
        <f t="shared" ref="O592:P592" si="791">N592</f>
        <v/>
      </c>
      <c r="P592" s="65" t="str">
        <f t="shared" si="791"/>
        <v/>
      </c>
      <c r="Q592" s="38"/>
      <c r="R592" s="3" t="str">
        <f t="shared" si="775"/>
        <v>Tenkasi</v>
      </c>
      <c r="S592" s="3" t="str">
        <f t="shared" si="731"/>
        <v>Thiruvengadam</v>
      </c>
      <c r="T592" s="3" t="str">
        <f t="shared" si="732"/>
        <v>Kuruvikulam</v>
      </c>
      <c r="U592" s="3" t="str">
        <f t="shared" si="733"/>
        <v>Tenkasi_Thiruvengadam_Kuruvikulam</v>
      </c>
      <c r="V592" s="3">
        <f>IF(_xlfn.XLOOKUP($U592,GCA!$H$3:$H$593,GCA!E$3:E$593,"",0,1)="","",_xlfn.XLOOKUP($U592,GCA!$H$3:$H$593,GCA!E$3:E$593,"",0,1))</f>
        <v>21735.125</v>
      </c>
      <c r="W592" s="3">
        <f>IF(_xlfn.XLOOKUP($U592,GCA!$H$3:$H$593,GCA!F$3:F$593,"",0,1)="","",_xlfn.XLOOKUP($U592,GCA!$H$3:$H$593,GCA!F$3:F$593,"",0,1))</f>
        <v>21660.15</v>
      </c>
      <c r="X592" s="3">
        <f>IF(_xlfn.XLOOKUP($U592,GCA!$H$3:$H$593,GCA!G$3:G$593,"",0,1)="","",_xlfn.XLOOKUP($U592,GCA!$H$3:$H$593,GCA!G$3:G$593,"",0,1))</f>
        <v>21912.637999999999</v>
      </c>
    </row>
    <row r="593" spans="1:24" ht="13.2">
      <c r="A593" s="49"/>
      <c r="B593" s="49"/>
      <c r="C593" s="48"/>
      <c r="D593" s="49"/>
      <c r="E593" s="50"/>
      <c r="F593" s="26" t="s">
        <v>965</v>
      </c>
      <c r="G593" s="26" t="s">
        <v>957</v>
      </c>
      <c r="H593" s="27">
        <f t="shared" si="768"/>
        <v>2365.1</v>
      </c>
      <c r="I593" s="27">
        <f t="shared" si="769"/>
        <v>2476.8049999999998</v>
      </c>
      <c r="J593" s="27">
        <f t="shared" si="770"/>
        <v>2388.9050000000002</v>
      </c>
      <c r="K593" s="27">
        <f t="shared" si="771"/>
        <v>2410.27</v>
      </c>
      <c r="L593" s="65"/>
      <c r="M593" s="67">
        <f t="shared" si="772"/>
        <v>0</v>
      </c>
      <c r="N593" s="65" t="str">
        <f t="shared" si="727"/>
        <v/>
      </c>
      <c r="O593" s="65" t="str">
        <f t="shared" ref="O593:P593" si="792">N593</f>
        <v/>
      </c>
      <c r="P593" s="65" t="str">
        <f t="shared" si="792"/>
        <v/>
      </c>
      <c r="Q593" s="38"/>
      <c r="R593" s="3" t="str">
        <f t="shared" si="775"/>
        <v>Tenkasi</v>
      </c>
      <c r="S593" s="3" t="str">
        <f t="shared" si="731"/>
        <v>Thiruvengadam</v>
      </c>
      <c r="T593" s="3" t="str">
        <f t="shared" si="732"/>
        <v>Melaneelithanallur</v>
      </c>
      <c r="U593" s="3" t="str">
        <f t="shared" si="733"/>
        <v>Tenkasi_Thiruvengadam_Melaneelithanallur</v>
      </c>
      <c r="V593" s="3">
        <f>IF(_xlfn.XLOOKUP($U593,GCA!$H$3:$H$593,GCA!E$3:E$593,"",0,1)="","",_xlfn.XLOOKUP($U593,GCA!$H$3:$H$593,GCA!E$3:E$593,"",0,1))</f>
        <v>2365.1</v>
      </c>
      <c r="W593" s="3">
        <f>IF(_xlfn.XLOOKUP($U593,GCA!$H$3:$H$593,GCA!F$3:F$593,"",0,1)="","",_xlfn.XLOOKUP($U593,GCA!$H$3:$H$593,GCA!F$3:F$593,"",0,1))</f>
        <v>2476.8049999999998</v>
      </c>
      <c r="X593" s="3">
        <f>IF(_xlfn.XLOOKUP($U593,GCA!$H$3:$H$593,GCA!G$3:G$593,"",0,1)="","",_xlfn.XLOOKUP($U593,GCA!$H$3:$H$593,GCA!G$3:G$593,"",0,1))</f>
        <v>2388.9050000000002</v>
      </c>
    </row>
    <row r="594" spans="1:24" ht="13.2">
      <c r="A594" s="49"/>
      <c r="B594" s="49"/>
      <c r="C594" s="48"/>
      <c r="D594" s="49"/>
      <c r="E594" s="50"/>
      <c r="F594" s="26" t="s">
        <v>967</v>
      </c>
      <c r="G594" s="26" t="s">
        <v>953</v>
      </c>
      <c r="H594" s="27">
        <f t="shared" si="768"/>
        <v>11404.44</v>
      </c>
      <c r="I594" s="27">
        <f t="shared" si="769"/>
        <v>10601.305</v>
      </c>
      <c r="J594" s="27">
        <f t="shared" si="770"/>
        <v>10264.67</v>
      </c>
      <c r="K594" s="27">
        <f t="shared" si="771"/>
        <v>10756.805</v>
      </c>
      <c r="L594" s="65"/>
      <c r="M594" s="67">
        <f t="shared" si="772"/>
        <v>0</v>
      </c>
      <c r="N594" s="65" t="str">
        <f t="shared" si="727"/>
        <v/>
      </c>
      <c r="O594" s="65" t="str">
        <f t="shared" ref="O594:P594" si="793">N594</f>
        <v/>
      </c>
      <c r="P594" s="65" t="str">
        <f t="shared" si="793"/>
        <v/>
      </c>
      <c r="Q594" s="38"/>
      <c r="R594" s="3" t="str">
        <f t="shared" si="775"/>
        <v>Tenkasi</v>
      </c>
      <c r="S594" s="3" t="str">
        <f t="shared" si="731"/>
        <v>Veerakeralampudur</v>
      </c>
      <c r="T594" s="3" t="str">
        <f t="shared" si="732"/>
        <v>Alankulam</v>
      </c>
      <c r="U594" s="3" t="str">
        <f t="shared" si="733"/>
        <v>Tenkasi_Veerakeralampudur_Alankulam</v>
      </c>
      <c r="V594" s="3">
        <f>IF(_xlfn.XLOOKUP($U594,GCA!$H$3:$H$593,GCA!E$3:E$593,"",0,1)="","",_xlfn.XLOOKUP($U594,GCA!$H$3:$H$593,GCA!E$3:E$593,"",0,1))</f>
        <v>11404.44</v>
      </c>
      <c r="W594" s="3">
        <f>IF(_xlfn.XLOOKUP($U594,GCA!$H$3:$H$593,GCA!F$3:F$593,"",0,1)="","",_xlfn.XLOOKUP($U594,GCA!$H$3:$H$593,GCA!F$3:F$593,"",0,1))</f>
        <v>10601.305</v>
      </c>
      <c r="X594" s="3">
        <f>IF(_xlfn.XLOOKUP($U594,GCA!$H$3:$H$593,GCA!G$3:G$593,"",0,1)="","",_xlfn.XLOOKUP($U594,GCA!$H$3:$H$593,GCA!G$3:G$593,"",0,1))</f>
        <v>10264.67</v>
      </c>
    </row>
    <row r="595" spans="1:24" ht="13.2">
      <c r="A595" s="49"/>
      <c r="B595" s="49"/>
      <c r="C595" s="48"/>
      <c r="D595" s="49"/>
      <c r="E595" s="50"/>
      <c r="F595" s="26" t="s">
        <v>967</v>
      </c>
      <c r="G595" s="26" t="s">
        <v>956</v>
      </c>
      <c r="H595" s="27">
        <f t="shared" si="768"/>
        <v>944.04</v>
      </c>
      <c r="I595" s="27">
        <f t="shared" si="769"/>
        <v>904.60500000000002</v>
      </c>
      <c r="J595" s="27">
        <f t="shared" si="770"/>
        <v>756.57500000000005</v>
      </c>
      <c r="K595" s="27">
        <f t="shared" si="771"/>
        <v>868.40666666666675</v>
      </c>
      <c r="L595" s="65"/>
      <c r="M595" s="67">
        <f t="shared" si="772"/>
        <v>0</v>
      </c>
      <c r="N595" s="65" t="str">
        <f t="shared" si="727"/>
        <v/>
      </c>
      <c r="O595" s="65" t="str">
        <f t="shared" ref="O595:P595" si="794">N595</f>
        <v/>
      </c>
      <c r="P595" s="65" t="str">
        <f t="shared" si="794"/>
        <v/>
      </c>
      <c r="Q595" s="38"/>
      <c r="R595" s="3" t="str">
        <f t="shared" si="775"/>
        <v>Tenkasi</v>
      </c>
      <c r="S595" s="3" t="str">
        <f t="shared" si="731"/>
        <v>Veerakeralampudur</v>
      </c>
      <c r="T595" s="3" t="str">
        <f t="shared" si="732"/>
        <v>Kadayanallur</v>
      </c>
      <c r="U595" s="3" t="str">
        <f t="shared" si="733"/>
        <v>Tenkasi_Veerakeralampudur_Kadayanallur</v>
      </c>
      <c r="V595" s="3">
        <f>IF(_xlfn.XLOOKUP($U595,GCA!$H$3:$H$593,GCA!E$3:E$593,"",0,1)="","",_xlfn.XLOOKUP($U595,GCA!$H$3:$H$593,GCA!E$3:E$593,"",0,1))</f>
        <v>944.04</v>
      </c>
      <c r="W595" s="3">
        <f>IF(_xlfn.XLOOKUP($U595,GCA!$H$3:$H$593,GCA!F$3:F$593,"",0,1)="","",_xlfn.XLOOKUP($U595,GCA!$H$3:$H$593,GCA!F$3:F$593,"",0,1))</f>
        <v>904.60500000000002</v>
      </c>
      <c r="X595" s="3">
        <f>IF(_xlfn.XLOOKUP($U595,GCA!$H$3:$H$593,GCA!G$3:G$593,"",0,1)="","",_xlfn.XLOOKUP($U595,GCA!$H$3:$H$593,GCA!G$3:G$593,"",0,1))</f>
        <v>756.57500000000005</v>
      </c>
    </row>
    <row r="596" spans="1:24" ht="13.2">
      <c r="A596" s="49"/>
      <c r="B596" s="49"/>
      <c r="C596" s="48"/>
      <c r="D596" s="49"/>
      <c r="E596" s="50"/>
      <c r="F596" s="26" t="s">
        <v>967</v>
      </c>
      <c r="G596" s="26" t="s">
        <v>955</v>
      </c>
      <c r="H596" s="27">
        <f t="shared" si="768"/>
        <v>2813.87</v>
      </c>
      <c r="I596" s="27">
        <f t="shared" si="769"/>
        <v>2492.9650000000001</v>
      </c>
      <c r="J596" s="27">
        <f t="shared" si="770"/>
        <v>2669.36</v>
      </c>
      <c r="K596" s="27">
        <f t="shared" si="771"/>
        <v>2658.7316666666666</v>
      </c>
      <c r="L596" s="65"/>
      <c r="M596" s="67">
        <f t="shared" si="772"/>
        <v>0</v>
      </c>
      <c r="N596" s="65" t="str">
        <f t="shared" si="727"/>
        <v/>
      </c>
      <c r="O596" s="65" t="str">
        <f t="shared" ref="O596:P596" si="795">N596</f>
        <v/>
      </c>
      <c r="P596" s="65" t="str">
        <f t="shared" si="795"/>
        <v/>
      </c>
      <c r="Q596" s="38"/>
      <c r="R596" s="3" t="str">
        <f t="shared" si="775"/>
        <v>Tenkasi</v>
      </c>
      <c r="S596" s="3" t="str">
        <f t="shared" si="731"/>
        <v>Veerakeralampudur</v>
      </c>
      <c r="T596" s="3" t="str">
        <f t="shared" si="732"/>
        <v>Keelpavoor</v>
      </c>
      <c r="U596" s="3" t="str">
        <f t="shared" si="733"/>
        <v>Tenkasi_Veerakeralampudur_Keelpavoor</v>
      </c>
      <c r="V596" s="3">
        <f>IF(_xlfn.XLOOKUP($U596,GCA!$H$3:$H$593,GCA!E$3:E$593,"",0,1)="","",_xlfn.XLOOKUP($U596,GCA!$H$3:$H$593,GCA!E$3:E$593,"",0,1))</f>
        <v>2813.87</v>
      </c>
      <c r="W596" s="3">
        <f>IF(_xlfn.XLOOKUP($U596,GCA!$H$3:$H$593,GCA!F$3:F$593,"",0,1)="","",_xlfn.XLOOKUP($U596,GCA!$H$3:$H$593,GCA!F$3:F$593,"",0,1))</f>
        <v>2492.9650000000001</v>
      </c>
      <c r="X596" s="3">
        <f>IF(_xlfn.XLOOKUP($U596,GCA!$H$3:$H$593,GCA!G$3:G$593,"",0,1)="","",_xlfn.XLOOKUP($U596,GCA!$H$3:$H$593,GCA!G$3:G$593,"",0,1))</f>
        <v>2669.36</v>
      </c>
    </row>
    <row r="597" spans="1:24" ht="13.2">
      <c r="A597" s="49"/>
      <c r="B597" s="49"/>
      <c r="C597" s="48"/>
      <c r="D597" s="49"/>
      <c r="E597" s="47" t="s">
        <v>564</v>
      </c>
      <c r="F597" s="47"/>
      <c r="G597" s="47"/>
      <c r="H597" s="29">
        <f t="shared" ref="H597" si="796">SUM(H575:H596)</f>
        <v>135779.1</v>
      </c>
      <c r="I597" s="29">
        <f t="shared" ref="I597:P597" si="797">SUM(I575:I596)</f>
        <v>126534.15999999999</v>
      </c>
      <c r="J597" s="29">
        <f t="shared" si="797"/>
        <v>121623.17699999998</v>
      </c>
      <c r="K597" s="29">
        <f t="shared" si="797"/>
        <v>127978.81233333334</v>
      </c>
      <c r="L597" s="29">
        <f t="shared" si="797"/>
        <v>127978.81233333334</v>
      </c>
      <c r="M597" s="30">
        <f t="shared" si="797"/>
        <v>5.3717872123295471</v>
      </c>
      <c r="N597" s="31">
        <f t="shared" si="797"/>
        <v>5</v>
      </c>
      <c r="O597" s="31">
        <f t="shared" si="797"/>
        <v>5</v>
      </c>
      <c r="P597" s="31">
        <f t="shared" si="797"/>
        <v>5</v>
      </c>
      <c r="Q597" s="38"/>
      <c r="R597" s="3" t="str">
        <f t="shared" si="775"/>
        <v>Tenkasi</v>
      </c>
      <c r="S597" s="3">
        <f t="shared" si="731"/>
        <v>0</v>
      </c>
      <c r="T597" s="3">
        <f t="shared" si="732"/>
        <v>0</v>
      </c>
      <c r="U597" s="3" t="str">
        <f t="shared" si="733"/>
        <v>Tenkasi_0_0</v>
      </c>
      <c r="V597" s="3" t="str">
        <f>IF(_xlfn.XLOOKUP($U597,GCA!$H$3:$H$593,GCA!E$3:E$593,"",0,1)="","",_xlfn.XLOOKUP($U597,GCA!$H$3:$H$593,GCA!E$3:E$593,"",0,1))</f>
        <v/>
      </c>
      <c r="W597" s="3" t="str">
        <f>IF(_xlfn.XLOOKUP($U597,GCA!$H$3:$H$593,GCA!F$3:F$593,"",0,1)="","",_xlfn.XLOOKUP($U597,GCA!$H$3:$H$593,GCA!F$3:F$593,"",0,1))</f>
        <v/>
      </c>
      <c r="X597" s="3" t="str">
        <f>IF(_xlfn.XLOOKUP($U597,GCA!$H$3:$H$593,GCA!G$3:G$593,"",0,1)="","",_xlfn.XLOOKUP($U597,GCA!$H$3:$H$593,GCA!G$3:G$593,"",0,1))</f>
        <v/>
      </c>
    </row>
    <row r="598" spans="1:24" ht="13.2">
      <c r="A598" s="49"/>
      <c r="B598" s="49"/>
      <c r="C598" s="54" t="s">
        <v>521</v>
      </c>
      <c r="D598" s="54"/>
      <c r="E598" s="54"/>
      <c r="F598" s="54"/>
      <c r="G598" s="54"/>
      <c r="H598" s="32">
        <f t="shared" ref="H598" si="798">SUM(H597,H574,H562,H544)</f>
        <v>506265.95899999997</v>
      </c>
      <c r="I598" s="32">
        <f t="shared" ref="I598:P598" si="799">SUM(I597,I574,I562,I544)</f>
        <v>493973.34399999992</v>
      </c>
      <c r="J598" s="32">
        <f t="shared" si="799"/>
        <v>483970.04700000002</v>
      </c>
      <c r="K598" s="32">
        <f t="shared" si="799"/>
        <v>494736.45</v>
      </c>
      <c r="L598" s="32">
        <f t="shared" si="799"/>
        <v>494736.44999999995</v>
      </c>
      <c r="M598" s="33">
        <f t="shared" si="799"/>
        <v>20.766085316226309</v>
      </c>
      <c r="N598" s="34">
        <f t="shared" si="799"/>
        <v>21</v>
      </c>
      <c r="O598" s="34">
        <f t="shared" si="799"/>
        <v>21</v>
      </c>
      <c r="P598" s="34">
        <f t="shared" si="799"/>
        <v>21</v>
      </c>
      <c r="Q598" s="38"/>
      <c r="R598" s="3" t="str">
        <f t="shared" si="755"/>
        <v>SRO TOTAL</v>
      </c>
      <c r="S598" s="3">
        <f t="shared" si="731"/>
        <v>0</v>
      </c>
      <c r="T598" s="3">
        <f t="shared" si="732"/>
        <v>0</v>
      </c>
      <c r="U598" s="3" t="str">
        <f t="shared" si="733"/>
        <v>SRO TOTAL_0_0</v>
      </c>
      <c r="V598" s="3" t="str">
        <f>IF(_xlfn.XLOOKUP($U598,GCA!$H$3:$H$593,GCA!E$3:E$593,"",0,1)="","",_xlfn.XLOOKUP($U598,GCA!$H$3:$H$593,GCA!E$3:E$593,"",0,1))</f>
        <v/>
      </c>
      <c r="W598" s="3" t="str">
        <f>IF(_xlfn.XLOOKUP($U598,GCA!$H$3:$H$593,GCA!F$3:F$593,"",0,1)="","",_xlfn.XLOOKUP($U598,GCA!$H$3:$H$593,GCA!F$3:F$593,"",0,1))</f>
        <v/>
      </c>
      <c r="X598" s="3" t="str">
        <f>IF(_xlfn.XLOOKUP($U598,GCA!$H$3:$H$593,GCA!G$3:G$593,"",0,1)="","",_xlfn.XLOOKUP($U598,GCA!$H$3:$H$593,GCA!G$3:G$593,"",0,1))</f>
        <v/>
      </c>
    </row>
    <row r="599" spans="1:24" ht="13.2">
      <c r="A599" s="49"/>
      <c r="B599" s="49"/>
      <c r="C599" s="48" t="s">
        <v>248</v>
      </c>
      <c r="D599" s="49" t="s">
        <v>554</v>
      </c>
      <c r="E599" s="50">
        <v>1</v>
      </c>
      <c r="F599" s="26" t="s">
        <v>980</v>
      </c>
      <c r="G599" s="26" t="s">
        <v>980</v>
      </c>
      <c r="H599" s="27">
        <f t="shared" ref="H599:H620" si="800">V599</f>
        <v>16067.88</v>
      </c>
      <c r="I599" s="27">
        <f t="shared" ref="I599:I620" si="801">W599</f>
        <v>16572.105</v>
      </c>
      <c r="J599" s="27">
        <f t="shared" ref="J599:J620" si="802">X599</f>
        <v>16728.764999999999</v>
      </c>
      <c r="K599" s="27">
        <f t="shared" ref="K599:K620" si="803">IFERROR(AVERAGE(H599:J599),"")</f>
        <v>16456.25</v>
      </c>
      <c r="L599" s="65">
        <f>SUM(K599:K602)</f>
        <v>45308.859999999993</v>
      </c>
      <c r="M599" s="67">
        <f t="shared" ref="M599:M620" si="804">L599*$L$643/$L$642</f>
        <v>1.9017956981761777</v>
      </c>
      <c r="N599" s="65">
        <f t="shared" ref="N599:N638" si="805">IF(M599&gt;=2, ROUND(M599,0), IF(M599&gt;1.1,2,""))</f>
        <v>2</v>
      </c>
      <c r="O599" s="65">
        <f t="shared" ref="O599:P599" si="806">N599</f>
        <v>2</v>
      </c>
      <c r="P599" s="65">
        <f t="shared" si="806"/>
        <v>2</v>
      </c>
      <c r="Q599" s="38"/>
      <c r="R599" s="3" t="str">
        <f t="shared" ref="R599:R622" si="807">C599</f>
        <v>Virudhunagar</v>
      </c>
      <c r="S599" s="3" t="str">
        <f t="shared" ref="S599:S638" si="808">F599</f>
        <v>Aruppukottai</v>
      </c>
      <c r="T599" s="3" t="str">
        <f t="shared" ref="T599:T638" si="809">G599</f>
        <v>Aruppukottai</v>
      </c>
      <c r="U599" s="3" t="str">
        <f t="shared" ref="U599:U638" si="810">CONCATENATE(R599,"_",S599,"_",T599)</f>
        <v>Virudhunagar_Aruppukottai_Aruppukottai</v>
      </c>
      <c r="V599" s="3">
        <f>IF(_xlfn.XLOOKUP($U599,GCA!$H$3:$H$593,GCA!E$3:E$593,"",0,1)="","",_xlfn.XLOOKUP($U599,GCA!$H$3:$H$593,GCA!E$3:E$593,"",0,1))</f>
        <v>16067.88</v>
      </c>
      <c r="W599" s="3">
        <f>IF(_xlfn.XLOOKUP($U599,GCA!$H$3:$H$593,GCA!F$3:F$593,"",0,1)="","",_xlfn.XLOOKUP($U599,GCA!$H$3:$H$593,GCA!F$3:F$593,"",0,1))</f>
        <v>16572.105</v>
      </c>
      <c r="X599" s="3">
        <f>IF(_xlfn.XLOOKUP($U599,GCA!$H$3:$H$593,GCA!G$3:G$593,"",0,1)="","",_xlfn.XLOOKUP($U599,GCA!$H$3:$H$593,GCA!G$3:G$593,"",0,1))</f>
        <v>16728.764999999999</v>
      </c>
    </row>
    <row r="600" spans="1:24" ht="13.2">
      <c r="A600" s="49"/>
      <c r="B600" s="49"/>
      <c r="C600" s="48"/>
      <c r="D600" s="49"/>
      <c r="E600" s="50"/>
      <c r="F600" s="26" t="s">
        <v>980</v>
      </c>
      <c r="G600" s="26" t="s">
        <v>981</v>
      </c>
      <c r="H600" s="27">
        <f t="shared" si="800"/>
        <v>16458.7</v>
      </c>
      <c r="I600" s="27">
        <f t="shared" si="801"/>
        <v>16676.64</v>
      </c>
      <c r="J600" s="27">
        <f t="shared" si="802"/>
        <v>16587.945</v>
      </c>
      <c r="K600" s="27">
        <f t="shared" si="803"/>
        <v>16574.428333333333</v>
      </c>
      <c r="L600" s="65"/>
      <c r="M600" s="67">
        <f t="shared" si="804"/>
        <v>0</v>
      </c>
      <c r="N600" s="65" t="str">
        <f t="shared" si="805"/>
        <v/>
      </c>
      <c r="O600" s="65" t="str">
        <f t="shared" ref="O600:P600" si="811">N600</f>
        <v/>
      </c>
      <c r="P600" s="65" t="str">
        <f t="shared" si="811"/>
        <v/>
      </c>
      <c r="Q600" s="38"/>
      <c r="R600" s="3" t="str">
        <f t="shared" ref="R600:R621" si="812">R599</f>
        <v>Virudhunagar</v>
      </c>
      <c r="S600" s="3" t="str">
        <f t="shared" si="808"/>
        <v>Aruppukottai</v>
      </c>
      <c r="T600" s="3" t="str">
        <f t="shared" si="809"/>
        <v>Thiruchuli</v>
      </c>
      <c r="U600" s="3" t="str">
        <f t="shared" si="810"/>
        <v>Virudhunagar_Aruppukottai_Thiruchuli</v>
      </c>
      <c r="V600" s="3">
        <f>IF(_xlfn.XLOOKUP($U600,GCA!$H$3:$H$593,GCA!E$3:E$593,"",0,1)="","",_xlfn.XLOOKUP($U600,GCA!$H$3:$H$593,GCA!E$3:E$593,"",0,1))</f>
        <v>16458.7</v>
      </c>
      <c r="W600" s="3">
        <f>IF(_xlfn.XLOOKUP($U600,GCA!$H$3:$H$593,GCA!F$3:F$593,"",0,1)="","",_xlfn.XLOOKUP($U600,GCA!$H$3:$H$593,GCA!F$3:F$593,"",0,1))</f>
        <v>16676.64</v>
      </c>
      <c r="X600" s="3">
        <f>IF(_xlfn.XLOOKUP($U600,GCA!$H$3:$H$593,GCA!G$3:G$593,"",0,1)="","",_xlfn.XLOOKUP($U600,GCA!$H$3:$H$593,GCA!G$3:G$593,"",0,1))</f>
        <v>16587.945</v>
      </c>
    </row>
    <row r="601" spans="1:24" ht="13.2">
      <c r="A601" s="49"/>
      <c r="B601" s="49"/>
      <c r="C601" s="48"/>
      <c r="D601" s="49"/>
      <c r="E601" s="50"/>
      <c r="F601" s="26" t="s">
        <v>982</v>
      </c>
      <c r="G601" s="26" t="s">
        <v>982</v>
      </c>
      <c r="H601" s="27">
        <f t="shared" si="800"/>
        <v>11836.44</v>
      </c>
      <c r="I601" s="27">
        <f t="shared" si="801"/>
        <v>12422.71</v>
      </c>
      <c r="J601" s="27">
        <f t="shared" si="802"/>
        <v>12205.445</v>
      </c>
      <c r="K601" s="27">
        <f t="shared" si="803"/>
        <v>12154.865</v>
      </c>
      <c r="L601" s="65"/>
      <c r="M601" s="67">
        <f t="shared" si="804"/>
        <v>0</v>
      </c>
      <c r="N601" s="65" t="str">
        <f t="shared" si="805"/>
        <v/>
      </c>
      <c r="O601" s="65" t="str">
        <f t="shared" ref="O601:P601" si="813">N601</f>
        <v/>
      </c>
      <c r="P601" s="65" t="str">
        <f t="shared" si="813"/>
        <v/>
      </c>
      <c r="Q601" s="38"/>
      <c r="R601" s="3" t="str">
        <f t="shared" si="812"/>
        <v>Virudhunagar</v>
      </c>
      <c r="S601" s="3" t="str">
        <f t="shared" si="808"/>
        <v>Kariapatti</v>
      </c>
      <c r="T601" s="3" t="str">
        <f t="shared" si="809"/>
        <v>Kariapatti</v>
      </c>
      <c r="U601" s="3" t="str">
        <f t="shared" si="810"/>
        <v>Virudhunagar_Kariapatti_Kariapatti</v>
      </c>
      <c r="V601" s="3">
        <f>IF(_xlfn.XLOOKUP($U601,GCA!$H$3:$H$593,GCA!E$3:E$593,"",0,1)="","",_xlfn.XLOOKUP($U601,GCA!$H$3:$H$593,GCA!E$3:E$593,"",0,1))</f>
        <v>11836.44</v>
      </c>
      <c r="W601" s="3">
        <f>IF(_xlfn.XLOOKUP($U601,GCA!$H$3:$H$593,GCA!F$3:F$593,"",0,1)="","",_xlfn.XLOOKUP($U601,GCA!$H$3:$H$593,GCA!F$3:F$593,"",0,1))</f>
        <v>12422.71</v>
      </c>
      <c r="X601" s="3">
        <f>IF(_xlfn.XLOOKUP($U601,GCA!$H$3:$H$593,GCA!G$3:G$593,"",0,1)="","",_xlfn.XLOOKUP($U601,GCA!$H$3:$H$593,GCA!G$3:G$593,"",0,1))</f>
        <v>12205.445</v>
      </c>
    </row>
    <row r="602" spans="1:24" ht="13.2">
      <c r="A602" s="49"/>
      <c r="B602" s="49"/>
      <c r="C602" s="48"/>
      <c r="D602" s="49"/>
      <c r="E602" s="50"/>
      <c r="F602" s="26" t="s">
        <v>982</v>
      </c>
      <c r="G602" s="26" t="s">
        <v>983</v>
      </c>
      <c r="H602" s="27">
        <f t="shared" si="800"/>
        <v>106.67</v>
      </c>
      <c r="I602" s="27">
        <f t="shared" si="801"/>
        <v>137.83000000000001</v>
      </c>
      <c r="J602" s="27">
        <f t="shared" si="802"/>
        <v>125.45</v>
      </c>
      <c r="K602" s="27">
        <f t="shared" si="803"/>
        <v>123.31666666666666</v>
      </c>
      <c r="L602" s="65"/>
      <c r="M602" s="67">
        <f t="shared" si="804"/>
        <v>0</v>
      </c>
      <c r="N602" s="65" t="str">
        <f t="shared" si="805"/>
        <v/>
      </c>
      <c r="O602" s="65" t="str">
        <f t="shared" ref="O602:P602" si="814">N602</f>
        <v/>
      </c>
      <c r="P602" s="65" t="str">
        <f t="shared" si="814"/>
        <v/>
      </c>
      <c r="Q602" s="38"/>
      <c r="R602" s="3" t="str">
        <f t="shared" si="812"/>
        <v>Virudhunagar</v>
      </c>
      <c r="S602" s="3" t="str">
        <f t="shared" si="808"/>
        <v>Kariapatti</v>
      </c>
      <c r="T602" s="3" t="str">
        <f t="shared" si="809"/>
        <v>Narikudi</v>
      </c>
      <c r="U602" s="3" t="str">
        <f t="shared" si="810"/>
        <v>Virudhunagar_Kariapatti_Narikudi</v>
      </c>
      <c r="V602" s="3">
        <f>IF(_xlfn.XLOOKUP($U602,GCA!$H$3:$H$593,GCA!E$3:E$593,"",0,1)="","",_xlfn.XLOOKUP($U602,GCA!$H$3:$H$593,GCA!E$3:E$593,"",0,1))</f>
        <v>106.67</v>
      </c>
      <c r="W602" s="3">
        <f>IF(_xlfn.XLOOKUP($U602,GCA!$H$3:$H$593,GCA!F$3:F$593,"",0,1)="","",_xlfn.XLOOKUP($U602,GCA!$H$3:$H$593,GCA!F$3:F$593,"",0,1))</f>
        <v>137.83000000000001</v>
      </c>
      <c r="X602" s="3">
        <f>IF(_xlfn.XLOOKUP($U602,GCA!$H$3:$H$593,GCA!G$3:G$593,"",0,1)="","",_xlfn.XLOOKUP($U602,GCA!$H$3:$H$593,GCA!G$3:G$593,"",0,1))</f>
        <v>125.45</v>
      </c>
    </row>
    <row r="603" spans="1:24" ht="13.2">
      <c r="A603" s="49"/>
      <c r="B603" s="49"/>
      <c r="C603" s="48"/>
      <c r="D603" s="49"/>
      <c r="E603" s="50">
        <v>2</v>
      </c>
      <c r="F603" s="26" t="s">
        <v>984</v>
      </c>
      <c r="G603" s="26" t="s">
        <v>984</v>
      </c>
      <c r="H603" s="27">
        <f t="shared" si="800"/>
        <v>15791.19</v>
      </c>
      <c r="I603" s="27">
        <f t="shared" si="801"/>
        <v>16131.235000000001</v>
      </c>
      <c r="J603" s="27">
        <f t="shared" si="802"/>
        <v>15914.39</v>
      </c>
      <c r="K603" s="27">
        <f t="shared" si="803"/>
        <v>15945.605000000001</v>
      </c>
      <c r="L603" s="65">
        <f>SUM(K603:K611)</f>
        <v>45808.181666666664</v>
      </c>
      <c r="M603" s="67">
        <f t="shared" si="804"/>
        <v>1.9227542435395533</v>
      </c>
      <c r="N603" s="65">
        <f t="shared" si="805"/>
        <v>2</v>
      </c>
      <c r="O603" s="65">
        <f t="shared" ref="O603:P603" si="815">N603</f>
        <v>2</v>
      </c>
      <c r="P603" s="65">
        <f t="shared" si="815"/>
        <v>2</v>
      </c>
      <c r="Q603" s="38"/>
      <c r="R603" s="3" t="str">
        <f t="shared" si="812"/>
        <v>Virudhunagar</v>
      </c>
      <c r="S603" s="3" t="str">
        <f t="shared" si="808"/>
        <v>Rajapalayam</v>
      </c>
      <c r="T603" s="3" t="str">
        <f t="shared" si="809"/>
        <v>Rajapalayam</v>
      </c>
      <c r="U603" s="3" t="str">
        <f t="shared" si="810"/>
        <v>Virudhunagar_Rajapalayam_Rajapalayam</v>
      </c>
      <c r="V603" s="3">
        <f>IF(_xlfn.XLOOKUP($U603,GCA!$H$3:$H$593,GCA!E$3:E$593,"",0,1)="","",_xlfn.XLOOKUP($U603,GCA!$H$3:$H$593,GCA!E$3:E$593,"",0,1))</f>
        <v>15791.19</v>
      </c>
      <c r="W603" s="3">
        <f>IF(_xlfn.XLOOKUP($U603,GCA!$H$3:$H$593,GCA!F$3:F$593,"",0,1)="","",_xlfn.XLOOKUP($U603,GCA!$H$3:$H$593,GCA!F$3:F$593,"",0,1))</f>
        <v>16131.235000000001</v>
      </c>
      <c r="X603" s="3">
        <f>IF(_xlfn.XLOOKUP($U603,GCA!$H$3:$H$593,GCA!G$3:G$593,"",0,1)="","",_xlfn.XLOOKUP($U603,GCA!$H$3:$H$593,GCA!G$3:G$593,"",0,1))</f>
        <v>15914.39</v>
      </c>
    </row>
    <row r="604" spans="1:24" ht="13.2">
      <c r="A604" s="49"/>
      <c r="B604" s="49"/>
      <c r="C604" s="48"/>
      <c r="D604" s="49"/>
      <c r="E604" s="50"/>
      <c r="F604" s="26" t="s">
        <v>984</v>
      </c>
      <c r="G604" s="26" t="s">
        <v>985</v>
      </c>
      <c r="H604" s="27">
        <f t="shared" si="800"/>
        <v>551.19500000000005</v>
      </c>
      <c r="I604" s="27">
        <f t="shared" si="801"/>
        <v>490.90499999999997</v>
      </c>
      <c r="J604" s="27">
        <f t="shared" si="802"/>
        <v>533.98500000000001</v>
      </c>
      <c r="K604" s="27">
        <f t="shared" si="803"/>
        <v>525.36166666666668</v>
      </c>
      <c r="L604" s="65"/>
      <c r="M604" s="67">
        <f t="shared" si="804"/>
        <v>0</v>
      </c>
      <c r="N604" s="65" t="str">
        <f t="shared" si="805"/>
        <v/>
      </c>
      <c r="O604" s="65" t="str">
        <f t="shared" ref="O604:P604" si="816">N604</f>
        <v/>
      </c>
      <c r="P604" s="65" t="str">
        <f t="shared" si="816"/>
        <v/>
      </c>
      <c r="Q604" s="38"/>
      <c r="R604" s="3" t="str">
        <f t="shared" si="812"/>
        <v>Virudhunagar</v>
      </c>
      <c r="S604" s="3" t="str">
        <f t="shared" si="808"/>
        <v>Rajapalayam</v>
      </c>
      <c r="T604" s="3" t="str">
        <f t="shared" si="809"/>
        <v>Srivilliputtur</v>
      </c>
      <c r="U604" s="3" t="str">
        <f t="shared" si="810"/>
        <v>Virudhunagar_Rajapalayam_Srivilliputtur</v>
      </c>
      <c r="V604" s="3">
        <f>IF(_xlfn.XLOOKUP($U604,GCA!$H$3:$H$593,GCA!E$3:E$593,"",0,1)="","",_xlfn.XLOOKUP($U604,GCA!$H$3:$H$593,GCA!E$3:E$593,"",0,1))</f>
        <v>551.19500000000005</v>
      </c>
      <c r="W604" s="3">
        <f>IF(_xlfn.XLOOKUP($U604,GCA!$H$3:$H$593,GCA!F$3:F$593,"",0,1)="","",_xlfn.XLOOKUP($U604,GCA!$H$3:$H$593,GCA!F$3:F$593,"",0,1))</f>
        <v>490.90499999999997</v>
      </c>
      <c r="X604" s="3">
        <f>IF(_xlfn.XLOOKUP($U604,GCA!$H$3:$H$593,GCA!G$3:G$593,"",0,1)="","",_xlfn.XLOOKUP($U604,GCA!$H$3:$H$593,GCA!G$3:G$593,"",0,1))</f>
        <v>533.98500000000001</v>
      </c>
    </row>
    <row r="605" spans="1:24" ht="13.2">
      <c r="A605" s="49"/>
      <c r="B605" s="49"/>
      <c r="C605" s="48"/>
      <c r="D605" s="49"/>
      <c r="E605" s="50"/>
      <c r="F605" s="26" t="s">
        <v>986</v>
      </c>
      <c r="G605" s="26" t="s">
        <v>986</v>
      </c>
      <c r="H605" s="27">
        <f t="shared" si="800"/>
        <v>11612.26</v>
      </c>
      <c r="I605" s="27">
        <f t="shared" si="801"/>
        <v>12113.695</v>
      </c>
      <c r="J605" s="27">
        <f t="shared" si="802"/>
        <v>12090.03</v>
      </c>
      <c r="K605" s="27">
        <f t="shared" si="803"/>
        <v>11938.661666666667</v>
      </c>
      <c r="L605" s="65"/>
      <c r="M605" s="67">
        <f t="shared" si="804"/>
        <v>0</v>
      </c>
      <c r="N605" s="65" t="str">
        <f t="shared" si="805"/>
        <v/>
      </c>
      <c r="O605" s="65" t="str">
        <f t="shared" ref="O605:P605" si="817">N605</f>
        <v/>
      </c>
      <c r="P605" s="65" t="str">
        <f t="shared" si="817"/>
        <v/>
      </c>
      <c r="Q605" s="38"/>
      <c r="R605" s="3" t="str">
        <f t="shared" si="812"/>
        <v>Virudhunagar</v>
      </c>
      <c r="S605" s="3" t="str">
        <f t="shared" si="808"/>
        <v>Sattur</v>
      </c>
      <c r="T605" s="3" t="str">
        <f t="shared" si="809"/>
        <v>Sattur</v>
      </c>
      <c r="U605" s="3" t="str">
        <f t="shared" si="810"/>
        <v>Virudhunagar_Sattur_Sattur</v>
      </c>
      <c r="V605" s="3">
        <f>IF(_xlfn.XLOOKUP($U605,GCA!$H$3:$H$593,GCA!E$3:E$593,"",0,1)="","",_xlfn.XLOOKUP($U605,GCA!$H$3:$H$593,GCA!E$3:E$593,"",0,1))</f>
        <v>11612.26</v>
      </c>
      <c r="W605" s="3">
        <f>IF(_xlfn.XLOOKUP($U605,GCA!$H$3:$H$593,GCA!F$3:F$593,"",0,1)="","",_xlfn.XLOOKUP($U605,GCA!$H$3:$H$593,GCA!F$3:F$593,"",0,1))</f>
        <v>12113.695</v>
      </c>
      <c r="X605" s="3">
        <f>IF(_xlfn.XLOOKUP($U605,GCA!$H$3:$H$593,GCA!G$3:G$593,"",0,1)="","",_xlfn.XLOOKUP($U605,GCA!$H$3:$H$593,GCA!G$3:G$593,"",0,1))</f>
        <v>12090.03</v>
      </c>
    </row>
    <row r="606" spans="1:24" ht="13.2">
      <c r="A606" s="49"/>
      <c r="B606" s="49"/>
      <c r="C606" s="48"/>
      <c r="D606" s="49"/>
      <c r="E606" s="50"/>
      <c r="F606" s="26" t="s">
        <v>986</v>
      </c>
      <c r="G606" s="26" t="s">
        <v>248</v>
      </c>
      <c r="H606" s="27">
        <f t="shared" si="800"/>
        <v>636.07500000000005</v>
      </c>
      <c r="I606" s="27">
        <f t="shared" si="801"/>
        <v>761.23</v>
      </c>
      <c r="J606" s="27">
        <f t="shared" si="802"/>
        <v>763.64</v>
      </c>
      <c r="K606" s="27">
        <f t="shared" si="803"/>
        <v>720.31500000000005</v>
      </c>
      <c r="L606" s="65"/>
      <c r="M606" s="67">
        <f t="shared" si="804"/>
        <v>0</v>
      </c>
      <c r="N606" s="65" t="str">
        <f t="shared" si="805"/>
        <v/>
      </c>
      <c r="O606" s="65" t="str">
        <f t="shared" ref="O606:P606" si="818">N606</f>
        <v/>
      </c>
      <c r="P606" s="65" t="str">
        <f t="shared" si="818"/>
        <v/>
      </c>
      <c r="Q606" s="38"/>
      <c r="R606" s="3" t="str">
        <f t="shared" si="812"/>
        <v>Virudhunagar</v>
      </c>
      <c r="S606" s="3" t="str">
        <f t="shared" si="808"/>
        <v>Sattur</v>
      </c>
      <c r="T606" s="3" t="str">
        <f t="shared" si="809"/>
        <v>Virudhunagar</v>
      </c>
      <c r="U606" s="3" t="str">
        <f t="shared" si="810"/>
        <v>Virudhunagar_Sattur_Virudhunagar</v>
      </c>
      <c r="V606" s="3">
        <f>IF(_xlfn.XLOOKUP($U606,GCA!$H$3:$H$593,GCA!E$3:E$593,"",0,1)="","",_xlfn.XLOOKUP($U606,GCA!$H$3:$H$593,GCA!E$3:E$593,"",0,1))</f>
        <v>636.07500000000005</v>
      </c>
      <c r="W606" s="3">
        <f>IF(_xlfn.XLOOKUP($U606,GCA!$H$3:$H$593,GCA!F$3:F$593,"",0,1)="","",_xlfn.XLOOKUP($U606,GCA!$H$3:$H$593,GCA!F$3:F$593,"",0,1))</f>
        <v>761.23</v>
      </c>
      <c r="X606" s="3">
        <f>IF(_xlfn.XLOOKUP($U606,GCA!$H$3:$H$593,GCA!G$3:G$593,"",0,1)="","",_xlfn.XLOOKUP($U606,GCA!$H$3:$H$593,GCA!G$3:G$593,"",0,1))</f>
        <v>763.64</v>
      </c>
    </row>
    <row r="607" spans="1:24" ht="13.2">
      <c r="A607" s="49"/>
      <c r="B607" s="49"/>
      <c r="C607" s="48"/>
      <c r="D607" s="49"/>
      <c r="E607" s="50"/>
      <c r="F607" s="26" t="s">
        <v>987</v>
      </c>
      <c r="G607" s="26" t="s">
        <v>987</v>
      </c>
      <c r="H607" s="27">
        <f t="shared" si="800"/>
        <v>6477.2650000000003</v>
      </c>
      <c r="I607" s="27">
        <f t="shared" si="801"/>
        <v>6672.125</v>
      </c>
      <c r="J607" s="27">
        <f t="shared" si="802"/>
        <v>6591.17</v>
      </c>
      <c r="K607" s="27">
        <f t="shared" si="803"/>
        <v>6580.1866666666656</v>
      </c>
      <c r="L607" s="65"/>
      <c r="M607" s="67">
        <f t="shared" si="804"/>
        <v>0</v>
      </c>
      <c r="N607" s="65" t="str">
        <f t="shared" si="805"/>
        <v/>
      </c>
      <c r="O607" s="65" t="str">
        <f t="shared" ref="O607:P607" si="819">N607</f>
        <v/>
      </c>
      <c r="P607" s="65" t="str">
        <f t="shared" si="819"/>
        <v/>
      </c>
      <c r="Q607" s="38"/>
      <c r="R607" s="3" t="str">
        <f t="shared" si="812"/>
        <v>Virudhunagar</v>
      </c>
      <c r="S607" s="3" t="str">
        <f t="shared" si="808"/>
        <v>Sivakasi</v>
      </c>
      <c r="T607" s="3" t="str">
        <f t="shared" si="809"/>
        <v>Sivakasi</v>
      </c>
      <c r="U607" s="3" t="str">
        <f t="shared" si="810"/>
        <v>Virudhunagar_Sivakasi_Sivakasi</v>
      </c>
      <c r="V607" s="3">
        <f>IF(_xlfn.XLOOKUP($U607,GCA!$H$3:$H$593,GCA!E$3:E$593,"",0,1)="","",_xlfn.XLOOKUP($U607,GCA!$H$3:$H$593,GCA!E$3:E$593,"",0,1))</f>
        <v>6477.2650000000003</v>
      </c>
      <c r="W607" s="3">
        <f>IF(_xlfn.XLOOKUP($U607,GCA!$H$3:$H$593,GCA!F$3:F$593,"",0,1)="","",_xlfn.XLOOKUP($U607,GCA!$H$3:$H$593,GCA!F$3:F$593,"",0,1))</f>
        <v>6672.125</v>
      </c>
      <c r="X607" s="3">
        <f>IF(_xlfn.XLOOKUP($U607,GCA!$H$3:$H$593,GCA!G$3:G$593,"",0,1)="","",_xlfn.XLOOKUP($U607,GCA!$H$3:$H$593,GCA!G$3:G$593,"",0,1))</f>
        <v>6591.17</v>
      </c>
    </row>
    <row r="608" spans="1:24" ht="13.2">
      <c r="A608" s="49"/>
      <c r="B608" s="49"/>
      <c r="C608" s="48"/>
      <c r="D608" s="49"/>
      <c r="E608" s="50"/>
      <c r="F608" s="26" t="s">
        <v>987</v>
      </c>
      <c r="G608" s="26" t="s">
        <v>985</v>
      </c>
      <c r="H608" s="27">
        <f t="shared" si="800"/>
        <v>4.8</v>
      </c>
      <c r="I608" s="27">
        <f t="shared" si="801"/>
        <v>8.1300000000000008</v>
      </c>
      <c r="J608" s="27">
        <f t="shared" si="802"/>
        <v>7.4</v>
      </c>
      <c r="K608" s="27">
        <f t="shared" si="803"/>
        <v>6.7766666666666664</v>
      </c>
      <c r="L608" s="65"/>
      <c r="M608" s="67">
        <f t="shared" si="804"/>
        <v>0</v>
      </c>
      <c r="N608" s="65" t="str">
        <f t="shared" si="805"/>
        <v/>
      </c>
      <c r="O608" s="65" t="str">
        <f t="shared" ref="O608:P608" si="820">N608</f>
        <v/>
      </c>
      <c r="P608" s="65" t="str">
        <f t="shared" si="820"/>
        <v/>
      </c>
      <c r="Q608" s="38"/>
      <c r="R608" s="3" t="str">
        <f t="shared" si="812"/>
        <v>Virudhunagar</v>
      </c>
      <c r="S608" s="3" t="str">
        <f t="shared" si="808"/>
        <v>Sivakasi</v>
      </c>
      <c r="T608" s="3" t="str">
        <f t="shared" si="809"/>
        <v>Srivilliputtur</v>
      </c>
      <c r="U608" s="3" t="str">
        <f t="shared" si="810"/>
        <v>Virudhunagar_Sivakasi_Srivilliputtur</v>
      </c>
      <c r="V608" s="3">
        <f>IF(_xlfn.XLOOKUP($U608,GCA!$H$3:$H$593,GCA!E$3:E$593,"",0,1)="","",_xlfn.XLOOKUP($U608,GCA!$H$3:$H$593,GCA!E$3:E$593,"",0,1))</f>
        <v>4.8</v>
      </c>
      <c r="W608" s="3">
        <f>IF(_xlfn.XLOOKUP($U608,GCA!$H$3:$H$593,GCA!F$3:F$593,"",0,1)="","",_xlfn.XLOOKUP($U608,GCA!$H$3:$H$593,GCA!F$3:F$593,"",0,1))</f>
        <v>8.1300000000000008</v>
      </c>
      <c r="X608" s="3">
        <f>IF(_xlfn.XLOOKUP($U608,GCA!$H$3:$H$593,GCA!G$3:G$593,"",0,1)="","",_xlfn.XLOOKUP($U608,GCA!$H$3:$H$593,GCA!G$3:G$593,"",0,1))</f>
        <v>7.4</v>
      </c>
    </row>
    <row r="609" spans="1:24" ht="13.2">
      <c r="A609" s="49"/>
      <c r="B609" s="49"/>
      <c r="C609" s="48"/>
      <c r="D609" s="49"/>
      <c r="E609" s="50"/>
      <c r="F609" s="26" t="s">
        <v>987</v>
      </c>
      <c r="G609" s="26" t="s">
        <v>988</v>
      </c>
      <c r="H609" s="27">
        <f t="shared" si="800"/>
        <v>1520.0650000000001</v>
      </c>
      <c r="I609" s="27">
        <f t="shared" si="801"/>
        <v>1366.24</v>
      </c>
      <c r="J609" s="27">
        <f t="shared" si="802"/>
        <v>1279.04</v>
      </c>
      <c r="K609" s="27">
        <f t="shared" si="803"/>
        <v>1388.4483333333335</v>
      </c>
      <c r="L609" s="65"/>
      <c r="M609" s="67">
        <f t="shared" si="804"/>
        <v>0</v>
      </c>
      <c r="N609" s="65" t="str">
        <f t="shared" si="805"/>
        <v/>
      </c>
      <c r="O609" s="65" t="str">
        <f t="shared" ref="O609:P609" si="821">N609</f>
        <v/>
      </c>
      <c r="P609" s="65" t="str">
        <f t="shared" si="821"/>
        <v/>
      </c>
      <c r="Q609" s="38"/>
      <c r="R609" s="3" t="str">
        <f t="shared" si="812"/>
        <v>Virudhunagar</v>
      </c>
      <c r="S609" s="3" t="str">
        <f t="shared" si="808"/>
        <v>Sivakasi</v>
      </c>
      <c r="T609" s="3" t="str">
        <f t="shared" si="809"/>
        <v>Vembakottai</v>
      </c>
      <c r="U609" s="3" t="str">
        <f t="shared" si="810"/>
        <v>Virudhunagar_Sivakasi_Vembakottai</v>
      </c>
      <c r="V609" s="3">
        <f>IF(_xlfn.XLOOKUP($U609,GCA!$H$3:$H$593,GCA!E$3:E$593,"",0,1)="","",_xlfn.XLOOKUP($U609,GCA!$H$3:$H$593,GCA!E$3:E$593,"",0,1))</f>
        <v>1520.0650000000001</v>
      </c>
      <c r="W609" s="3">
        <f>IF(_xlfn.XLOOKUP($U609,GCA!$H$3:$H$593,GCA!F$3:F$593,"",0,1)="","",_xlfn.XLOOKUP($U609,GCA!$H$3:$H$593,GCA!F$3:F$593,"",0,1))</f>
        <v>1366.24</v>
      </c>
      <c r="X609" s="3">
        <f>IF(_xlfn.XLOOKUP($U609,GCA!$H$3:$H$593,GCA!G$3:G$593,"",0,1)="","",_xlfn.XLOOKUP($U609,GCA!$H$3:$H$593,GCA!G$3:G$593,"",0,1))</f>
        <v>1279.04</v>
      </c>
    </row>
    <row r="610" spans="1:24" ht="13.2">
      <c r="A610" s="49"/>
      <c r="B610" s="49"/>
      <c r="C610" s="48"/>
      <c r="D610" s="49"/>
      <c r="E610" s="50"/>
      <c r="F610" s="26" t="s">
        <v>985</v>
      </c>
      <c r="G610" s="26" t="s">
        <v>985</v>
      </c>
      <c r="H610" s="27">
        <f t="shared" si="800"/>
        <v>8872.25</v>
      </c>
      <c r="I610" s="27">
        <f t="shared" si="801"/>
        <v>8707.25</v>
      </c>
      <c r="J610" s="27">
        <f t="shared" si="802"/>
        <v>8429.6049999999996</v>
      </c>
      <c r="K610" s="27">
        <f t="shared" si="803"/>
        <v>8669.7016666666659</v>
      </c>
      <c r="L610" s="65"/>
      <c r="M610" s="67">
        <f t="shared" si="804"/>
        <v>0</v>
      </c>
      <c r="N610" s="65" t="str">
        <f t="shared" si="805"/>
        <v/>
      </c>
      <c r="O610" s="65" t="str">
        <f t="shared" ref="O610:P610" si="822">N610</f>
        <v/>
      </c>
      <c r="P610" s="65" t="str">
        <f t="shared" si="822"/>
        <v/>
      </c>
      <c r="Q610" s="38"/>
      <c r="R610" s="3" t="str">
        <f t="shared" si="812"/>
        <v>Virudhunagar</v>
      </c>
      <c r="S610" s="3" t="str">
        <f t="shared" si="808"/>
        <v>Srivilliputtur</v>
      </c>
      <c r="T610" s="3" t="str">
        <f t="shared" si="809"/>
        <v>Srivilliputtur</v>
      </c>
      <c r="U610" s="3" t="str">
        <f t="shared" si="810"/>
        <v>Virudhunagar_Srivilliputtur_Srivilliputtur</v>
      </c>
      <c r="V610" s="3">
        <f>IF(_xlfn.XLOOKUP($U610,GCA!$H$3:$H$593,GCA!E$3:E$593,"",0,1)="","",_xlfn.XLOOKUP($U610,GCA!$H$3:$H$593,GCA!E$3:E$593,"",0,1))</f>
        <v>8872.25</v>
      </c>
      <c r="W610" s="3">
        <f>IF(_xlfn.XLOOKUP($U610,GCA!$H$3:$H$593,GCA!F$3:F$593,"",0,1)="","",_xlfn.XLOOKUP($U610,GCA!$H$3:$H$593,GCA!F$3:F$593,"",0,1))</f>
        <v>8707.25</v>
      </c>
      <c r="X610" s="3">
        <f>IF(_xlfn.XLOOKUP($U610,GCA!$H$3:$H$593,GCA!G$3:G$593,"",0,1)="","",_xlfn.XLOOKUP($U610,GCA!$H$3:$H$593,GCA!G$3:G$593,"",0,1))</f>
        <v>8429.6049999999996</v>
      </c>
    </row>
    <row r="611" spans="1:24" ht="13.2">
      <c r="A611" s="49"/>
      <c r="B611" s="49"/>
      <c r="C611" s="48"/>
      <c r="D611" s="49"/>
      <c r="E611" s="50"/>
      <c r="F611" s="26" t="s">
        <v>985</v>
      </c>
      <c r="G611" s="26" t="s">
        <v>989</v>
      </c>
      <c r="H611" s="27">
        <f t="shared" si="800"/>
        <v>36.869999999999997</v>
      </c>
      <c r="I611" s="27">
        <f t="shared" si="801"/>
        <v>31.475000000000001</v>
      </c>
      <c r="J611" s="27">
        <f t="shared" si="802"/>
        <v>31.03</v>
      </c>
      <c r="K611" s="27">
        <f t="shared" si="803"/>
        <v>33.125</v>
      </c>
      <c r="L611" s="65"/>
      <c r="M611" s="67">
        <f t="shared" si="804"/>
        <v>0</v>
      </c>
      <c r="N611" s="65" t="str">
        <f t="shared" si="805"/>
        <v/>
      </c>
      <c r="O611" s="65" t="str">
        <f t="shared" ref="O611:P611" si="823">N611</f>
        <v/>
      </c>
      <c r="P611" s="65" t="str">
        <f t="shared" si="823"/>
        <v/>
      </c>
      <c r="Q611" s="38"/>
      <c r="R611" s="3" t="str">
        <f t="shared" si="812"/>
        <v>Virudhunagar</v>
      </c>
      <c r="S611" s="3" t="str">
        <f t="shared" si="808"/>
        <v>Srivilliputtur</v>
      </c>
      <c r="T611" s="3" t="str">
        <f t="shared" si="809"/>
        <v>Watrap</v>
      </c>
      <c r="U611" s="3" t="str">
        <f t="shared" si="810"/>
        <v>Virudhunagar_Srivilliputtur_Watrap</v>
      </c>
      <c r="V611" s="3">
        <f>IF(_xlfn.XLOOKUP($U611,GCA!$H$3:$H$593,GCA!E$3:E$593,"",0,1)="","",_xlfn.XLOOKUP($U611,GCA!$H$3:$H$593,GCA!E$3:E$593,"",0,1))</f>
        <v>36.869999999999997</v>
      </c>
      <c r="W611" s="3">
        <f>IF(_xlfn.XLOOKUP($U611,GCA!$H$3:$H$593,GCA!F$3:F$593,"",0,1)="","",_xlfn.XLOOKUP($U611,GCA!$H$3:$H$593,GCA!F$3:F$593,"",0,1))</f>
        <v>31.475000000000001</v>
      </c>
      <c r="X611" s="3">
        <f>IF(_xlfn.XLOOKUP($U611,GCA!$H$3:$H$593,GCA!G$3:G$593,"",0,1)="","",_xlfn.XLOOKUP($U611,GCA!$H$3:$H$593,GCA!G$3:G$593,"",0,1))</f>
        <v>31.03</v>
      </c>
    </row>
    <row r="612" spans="1:24" ht="13.2">
      <c r="A612" s="49"/>
      <c r="B612" s="49"/>
      <c r="C612" s="48"/>
      <c r="D612" s="49"/>
      <c r="E612" s="50">
        <v>3</v>
      </c>
      <c r="F612" s="26" t="s">
        <v>981</v>
      </c>
      <c r="G612" s="26" t="s">
        <v>982</v>
      </c>
      <c r="H612" s="27">
        <f t="shared" si="800"/>
        <v>179.315</v>
      </c>
      <c r="I612" s="27">
        <f t="shared" si="801"/>
        <v>207.755</v>
      </c>
      <c r="J612" s="27">
        <f t="shared" si="802"/>
        <v>171.96</v>
      </c>
      <c r="K612" s="27">
        <f t="shared" si="803"/>
        <v>186.34333333333333</v>
      </c>
      <c r="L612" s="65">
        <f>SUM(K612:K620)</f>
        <v>52647.806666666671</v>
      </c>
      <c r="M612" s="67">
        <f t="shared" si="804"/>
        <v>2.2098409061070567</v>
      </c>
      <c r="N612" s="65">
        <f t="shared" si="805"/>
        <v>2</v>
      </c>
      <c r="O612" s="65">
        <f t="shared" ref="O612:P612" si="824">N612</f>
        <v>2</v>
      </c>
      <c r="P612" s="65">
        <f t="shared" si="824"/>
        <v>2</v>
      </c>
      <c r="Q612" s="38"/>
      <c r="R612" s="3" t="str">
        <f t="shared" si="812"/>
        <v>Virudhunagar</v>
      </c>
      <c r="S612" s="3" t="str">
        <f t="shared" si="808"/>
        <v>Thiruchuli</v>
      </c>
      <c r="T612" s="3" t="str">
        <f t="shared" si="809"/>
        <v>Kariapatti</v>
      </c>
      <c r="U612" s="3" t="str">
        <f t="shared" si="810"/>
        <v>Virudhunagar_Thiruchuli_Kariapatti</v>
      </c>
      <c r="V612" s="3">
        <f>IF(_xlfn.XLOOKUP($U612,GCA!$H$3:$H$593,GCA!E$3:E$593,"",0,1)="","",_xlfn.XLOOKUP($U612,GCA!$H$3:$H$593,GCA!E$3:E$593,"",0,1))</f>
        <v>179.315</v>
      </c>
      <c r="W612" s="3">
        <f>IF(_xlfn.XLOOKUP($U612,GCA!$H$3:$H$593,GCA!F$3:F$593,"",0,1)="","",_xlfn.XLOOKUP($U612,GCA!$H$3:$H$593,GCA!F$3:F$593,"",0,1))</f>
        <v>207.755</v>
      </c>
      <c r="X612" s="3">
        <f>IF(_xlfn.XLOOKUP($U612,GCA!$H$3:$H$593,GCA!G$3:G$593,"",0,1)="","",_xlfn.XLOOKUP($U612,GCA!$H$3:$H$593,GCA!G$3:G$593,"",0,1))</f>
        <v>171.96</v>
      </c>
    </row>
    <row r="613" spans="1:24" ht="13.2">
      <c r="A613" s="49"/>
      <c r="B613" s="49"/>
      <c r="C613" s="48"/>
      <c r="D613" s="49"/>
      <c r="E613" s="50"/>
      <c r="F613" s="26" t="s">
        <v>981</v>
      </c>
      <c r="G613" s="26" t="s">
        <v>983</v>
      </c>
      <c r="H613" s="27">
        <f t="shared" si="800"/>
        <v>12086.264999999999</v>
      </c>
      <c r="I613" s="27">
        <f t="shared" si="801"/>
        <v>12860.305</v>
      </c>
      <c r="J613" s="27">
        <f t="shared" si="802"/>
        <v>12836.715</v>
      </c>
      <c r="K613" s="27">
        <f t="shared" si="803"/>
        <v>12594.428333333335</v>
      </c>
      <c r="L613" s="65"/>
      <c r="M613" s="67">
        <f t="shared" si="804"/>
        <v>0</v>
      </c>
      <c r="N613" s="65" t="str">
        <f t="shared" si="805"/>
        <v/>
      </c>
      <c r="O613" s="65" t="str">
        <f t="shared" ref="O613:P613" si="825">N613</f>
        <v/>
      </c>
      <c r="P613" s="65" t="str">
        <f t="shared" si="825"/>
        <v/>
      </c>
      <c r="Q613" s="38"/>
      <c r="R613" s="3" t="str">
        <f t="shared" si="812"/>
        <v>Virudhunagar</v>
      </c>
      <c r="S613" s="3" t="str">
        <f t="shared" si="808"/>
        <v>Thiruchuli</v>
      </c>
      <c r="T613" s="3" t="str">
        <f t="shared" si="809"/>
        <v>Narikudi</v>
      </c>
      <c r="U613" s="3" t="str">
        <f t="shared" si="810"/>
        <v>Virudhunagar_Thiruchuli_Narikudi</v>
      </c>
      <c r="V613" s="3">
        <f>IF(_xlfn.XLOOKUP($U613,GCA!$H$3:$H$593,GCA!E$3:E$593,"",0,1)="","",_xlfn.XLOOKUP($U613,GCA!$H$3:$H$593,GCA!E$3:E$593,"",0,1))</f>
        <v>12086.264999999999</v>
      </c>
      <c r="W613" s="3">
        <f>IF(_xlfn.XLOOKUP($U613,GCA!$H$3:$H$593,GCA!F$3:F$593,"",0,1)="","",_xlfn.XLOOKUP($U613,GCA!$H$3:$H$593,GCA!F$3:F$593,"",0,1))</f>
        <v>12860.305</v>
      </c>
      <c r="X613" s="3">
        <f>IF(_xlfn.XLOOKUP($U613,GCA!$H$3:$H$593,GCA!G$3:G$593,"",0,1)="","",_xlfn.XLOOKUP($U613,GCA!$H$3:$H$593,GCA!G$3:G$593,"",0,1))</f>
        <v>12836.715</v>
      </c>
    </row>
    <row r="614" spans="1:24" ht="13.2">
      <c r="A614" s="49"/>
      <c r="B614" s="49"/>
      <c r="C614" s="48"/>
      <c r="D614" s="49"/>
      <c r="E614" s="50"/>
      <c r="F614" s="26" t="s">
        <v>981</v>
      </c>
      <c r="G614" s="26" t="s">
        <v>981</v>
      </c>
      <c r="H614" s="27">
        <f t="shared" si="800"/>
        <v>3401.47</v>
      </c>
      <c r="I614" s="27">
        <f t="shared" si="801"/>
        <v>3482.83</v>
      </c>
      <c r="J614" s="27">
        <f t="shared" si="802"/>
        <v>3463.5050000000001</v>
      </c>
      <c r="K614" s="27">
        <f t="shared" si="803"/>
        <v>3449.2683333333334</v>
      </c>
      <c r="L614" s="65"/>
      <c r="M614" s="67">
        <f t="shared" si="804"/>
        <v>0</v>
      </c>
      <c r="N614" s="65" t="str">
        <f t="shared" si="805"/>
        <v/>
      </c>
      <c r="O614" s="65" t="str">
        <f t="shared" ref="O614:P614" si="826">N614</f>
        <v/>
      </c>
      <c r="P614" s="65" t="str">
        <f t="shared" si="826"/>
        <v/>
      </c>
      <c r="Q614" s="38"/>
      <c r="R614" s="3" t="str">
        <f t="shared" si="812"/>
        <v>Virudhunagar</v>
      </c>
      <c r="S614" s="3" t="str">
        <f t="shared" si="808"/>
        <v>Thiruchuli</v>
      </c>
      <c r="T614" s="3" t="str">
        <f t="shared" si="809"/>
        <v>Thiruchuli</v>
      </c>
      <c r="U614" s="3" t="str">
        <f t="shared" si="810"/>
        <v>Virudhunagar_Thiruchuli_Thiruchuli</v>
      </c>
      <c r="V614" s="3">
        <f>IF(_xlfn.XLOOKUP($U614,GCA!$H$3:$H$593,GCA!E$3:E$593,"",0,1)="","",_xlfn.XLOOKUP($U614,GCA!$H$3:$H$593,GCA!E$3:E$593,"",0,1))</f>
        <v>3401.47</v>
      </c>
      <c r="W614" s="3">
        <f>IF(_xlfn.XLOOKUP($U614,GCA!$H$3:$H$593,GCA!F$3:F$593,"",0,1)="","",_xlfn.XLOOKUP($U614,GCA!$H$3:$H$593,GCA!F$3:F$593,"",0,1))</f>
        <v>3482.83</v>
      </c>
      <c r="X614" s="3">
        <f>IF(_xlfn.XLOOKUP($U614,GCA!$H$3:$H$593,GCA!G$3:G$593,"",0,1)="","",_xlfn.XLOOKUP($U614,GCA!$H$3:$H$593,GCA!G$3:G$593,"",0,1))</f>
        <v>3463.5050000000001</v>
      </c>
    </row>
    <row r="615" spans="1:24" ht="13.2">
      <c r="A615" s="49"/>
      <c r="B615" s="49"/>
      <c r="C615" s="48"/>
      <c r="D615" s="49"/>
      <c r="E615" s="50"/>
      <c r="F615" s="26" t="s">
        <v>990</v>
      </c>
      <c r="G615" s="26" t="s">
        <v>985</v>
      </c>
      <c r="H615" s="27">
        <f t="shared" si="800"/>
        <v>40.200000000000003</v>
      </c>
      <c r="I615" s="27">
        <f t="shared" si="801"/>
        <v>60.75</v>
      </c>
      <c r="J615" s="27">
        <f t="shared" si="802"/>
        <v>38.369999999999997</v>
      </c>
      <c r="K615" s="27">
        <f t="shared" si="803"/>
        <v>46.44</v>
      </c>
      <c r="L615" s="65"/>
      <c r="M615" s="67">
        <f t="shared" si="804"/>
        <v>0</v>
      </c>
      <c r="N615" s="65" t="str">
        <f t="shared" si="805"/>
        <v/>
      </c>
      <c r="O615" s="65" t="str">
        <f t="shared" ref="O615:P615" si="827">N615</f>
        <v/>
      </c>
      <c r="P615" s="65" t="str">
        <f t="shared" si="827"/>
        <v/>
      </c>
      <c r="Q615" s="38"/>
      <c r="R615" s="3" t="str">
        <f t="shared" si="812"/>
        <v>Virudhunagar</v>
      </c>
      <c r="S615" s="3" t="str">
        <f t="shared" si="808"/>
        <v>Vathirayiruppu</v>
      </c>
      <c r="T615" s="3" t="str">
        <f t="shared" si="809"/>
        <v>Srivilliputtur</v>
      </c>
      <c r="U615" s="3" t="str">
        <f t="shared" si="810"/>
        <v>Virudhunagar_Vathirayiruppu_Srivilliputtur</v>
      </c>
      <c r="V615" s="3">
        <f>IF(_xlfn.XLOOKUP($U615,GCA!$H$3:$H$593,GCA!E$3:E$593,"",0,1)="","",_xlfn.XLOOKUP($U615,GCA!$H$3:$H$593,GCA!E$3:E$593,"",0,1))</f>
        <v>40.200000000000003</v>
      </c>
      <c r="W615" s="3">
        <f>IF(_xlfn.XLOOKUP($U615,GCA!$H$3:$H$593,GCA!F$3:F$593,"",0,1)="","",_xlfn.XLOOKUP($U615,GCA!$H$3:$H$593,GCA!F$3:F$593,"",0,1))</f>
        <v>60.75</v>
      </c>
      <c r="X615" s="3">
        <f>IF(_xlfn.XLOOKUP($U615,GCA!$H$3:$H$593,GCA!G$3:G$593,"",0,1)="","",_xlfn.XLOOKUP($U615,GCA!$H$3:$H$593,GCA!G$3:G$593,"",0,1))</f>
        <v>38.369999999999997</v>
      </c>
    </row>
    <row r="616" spans="1:24" ht="13.2">
      <c r="A616" s="49"/>
      <c r="B616" s="49"/>
      <c r="C616" s="48"/>
      <c r="D616" s="49"/>
      <c r="E616" s="50"/>
      <c r="F616" s="26" t="s">
        <v>990</v>
      </c>
      <c r="G616" s="26" t="s">
        <v>989</v>
      </c>
      <c r="H616" s="27">
        <f t="shared" si="800"/>
        <v>14284.31</v>
      </c>
      <c r="I616" s="27">
        <f t="shared" si="801"/>
        <v>13882.705</v>
      </c>
      <c r="J616" s="27">
        <f t="shared" si="802"/>
        <v>14600.33</v>
      </c>
      <c r="K616" s="27">
        <f t="shared" si="803"/>
        <v>14255.781666666668</v>
      </c>
      <c r="L616" s="65"/>
      <c r="M616" s="67">
        <f t="shared" si="804"/>
        <v>0</v>
      </c>
      <c r="N616" s="65" t="str">
        <f t="shared" si="805"/>
        <v/>
      </c>
      <c r="O616" s="65" t="str">
        <f t="shared" ref="O616:P616" si="828">N616</f>
        <v/>
      </c>
      <c r="P616" s="65" t="str">
        <f t="shared" si="828"/>
        <v/>
      </c>
      <c r="Q616" s="38"/>
      <c r="R616" s="3" t="str">
        <f t="shared" si="812"/>
        <v>Virudhunagar</v>
      </c>
      <c r="S616" s="3" t="str">
        <f t="shared" si="808"/>
        <v>Vathirayiruppu</v>
      </c>
      <c r="T616" s="3" t="str">
        <f t="shared" si="809"/>
        <v>Watrap</v>
      </c>
      <c r="U616" s="3" t="str">
        <f t="shared" si="810"/>
        <v>Virudhunagar_Vathirayiruppu_Watrap</v>
      </c>
      <c r="V616" s="3">
        <f>IF(_xlfn.XLOOKUP($U616,GCA!$H$3:$H$593,GCA!E$3:E$593,"",0,1)="","",_xlfn.XLOOKUP($U616,GCA!$H$3:$H$593,GCA!E$3:E$593,"",0,1))</f>
        <v>14284.31</v>
      </c>
      <c r="W616" s="3">
        <f>IF(_xlfn.XLOOKUP($U616,GCA!$H$3:$H$593,GCA!F$3:F$593,"",0,1)="","",_xlfn.XLOOKUP($U616,GCA!$H$3:$H$593,GCA!F$3:F$593,"",0,1))</f>
        <v>13882.705</v>
      </c>
      <c r="X616" s="3">
        <f>IF(_xlfn.XLOOKUP($U616,GCA!$H$3:$H$593,GCA!G$3:G$593,"",0,1)="","",_xlfn.XLOOKUP($U616,GCA!$H$3:$H$593,GCA!G$3:G$593,"",0,1))</f>
        <v>14600.33</v>
      </c>
    </row>
    <row r="617" spans="1:24" ht="13.2">
      <c r="A617" s="49"/>
      <c r="B617" s="49"/>
      <c r="C617" s="48"/>
      <c r="D617" s="49"/>
      <c r="E617" s="50"/>
      <c r="F617" s="26" t="s">
        <v>988</v>
      </c>
      <c r="G617" s="26" t="s">
        <v>984</v>
      </c>
      <c r="H617" s="27">
        <f t="shared" si="800"/>
        <v>1670.59</v>
      </c>
      <c r="I617" s="27">
        <f t="shared" si="801"/>
        <v>1599.085</v>
      </c>
      <c r="J617" s="27">
        <f t="shared" si="802"/>
        <v>1574.8150000000001</v>
      </c>
      <c r="K617" s="27">
        <f t="shared" si="803"/>
        <v>1614.83</v>
      </c>
      <c r="L617" s="65"/>
      <c r="M617" s="67">
        <f t="shared" si="804"/>
        <v>0</v>
      </c>
      <c r="N617" s="65" t="str">
        <f t="shared" si="805"/>
        <v/>
      </c>
      <c r="O617" s="65" t="str">
        <f t="shared" ref="O617:P617" si="829">N617</f>
        <v/>
      </c>
      <c r="P617" s="65" t="str">
        <f t="shared" si="829"/>
        <v/>
      </c>
      <c r="Q617" s="38"/>
      <c r="R617" s="3" t="str">
        <f t="shared" si="812"/>
        <v>Virudhunagar</v>
      </c>
      <c r="S617" s="3" t="str">
        <f t="shared" si="808"/>
        <v>Vembakottai</v>
      </c>
      <c r="T617" s="3" t="str">
        <f t="shared" si="809"/>
        <v>Rajapalayam</v>
      </c>
      <c r="U617" s="3" t="str">
        <f t="shared" si="810"/>
        <v>Virudhunagar_Vembakottai_Rajapalayam</v>
      </c>
      <c r="V617" s="3">
        <f>IF(_xlfn.XLOOKUP($U617,GCA!$H$3:$H$593,GCA!E$3:E$593,"",0,1)="","",_xlfn.XLOOKUP($U617,GCA!$H$3:$H$593,GCA!E$3:E$593,"",0,1))</f>
        <v>1670.59</v>
      </c>
      <c r="W617" s="3">
        <f>IF(_xlfn.XLOOKUP($U617,GCA!$H$3:$H$593,GCA!F$3:F$593,"",0,1)="","",_xlfn.XLOOKUP($U617,GCA!$H$3:$H$593,GCA!F$3:F$593,"",0,1))</f>
        <v>1599.085</v>
      </c>
      <c r="X617" s="3">
        <f>IF(_xlfn.XLOOKUP($U617,GCA!$H$3:$H$593,GCA!G$3:G$593,"",0,1)="","",_xlfn.XLOOKUP($U617,GCA!$H$3:$H$593,GCA!G$3:G$593,"",0,1))</f>
        <v>1574.8150000000001</v>
      </c>
    </row>
    <row r="618" spans="1:24" ht="13.2">
      <c r="A618" s="49"/>
      <c r="B618" s="49"/>
      <c r="C618" s="48"/>
      <c r="D618" s="49"/>
      <c r="E618" s="50"/>
      <c r="F618" s="26" t="s">
        <v>988</v>
      </c>
      <c r="G618" s="26" t="s">
        <v>985</v>
      </c>
      <c r="H618" s="27">
        <f t="shared" si="800"/>
        <v>987.15499999999997</v>
      </c>
      <c r="I618" s="27">
        <f t="shared" si="801"/>
        <v>1011.9450000000001</v>
      </c>
      <c r="J618" s="27">
        <f t="shared" si="802"/>
        <v>861.15</v>
      </c>
      <c r="K618" s="27">
        <f t="shared" si="803"/>
        <v>953.41666666666663</v>
      </c>
      <c r="L618" s="65"/>
      <c r="M618" s="67">
        <f t="shared" si="804"/>
        <v>0</v>
      </c>
      <c r="N618" s="65" t="str">
        <f t="shared" si="805"/>
        <v/>
      </c>
      <c r="O618" s="65" t="str">
        <f t="shared" ref="O618:P618" si="830">N618</f>
        <v/>
      </c>
      <c r="P618" s="65" t="str">
        <f t="shared" si="830"/>
        <v/>
      </c>
      <c r="Q618" s="38"/>
      <c r="R618" s="3" t="str">
        <f t="shared" si="812"/>
        <v>Virudhunagar</v>
      </c>
      <c r="S618" s="3" t="str">
        <f t="shared" si="808"/>
        <v>Vembakottai</v>
      </c>
      <c r="T618" s="3" t="str">
        <f t="shared" si="809"/>
        <v>Srivilliputtur</v>
      </c>
      <c r="U618" s="3" t="str">
        <f t="shared" si="810"/>
        <v>Virudhunagar_Vembakottai_Srivilliputtur</v>
      </c>
      <c r="V618" s="3">
        <f>IF(_xlfn.XLOOKUP($U618,GCA!$H$3:$H$593,GCA!E$3:E$593,"",0,1)="","",_xlfn.XLOOKUP($U618,GCA!$H$3:$H$593,GCA!E$3:E$593,"",0,1))</f>
        <v>987.15499999999997</v>
      </c>
      <c r="W618" s="3">
        <f>IF(_xlfn.XLOOKUP($U618,GCA!$H$3:$H$593,GCA!F$3:F$593,"",0,1)="","",_xlfn.XLOOKUP($U618,GCA!$H$3:$H$593,GCA!F$3:F$593,"",0,1))</f>
        <v>1011.9450000000001</v>
      </c>
      <c r="X618" s="3">
        <f>IF(_xlfn.XLOOKUP($U618,GCA!$H$3:$H$593,GCA!G$3:G$593,"",0,1)="","",_xlfn.XLOOKUP($U618,GCA!$H$3:$H$593,GCA!G$3:G$593,"",0,1))</f>
        <v>861.15</v>
      </c>
    </row>
    <row r="619" spans="1:24" ht="13.2">
      <c r="A619" s="49"/>
      <c r="B619" s="49"/>
      <c r="C619" s="48"/>
      <c r="D619" s="49"/>
      <c r="E619" s="50"/>
      <c r="F619" s="26" t="s">
        <v>988</v>
      </c>
      <c r="G619" s="26" t="s">
        <v>988</v>
      </c>
      <c r="H619" s="27">
        <f t="shared" si="800"/>
        <v>9702.33</v>
      </c>
      <c r="I619" s="27">
        <f t="shared" si="801"/>
        <v>10269.799999999999</v>
      </c>
      <c r="J619" s="27">
        <f t="shared" si="802"/>
        <v>10035.014999999999</v>
      </c>
      <c r="K619" s="27">
        <f t="shared" si="803"/>
        <v>10002.381666666666</v>
      </c>
      <c r="L619" s="65"/>
      <c r="M619" s="67">
        <f t="shared" si="804"/>
        <v>0</v>
      </c>
      <c r="N619" s="65" t="str">
        <f t="shared" si="805"/>
        <v/>
      </c>
      <c r="O619" s="65" t="str">
        <f t="shared" ref="O619:P619" si="831">N619</f>
        <v/>
      </c>
      <c r="P619" s="65" t="str">
        <f t="shared" si="831"/>
        <v/>
      </c>
      <c r="Q619" s="38"/>
      <c r="R619" s="3" t="str">
        <f t="shared" si="812"/>
        <v>Virudhunagar</v>
      </c>
      <c r="S619" s="3" t="str">
        <f t="shared" si="808"/>
        <v>Vembakottai</v>
      </c>
      <c r="T619" s="3" t="str">
        <f t="shared" si="809"/>
        <v>Vembakottai</v>
      </c>
      <c r="U619" s="3" t="str">
        <f t="shared" si="810"/>
        <v>Virudhunagar_Vembakottai_Vembakottai</v>
      </c>
      <c r="V619" s="3">
        <f>IF(_xlfn.XLOOKUP($U619,GCA!$H$3:$H$593,GCA!E$3:E$593,"",0,1)="","",_xlfn.XLOOKUP($U619,GCA!$H$3:$H$593,GCA!E$3:E$593,"",0,1))</f>
        <v>9702.33</v>
      </c>
      <c r="W619" s="3">
        <f>IF(_xlfn.XLOOKUP($U619,GCA!$H$3:$H$593,GCA!F$3:F$593,"",0,1)="","",_xlfn.XLOOKUP($U619,GCA!$H$3:$H$593,GCA!F$3:F$593,"",0,1))</f>
        <v>10269.799999999999</v>
      </c>
      <c r="X619" s="3">
        <f>IF(_xlfn.XLOOKUP($U619,GCA!$H$3:$H$593,GCA!G$3:G$593,"",0,1)="","",_xlfn.XLOOKUP($U619,GCA!$H$3:$H$593,GCA!G$3:G$593,"",0,1))</f>
        <v>10035.014999999999</v>
      </c>
    </row>
    <row r="620" spans="1:24" ht="13.2">
      <c r="A620" s="49"/>
      <c r="B620" s="49"/>
      <c r="C620" s="48"/>
      <c r="D620" s="49"/>
      <c r="E620" s="50"/>
      <c r="F620" s="26" t="s">
        <v>248</v>
      </c>
      <c r="G620" s="26" t="s">
        <v>248</v>
      </c>
      <c r="H620" s="27">
        <f t="shared" si="800"/>
        <v>9326.68</v>
      </c>
      <c r="I620" s="27">
        <f t="shared" si="801"/>
        <v>9730.14</v>
      </c>
      <c r="J620" s="27">
        <f t="shared" si="802"/>
        <v>9577.93</v>
      </c>
      <c r="K620" s="27">
        <f t="shared" si="803"/>
        <v>9544.9166666666661</v>
      </c>
      <c r="L620" s="65"/>
      <c r="M620" s="67">
        <f t="shared" si="804"/>
        <v>0</v>
      </c>
      <c r="N620" s="65" t="str">
        <f t="shared" si="805"/>
        <v/>
      </c>
      <c r="O620" s="65" t="str">
        <f t="shared" ref="O620:P620" si="832">N620</f>
        <v/>
      </c>
      <c r="P620" s="65" t="str">
        <f t="shared" si="832"/>
        <v/>
      </c>
      <c r="Q620" s="38"/>
      <c r="R620" s="3" t="str">
        <f t="shared" si="812"/>
        <v>Virudhunagar</v>
      </c>
      <c r="S620" s="3" t="str">
        <f t="shared" si="808"/>
        <v>Virudhunagar</v>
      </c>
      <c r="T620" s="3" t="str">
        <f t="shared" si="809"/>
        <v>Virudhunagar</v>
      </c>
      <c r="U620" s="3" t="str">
        <f t="shared" si="810"/>
        <v>Virudhunagar_Virudhunagar_Virudhunagar</v>
      </c>
      <c r="V620" s="3">
        <f>IF(_xlfn.XLOOKUP($U620,GCA!$H$3:$H$593,GCA!E$3:E$593,"",0,1)="","",_xlfn.XLOOKUP($U620,GCA!$H$3:$H$593,GCA!E$3:E$593,"",0,1))</f>
        <v>9326.68</v>
      </c>
      <c r="W620" s="3">
        <f>IF(_xlfn.XLOOKUP($U620,GCA!$H$3:$H$593,GCA!F$3:F$593,"",0,1)="","",_xlfn.XLOOKUP($U620,GCA!$H$3:$H$593,GCA!F$3:F$593,"",0,1))</f>
        <v>9730.14</v>
      </c>
      <c r="X620" s="3">
        <f>IF(_xlfn.XLOOKUP($U620,GCA!$H$3:$H$593,GCA!G$3:G$593,"",0,1)="","",_xlfn.XLOOKUP($U620,GCA!$H$3:$H$593,GCA!G$3:G$593,"",0,1))</f>
        <v>9577.93</v>
      </c>
    </row>
    <row r="621" spans="1:24" ht="13.2">
      <c r="A621" s="49"/>
      <c r="B621" s="49"/>
      <c r="C621" s="48"/>
      <c r="D621" s="49"/>
      <c r="E621" s="47" t="s">
        <v>564</v>
      </c>
      <c r="F621" s="47"/>
      <c r="G621" s="47"/>
      <c r="H621" s="29">
        <f t="shared" ref="H621:P621" si="833">SUM(H599:H620)</f>
        <v>141649.97499999998</v>
      </c>
      <c r="I621" s="29">
        <f t="shared" si="833"/>
        <v>145196.88500000001</v>
      </c>
      <c r="J621" s="29">
        <f t="shared" si="833"/>
        <v>144447.68499999997</v>
      </c>
      <c r="K621" s="29">
        <f t="shared" si="833"/>
        <v>143764.84833333333</v>
      </c>
      <c r="L621" s="29">
        <f t="shared" si="833"/>
        <v>143764.84833333333</v>
      </c>
      <c r="M621" s="30">
        <f t="shared" si="833"/>
        <v>6.0343908478227881</v>
      </c>
      <c r="N621" s="31">
        <f t="shared" si="833"/>
        <v>6</v>
      </c>
      <c r="O621" s="31">
        <f t="shared" si="833"/>
        <v>6</v>
      </c>
      <c r="P621" s="31">
        <f t="shared" si="833"/>
        <v>6</v>
      </c>
      <c r="Q621" s="38"/>
      <c r="R621" s="3" t="str">
        <f t="shared" si="812"/>
        <v>Virudhunagar</v>
      </c>
      <c r="S621" s="3">
        <f t="shared" si="808"/>
        <v>0</v>
      </c>
      <c r="T621" s="3">
        <f t="shared" si="809"/>
        <v>0</v>
      </c>
      <c r="U621" s="3" t="str">
        <f t="shared" si="810"/>
        <v>Virudhunagar_0_0</v>
      </c>
      <c r="V621" s="3" t="str">
        <f>IF(_xlfn.XLOOKUP($U621,GCA!$H$3:$H$593,GCA!E$3:E$593,"",0,1)="","",_xlfn.XLOOKUP($U621,GCA!$H$3:$H$593,GCA!E$3:E$593,"",0,1))</f>
        <v/>
      </c>
      <c r="W621" s="3" t="str">
        <f>IF(_xlfn.XLOOKUP($U621,GCA!$H$3:$H$593,GCA!F$3:F$593,"",0,1)="","",_xlfn.XLOOKUP($U621,GCA!$H$3:$H$593,GCA!F$3:F$593,"",0,1))</f>
        <v/>
      </c>
      <c r="X621" s="3" t="str">
        <f>IF(_xlfn.XLOOKUP($U621,GCA!$H$3:$H$593,GCA!G$3:G$593,"",0,1)="","",_xlfn.XLOOKUP($U621,GCA!$H$3:$H$593,GCA!G$3:G$593,"",0,1))</f>
        <v/>
      </c>
    </row>
    <row r="622" spans="1:24" ht="13.2">
      <c r="A622" s="49"/>
      <c r="B622" s="49"/>
      <c r="C622" s="48" t="s">
        <v>249</v>
      </c>
      <c r="D622" s="49" t="s">
        <v>555</v>
      </c>
      <c r="E622" s="50">
        <v>1</v>
      </c>
      <c r="F622" s="26" t="s">
        <v>991</v>
      </c>
      <c r="G622" s="26" t="s">
        <v>991</v>
      </c>
      <c r="H622" s="27">
        <f t="shared" ref="H622:H638" si="834">V622</f>
        <v>26062.37</v>
      </c>
      <c r="I622" s="27">
        <f t="shared" ref="I622:I638" si="835">W622</f>
        <v>26027.724999999999</v>
      </c>
      <c r="J622" s="27">
        <f t="shared" ref="J622:J638" si="836">X622</f>
        <v>25349.435000000001</v>
      </c>
      <c r="K622" s="27">
        <f t="shared" ref="K622:K638" si="837">IFERROR(AVERAGE(H622:J622),"")</f>
        <v>25813.176666666666</v>
      </c>
      <c r="L622" s="65">
        <f>SUM(K622:K623)</f>
        <v>52348.346666666665</v>
      </c>
      <c r="M622" s="67">
        <f t="shared" ref="M622:M638" si="838">L622*$L$643/$L$642</f>
        <v>2.1972713614357531</v>
      </c>
      <c r="N622" s="65">
        <f t="shared" si="805"/>
        <v>2</v>
      </c>
      <c r="O622" s="65">
        <f t="shared" ref="O622:P622" si="839">N622</f>
        <v>2</v>
      </c>
      <c r="P622" s="65">
        <f t="shared" si="839"/>
        <v>2</v>
      </c>
      <c r="Q622" s="38"/>
      <c r="R622" s="3" t="str">
        <f t="shared" si="807"/>
        <v>Ramanathapuram</v>
      </c>
      <c r="S622" s="3" t="str">
        <f t="shared" si="808"/>
        <v>Kadaladi</v>
      </c>
      <c r="T622" s="3" t="str">
        <f t="shared" si="809"/>
        <v>Kadaladi</v>
      </c>
      <c r="U622" s="3" t="str">
        <f t="shared" si="810"/>
        <v>Ramanathapuram_Kadaladi_Kadaladi</v>
      </c>
      <c r="V622" s="3">
        <f>IF(_xlfn.XLOOKUP($U622,GCA!$H$3:$H$593,GCA!E$3:E$593,"",0,1)="","",_xlfn.XLOOKUP($U622,GCA!$H$3:$H$593,GCA!E$3:E$593,"",0,1))</f>
        <v>26062.37</v>
      </c>
      <c r="W622" s="3">
        <f>IF(_xlfn.XLOOKUP($U622,GCA!$H$3:$H$593,GCA!F$3:F$593,"",0,1)="","",_xlfn.XLOOKUP($U622,GCA!$H$3:$H$593,GCA!F$3:F$593,"",0,1))</f>
        <v>26027.724999999999</v>
      </c>
      <c r="X622" s="3">
        <f>IF(_xlfn.XLOOKUP($U622,GCA!$H$3:$H$593,GCA!G$3:G$593,"",0,1)="","",_xlfn.XLOOKUP($U622,GCA!$H$3:$H$593,GCA!G$3:G$593,"",0,1))</f>
        <v>25349.435000000001</v>
      </c>
    </row>
    <row r="623" spans="1:24" ht="13.2">
      <c r="A623" s="49"/>
      <c r="B623" s="49"/>
      <c r="C623" s="48"/>
      <c r="D623" s="49"/>
      <c r="E623" s="50"/>
      <c r="F623" s="26" t="s">
        <v>992</v>
      </c>
      <c r="G623" s="26" t="s">
        <v>992</v>
      </c>
      <c r="H623" s="27">
        <f t="shared" si="834"/>
        <v>27375.63</v>
      </c>
      <c r="I623" s="27">
        <f t="shared" si="835"/>
        <v>26631.599999999999</v>
      </c>
      <c r="J623" s="27">
        <f t="shared" si="836"/>
        <v>25598.28</v>
      </c>
      <c r="K623" s="27">
        <f t="shared" si="837"/>
        <v>26535.17</v>
      </c>
      <c r="L623" s="65"/>
      <c r="M623" s="67">
        <f t="shared" si="838"/>
        <v>0</v>
      </c>
      <c r="N623" s="65" t="str">
        <f t="shared" si="805"/>
        <v/>
      </c>
      <c r="O623" s="65" t="str">
        <f t="shared" ref="O623:P623" si="840">N623</f>
        <v/>
      </c>
      <c r="P623" s="65" t="str">
        <f t="shared" si="840"/>
        <v/>
      </c>
      <c r="Q623" s="38"/>
      <c r="R623" s="3" t="str">
        <f t="shared" ref="R623:R638" si="841">R622</f>
        <v>Ramanathapuram</v>
      </c>
      <c r="S623" s="3" t="str">
        <f t="shared" si="808"/>
        <v>Kamuthi</v>
      </c>
      <c r="T623" s="3" t="str">
        <f t="shared" si="809"/>
        <v>Kamuthi</v>
      </c>
      <c r="U623" s="3" t="str">
        <f t="shared" si="810"/>
        <v>Ramanathapuram_Kamuthi_Kamuthi</v>
      </c>
      <c r="V623" s="3">
        <f>IF(_xlfn.XLOOKUP($U623,GCA!$H$3:$H$593,GCA!E$3:E$593,"",0,1)="","",_xlfn.XLOOKUP($U623,GCA!$H$3:$H$593,GCA!E$3:E$593,"",0,1))</f>
        <v>27375.63</v>
      </c>
      <c r="W623" s="3">
        <f>IF(_xlfn.XLOOKUP($U623,GCA!$H$3:$H$593,GCA!F$3:F$593,"",0,1)="","",_xlfn.XLOOKUP($U623,GCA!$H$3:$H$593,GCA!F$3:F$593,"",0,1))</f>
        <v>26631.599999999999</v>
      </c>
      <c r="X623" s="3">
        <f>IF(_xlfn.XLOOKUP($U623,GCA!$H$3:$H$593,GCA!G$3:G$593,"",0,1)="","",_xlfn.XLOOKUP($U623,GCA!$H$3:$H$593,GCA!G$3:G$593,"",0,1))</f>
        <v>25598.28</v>
      </c>
    </row>
    <row r="624" spans="1:24" ht="13.2">
      <c r="A624" s="49"/>
      <c r="B624" s="49"/>
      <c r="C624" s="48"/>
      <c r="D624" s="49"/>
      <c r="E624" s="50">
        <v>2</v>
      </c>
      <c r="F624" s="26" t="s">
        <v>993</v>
      </c>
      <c r="G624" s="26" t="s">
        <v>991</v>
      </c>
      <c r="H624" s="27">
        <f t="shared" si="834"/>
        <v>571.495</v>
      </c>
      <c r="I624" s="27">
        <f t="shared" si="835"/>
        <v>561.76499999999999</v>
      </c>
      <c r="J624" s="27">
        <f t="shared" si="836"/>
        <v>540.53</v>
      </c>
      <c r="K624" s="27">
        <f t="shared" si="837"/>
        <v>557.92999999999995</v>
      </c>
      <c r="L624" s="65">
        <f>SUM(K624:K627)</f>
        <v>42698.148333333338</v>
      </c>
      <c r="M624" s="67">
        <f t="shared" si="838"/>
        <v>1.7922135939951189</v>
      </c>
      <c r="N624" s="65">
        <f t="shared" si="805"/>
        <v>2</v>
      </c>
      <c r="O624" s="65">
        <f t="shared" ref="O624:P624" si="842">N624</f>
        <v>2</v>
      </c>
      <c r="P624" s="65">
        <f t="shared" si="842"/>
        <v>2</v>
      </c>
      <c r="Q624" s="38"/>
      <c r="R624" s="3" t="str">
        <f t="shared" si="841"/>
        <v>Ramanathapuram</v>
      </c>
      <c r="S624" s="3" t="str">
        <f t="shared" si="808"/>
        <v>Keelakarai</v>
      </c>
      <c r="T624" s="3" t="str">
        <f t="shared" si="809"/>
        <v>Kadaladi</v>
      </c>
      <c r="U624" s="3" t="str">
        <f t="shared" si="810"/>
        <v>Ramanathapuram_Keelakarai_Kadaladi</v>
      </c>
      <c r="V624" s="3">
        <f>IF(_xlfn.XLOOKUP($U624,GCA!$H$3:$H$593,GCA!E$3:E$593,"",0,1)="","",_xlfn.XLOOKUP($U624,GCA!$H$3:$H$593,GCA!E$3:E$593,"",0,1))</f>
        <v>571.495</v>
      </c>
      <c r="W624" s="3">
        <f>IF(_xlfn.XLOOKUP($U624,GCA!$H$3:$H$593,GCA!F$3:F$593,"",0,1)="","",_xlfn.XLOOKUP($U624,GCA!$H$3:$H$593,GCA!F$3:F$593,"",0,1))</f>
        <v>561.76499999999999</v>
      </c>
      <c r="X624" s="3">
        <f>IF(_xlfn.XLOOKUP($U624,GCA!$H$3:$H$593,GCA!G$3:G$593,"",0,1)="","",_xlfn.XLOOKUP($U624,GCA!$H$3:$H$593,GCA!G$3:G$593,"",0,1))</f>
        <v>540.53</v>
      </c>
    </row>
    <row r="625" spans="1:24" ht="13.2">
      <c r="A625" s="49"/>
      <c r="B625" s="49"/>
      <c r="C625" s="48"/>
      <c r="D625" s="49"/>
      <c r="E625" s="50"/>
      <c r="F625" s="26" t="s">
        <v>993</v>
      </c>
      <c r="G625" s="26" t="s">
        <v>994</v>
      </c>
      <c r="H625" s="27">
        <f t="shared" si="834"/>
        <v>10696.51</v>
      </c>
      <c r="I625" s="27">
        <f t="shared" si="835"/>
        <v>10588.865</v>
      </c>
      <c r="J625" s="27">
        <f t="shared" si="836"/>
        <v>10481.375</v>
      </c>
      <c r="K625" s="27">
        <f t="shared" si="837"/>
        <v>10588.916666666666</v>
      </c>
      <c r="L625" s="65"/>
      <c r="M625" s="67">
        <f t="shared" si="838"/>
        <v>0</v>
      </c>
      <c r="N625" s="65" t="str">
        <f t="shared" si="805"/>
        <v/>
      </c>
      <c r="O625" s="65" t="str">
        <f t="shared" ref="O625:P625" si="843">N625</f>
        <v/>
      </c>
      <c r="P625" s="65" t="str">
        <f t="shared" si="843"/>
        <v/>
      </c>
      <c r="Q625" s="38"/>
      <c r="R625" s="3" t="str">
        <f t="shared" si="841"/>
        <v>Ramanathapuram</v>
      </c>
      <c r="S625" s="3" t="str">
        <f t="shared" si="808"/>
        <v>Keelakarai</v>
      </c>
      <c r="T625" s="3" t="str">
        <f t="shared" si="809"/>
        <v>Thirupullani</v>
      </c>
      <c r="U625" s="3" t="str">
        <f t="shared" si="810"/>
        <v>Ramanathapuram_Keelakarai_Thirupullani</v>
      </c>
      <c r="V625" s="3">
        <f>IF(_xlfn.XLOOKUP($U625,GCA!$H$3:$H$593,GCA!E$3:E$593,"",0,1)="","",_xlfn.XLOOKUP($U625,GCA!$H$3:$H$593,GCA!E$3:E$593,"",0,1))</f>
        <v>10696.51</v>
      </c>
      <c r="W625" s="3">
        <f>IF(_xlfn.XLOOKUP($U625,GCA!$H$3:$H$593,GCA!F$3:F$593,"",0,1)="","",_xlfn.XLOOKUP($U625,GCA!$H$3:$H$593,GCA!F$3:F$593,"",0,1))</f>
        <v>10588.865</v>
      </c>
      <c r="X625" s="3">
        <f>IF(_xlfn.XLOOKUP($U625,GCA!$H$3:$H$593,GCA!G$3:G$593,"",0,1)="","",_xlfn.XLOOKUP($U625,GCA!$H$3:$H$593,GCA!G$3:G$593,"",0,1))</f>
        <v>10481.375</v>
      </c>
    </row>
    <row r="626" spans="1:24" ht="13.2">
      <c r="A626" s="49"/>
      <c r="B626" s="49"/>
      <c r="C626" s="48"/>
      <c r="D626" s="49"/>
      <c r="E626" s="50"/>
      <c r="F626" s="26" t="s">
        <v>995</v>
      </c>
      <c r="G626" s="26" t="s">
        <v>991</v>
      </c>
      <c r="H626" s="27">
        <f t="shared" si="834"/>
        <v>5310.82</v>
      </c>
      <c r="I626" s="27">
        <f t="shared" si="835"/>
        <v>4702.09</v>
      </c>
      <c r="J626" s="27">
        <f t="shared" si="836"/>
        <v>4445.05</v>
      </c>
      <c r="K626" s="27">
        <f t="shared" si="837"/>
        <v>4819.32</v>
      </c>
      <c r="L626" s="65"/>
      <c r="M626" s="67">
        <f t="shared" si="838"/>
        <v>0</v>
      </c>
      <c r="N626" s="65" t="str">
        <f t="shared" si="805"/>
        <v/>
      </c>
      <c r="O626" s="65" t="str">
        <f t="shared" ref="O626:P626" si="844">N626</f>
        <v/>
      </c>
      <c r="P626" s="65" t="str">
        <f t="shared" si="844"/>
        <v/>
      </c>
      <c r="Q626" s="38"/>
      <c r="R626" s="3" t="str">
        <f t="shared" si="841"/>
        <v>Ramanathapuram</v>
      </c>
      <c r="S626" s="3" t="str">
        <f t="shared" si="808"/>
        <v>Muthukulathur</v>
      </c>
      <c r="T626" s="3" t="str">
        <f t="shared" si="809"/>
        <v>Kadaladi</v>
      </c>
      <c r="U626" s="3" t="str">
        <f t="shared" si="810"/>
        <v>Ramanathapuram_Muthukulathur_Kadaladi</v>
      </c>
      <c r="V626" s="3">
        <f>IF(_xlfn.XLOOKUP($U626,GCA!$H$3:$H$593,GCA!E$3:E$593,"",0,1)="","",_xlfn.XLOOKUP($U626,GCA!$H$3:$H$593,GCA!E$3:E$593,"",0,1))</f>
        <v>5310.82</v>
      </c>
      <c r="W626" s="3">
        <f>IF(_xlfn.XLOOKUP($U626,GCA!$H$3:$H$593,GCA!F$3:F$593,"",0,1)="","",_xlfn.XLOOKUP($U626,GCA!$H$3:$H$593,GCA!F$3:F$593,"",0,1))</f>
        <v>4702.09</v>
      </c>
      <c r="X626" s="3">
        <f>IF(_xlfn.XLOOKUP($U626,GCA!$H$3:$H$593,GCA!G$3:G$593,"",0,1)="","",_xlfn.XLOOKUP($U626,GCA!$H$3:$H$593,GCA!G$3:G$593,"",0,1))</f>
        <v>4445.05</v>
      </c>
    </row>
    <row r="627" spans="1:24" ht="13.2">
      <c r="A627" s="49"/>
      <c r="B627" s="49"/>
      <c r="C627" s="48"/>
      <c r="D627" s="49"/>
      <c r="E627" s="50"/>
      <c r="F627" s="26" t="s">
        <v>995</v>
      </c>
      <c r="G627" s="26" t="s">
        <v>996</v>
      </c>
      <c r="H627" s="27">
        <f t="shared" si="834"/>
        <v>26705.07</v>
      </c>
      <c r="I627" s="27">
        <f t="shared" si="835"/>
        <v>27401.360000000001</v>
      </c>
      <c r="J627" s="27">
        <f t="shared" si="836"/>
        <v>26089.514999999999</v>
      </c>
      <c r="K627" s="27">
        <f t="shared" si="837"/>
        <v>26731.98166666667</v>
      </c>
      <c r="L627" s="65"/>
      <c r="M627" s="67">
        <f t="shared" si="838"/>
        <v>0</v>
      </c>
      <c r="N627" s="65" t="str">
        <f t="shared" si="805"/>
        <v/>
      </c>
      <c r="O627" s="65" t="str">
        <f t="shared" ref="O627:P627" si="845">N627</f>
        <v/>
      </c>
      <c r="P627" s="65" t="str">
        <f t="shared" si="845"/>
        <v/>
      </c>
      <c r="Q627" s="38"/>
      <c r="R627" s="3" t="str">
        <f t="shared" si="841"/>
        <v>Ramanathapuram</v>
      </c>
      <c r="S627" s="3" t="str">
        <f t="shared" si="808"/>
        <v>Muthukulathur</v>
      </c>
      <c r="T627" s="3" t="str">
        <f t="shared" si="809"/>
        <v>Mudukulathur</v>
      </c>
      <c r="U627" s="3" t="str">
        <f t="shared" si="810"/>
        <v>Ramanathapuram_Muthukulathur_Mudukulathur</v>
      </c>
      <c r="V627" s="3">
        <f>IF(_xlfn.XLOOKUP($U627,GCA!$H$3:$H$593,GCA!E$3:E$593,"",0,1)="","",_xlfn.XLOOKUP($U627,GCA!$H$3:$H$593,GCA!E$3:E$593,"",0,1))</f>
        <v>26705.07</v>
      </c>
      <c r="W627" s="3">
        <f>IF(_xlfn.XLOOKUP($U627,GCA!$H$3:$H$593,GCA!F$3:F$593,"",0,1)="","",_xlfn.XLOOKUP($U627,GCA!$H$3:$H$593,GCA!F$3:F$593,"",0,1))</f>
        <v>27401.360000000001</v>
      </c>
      <c r="X627" s="3">
        <f>IF(_xlfn.XLOOKUP($U627,GCA!$H$3:$H$593,GCA!G$3:G$593,"",0,1)="","",_xlfn.XLOOKUP($U627,GCA!$H$3:$H$593,GCA!G$3:G$593,"",0,1))</f>
        <v>26089.514999999999</v>
      </c>
    </row>
    <row r="628" spans="1:24" ht="13.2">
      <c r="A628" s="49"/>
      <c r="B628" s="49"/>
      <c r="C628" s="48"/>
      <c r="D628" s="49"/>
      <c r="E628" s="50">
        <v>3</v>
      </c>
      <c r="F628" s="26" t="s">
        <v>997</v>
      </c>
      <c r="G628" s="26" t="s">
        <v>998</v>
      </c>
      <c r="H628" s="27">
        <f t="shared" si="834"/>
        <v>7794.7849999999999</v>
      </c>
      <c r="I628" s="27">
        <f t="shared" si="835"/>
        <v>7777.2849999999999</v>
      </c>
      <c r="J628" s="27">
        <f t="shared" si="836"/>
        <v>7435.99</v>
      </c>
      <c r="K628" s="27">
        <f t="shared" si="837"/>
        <v>7669.3533333333326</v>
      </c>
      <c r="L628" s="65">
        <f>SUM(K628:K632)</f>
        <v>51062.98</v>
      </c>
      <c r="M628" s="67">
        <f t="shared" si="838"/>
        <v>2.1433193353365372</v>
      </c>
      <c r="N628" s="65">
        <f t="shared" si="805"/>
        <v>2</v>
      </c>
      <c r="O628" s="65">
        <f t="shared" ref="O628:P628" si="846">N628</f>
        <v>2</v>
      </c>
      <c r="P628" s="65">
        <f t="shared" si="846"/>
        <v>2</v>
      </c>
      <c r="Q628" s="38"/>
      <c r="R628" s="3" t="str">
        <f t="shared" si="841"/>
        <v>Ramanathapuram</v>
      </c>
      <c r="S628" s="3" t="str">
        <f t="shared" si="808"/>
        <v>Paramakudi</v>
      </c>
      <c r="T628" s="3" t="str">
        <f t="shared" si="809"/>
        <v>Bogalur</v>
      </c>
      <c r="U628" s="3" t="str">
        <f t="shared" si="810"/>
        <v>Ramanathapuram_Paramakudi_Bogalur</v>
      </c>
      <c r="V628" s="3">
        <f>IF(_xlfn.XLOOKUP($U628,GCA!$H$3:$H$593,GCA!E$3:E$593,"",0,1)="","",_xlfn.XLOOKUP($U628,GCA!$H$3:$H$593,GCA!E$3:E$593,"",0,1))</f>
        <v>7794.7849999999999</v>
      </c>
      <c r="W628" s="3">
        <f>IF(_xlfn.XLOOKUP($U628,GCA!$H$3:$H$593,GCA!F$3:F$593,"",0,1)="","",_xlfn.XLOOKUP($U628,GCA!$H$3:$H$593,GCA!F$3:F$593,"",0,1))</f>
        <v>7777.2849999999999</v>
      </c>
      <c r="X628" s="3">
        <f>IF(_xlfn.XLOOKUP($U628,GCA!$H$3:$H$593,GCA!G$3:G$593,"",0,1)="","",_xlfn.XLOOKUP($U628,GCA!$H$3:$H$593,GCA!G$3:G$593,"",0,1))</f>
        <v>7435.99</v>
      </c>
    </row>
    <row r="629" spans="1:24" ht="13.2">
      <c r="A629" s="49"/>
      <c r="B629" s="49"/>
      <c r="C629" s="48"/>
      <c r="D629" s="49"/>
      <c r="E629" s="50"/>
      <c r="F629" s="26" t="s">
        <v>997</v>
      </c>
      <c r="G629" s="26" t="s">
        <v>999</v>
      </c>
      <c r="H629" s="27">
        <f t="shared" si="834"/>
        <v>13106.48</v>
      </c>
      <c r="I629" s="27">
        <f t="shared" si="835"/>
        <v>13039.575000000001</v>
      </c>
      <c r="J629" s="27">
        <f t="shared" si="836"/>
        <v>13126.84</v>
      </c>
      <c r="K629" s="27">
        <f t="shared" si="837"/>
        <v>13090.965000000002</v>
      </c>
      <c r="L629" s="65"/>
      <c r="M629" s="67">
        <f t="shared" si="838"/>
        <v>0</v>
      </c>
      <c r="N629" s="65" t="str">
        <f t="shared" si="805"/>
        <v/>
      </c>
      <c r="O629" s="65" t="str">
        <f t="shared" ref="O629:P629" si="847">N629</f>
        <v/>
      </c>
      <c r="P629" s="65" t="str">
        <f t="shared" si="847"/>
        <v/>
      </c>
      <c r="Q629" s="38"/>
      <c r="R629" s="3" t="str">
        <f t="shared" si="841"/>
        <v>Ramanathapuram</v>
      </c>
      <c r="S629" s="3" t="str">
        <f t="shared" si="808"/>
        <v>Paramakudi</v>
      </c>
      <c r="T629" s="3" t="str">
        <f t="shared" si="809"/>
        <v>Nainarkoil</v>
      </c>
      <c r="U629" s="3" t="str">
        <f t="shared" si="810"/>
        <v>Ramanathapuram_Paramakudi_Nainarkoil</v>
      </c>
      <c r="V629" s="3">
        <f>IF(_xlfn.XLOOKUP($U629,GCA!$H$3:$H$593,GCA!E$3:E$593,"",0,1)="","",_xlfn.XLOOKUP($U629,GCA!$H$3:$H$593,GCA!E$3:E$593,"",0,1))</f>
        <v>13106.48</v>
      </c>
      <c r="W629" s="3">
        <f>IF(_xlfn.XLOOKUP($U629,GCA!$H$3:$H$593,GCA!F$3:F$593,"",0,1)="","",_xlfn.XLOOKUP($U629,GCA!$H$3:$H$593,GCA!F$3:F$593,"",0,1))</f>
        <v>13039.575000000001</v>
      </c>
      <c r="X629" s="3">
        <f>IF(_xlfn.XLOOKUP($U629,GCA!$H$3:$H$593,GCA!G$3:G$593,"",0,1)="","",_xlfn.XLOOKUP($U629,GCA!$H$3:$H$593,GCA!G$3:G$593,"",0,1))</f>
        <v>13126.84</v>
      </c>
    </row>
    <row r="630" spans="1:24" ht="13.2">
      <c r="A630" s="49"/>
      <c r="B630" s="49"/>
      <c r="C630" s="48"/>
      <c r="D630" s="49"/>
      <c r="E630" s="50"/>
      <c r="F630" s="26" t="s">
        <v>997</v>
      </c>
      <c r="G630" s="26" t="s">
        <v>997</v>
      </c>
      <c r="H630" s="27">
        <f t="shared" si="834"/>
        <v>9674.3250000000007</v>
      </c>
      <c r="I630" s="27">
        <f t="shared" si="835"/>
        <v>9684.85</v>
      </c>
      <c r="J630" s="27">
        <f t="shared" si="836"/>
        <v>9275.67</v>
      </c>
      <c r="K630" s="27">
        <f t="shared" si="837"/>
        <v>9544.9483333333337</v>
      </c>
      <c r="L630" s="65"/>
      <c r="M630" s="67">
        <f t="shared" si="838"/>
        <v>0</v>
      </c>
      <c r="N630" s="65" t="str">
        <f t="shared" si="805"/>
        <v/>
      </c>
      <c r="O630" s="65" t="str">
        <f t="shared" ref="O630:P630" si="848">N630</f>
        <v/>
      </c>
      <c r="P630" s="65" t="str">
        <f t="shared" si="848"/>
        <v/>
      </c>
      <c r="Q630" s="38"/>
      <c r="R630" s="3" t="str">
        <f t="shared" si="841"/>
        <v>Ramanathapuram</v>
      </c>
      <c r="S630" s="3" t="str">
        <f t="shared" si="808"/>
        <v>Paramakudi</v>
      </c>
      <c r="T630" s="3" t="str">
        <f t="shared" si="809"/>
        <v>Paramakudi</v>
      </c>
      <c r="U630" s="3" t="str">
        <f t="shared" si="810"/>
        <v>Ramanathapuram_Paramakudi_Paramakudi</v>
      </c>
      <c r="V630" s="3">
        <f>IF(_xlfn.XLOOKUP($U630,GCA!$H$3:$H$593,GCA!E$3:E$593,"",0,1)="","",_xlfn.XLOOKUP($U630,GCA!$H$3:$H$593,GCA!E$3:E$593,"",0,1))</f>
        <v>9674.3250000000007</v>
      </c>
      <c r="W630" s="3">
        <f>IF(_xlfn.XLOOKUP($U630,GCA!$H$3:$H$593,GCA!F$3:F$593,"",0,1)="","",_xlfn.XLOOKUP($U630,GCA!$H$3:$H$593,GCA!F$3:F$593,"",0,1))</f>
        <v>9684.85</v>
      </c>
      <c r="X630" s="3">
        <f>IF(_xlfn.XLOOKUP($U630,GCA!$H$3:$H$593,GCA!G$3:G$593,"",0,1)="","",_xlfn.XLOOKUP($U630,GCA!$H$3:$H$593,GCA!G$3:G$593,"",0,1))</f>
        <v>9275.67</v>
      </c>
    </row>
    <row r="631" spans="1:24" ht="13.2">
      <c r="A631" s="49"/>
      <c r="B631" s="49"/>
      <c r="C631" s="48"/>
      <c r="D631" s="49"/>
      <c r="E631" s="50"/>
      <c r="F631" s="26" t="s">
        <v>1000</v>
      </c>
      <c r="G631" s="26" t="s">
        <v>999</v>
      </c>
      <c r="H631" s="27">
        <f t="shared" si="834"/>
        <v>1364.11</v>
      </c>
      <c r="I631" s="27">
        <f t="shared" si="835"/>
        <v>1377.65</v>
      </c>
      <c r="J631" s="27">
        <f t="shared" si="836"/>
        <v>1439.36</v>
      </c>
      <c r="K631" s="27">
        <f t="shared" si="837"/>
        <v>1393.7066666666667</v>
      </c>
      <c r="L631" s="65"/>
      <c r="M631" s="67">
        <f t="shared" si="838"/>
        <v>0</v>
      </c>
      <c r="N631" s="65" t="str">
        <f t="shared" si="805"/>
        <v/>
      </c>
      <c r="O631" s="65" t="str">
        <f t="shared" ref="O631:P631" si="849">N631</f>
        <v/>
      </c>
      <c r="P631" s="65" t="str">
        <f t="shared" si="849"/>
        <v/>
      </c>
      <c r="Q631" s="38"/>
      <c r="R631" s="3" t="str">
        <f t="shared" si="841"/>
        <v>Ramanathapuram</v>
      </c>
      <c r="S631" s="3" t="str">
        <f t="shared" si="808"/>
        <v>R.S.Mangalam</v>
      </c>
      <c r="T631" s="3" t="str">
        <f t="shared" si="809"/>
        <v>Nainarkoil</v>
      </c>
      <c r="U631" s="3" t="str">
        <f t="shared" si="810"/>
        <v>Ramanathapuram_R.S.Mangalam_Nainarkoil</v>
      </c>
      <c r="V631" s="3">
        <f>IF(_xlfn.XLOOKUP($U631,GCA!$H$3:$H$593,GCA!E$3:E$593,"",0,1)="","",_xlfn.XLOOKUP($U631,GCA!$H$3:$H$593,GCA!E$3:E$593,"",0,1))</f>
        <v>1364.11</v>
      </c>
      <c r="W631" s="3">
        <f>IF(_xlfn.XLOOKUP($U631,GCA!$H$3:$H$593,GCA!F$3:F$593,"",0,1)="","",_xlfn.XLOOKUP($U631,GCA!$H$3:$H$593,GCA!F$3:F$593,"",0,1))</f>
        <v>1377.65</v>
      </c>
      <c r="X631" s="3">
        <f>IF(_xlfn.XLOOKUP($U631,GCA!$H$3:$H$593,GCA!G$3:G$593,"",0,1)="","",_xlfn.XLOOKUP($U631,GCA!$H$3:$H$593,GCA!G$3:G$593,"",0,1))</f>
        <v>1439.36</v>
      </c>
    </row>
    <row r="632" spans="1:24" ht="13.2">
      <c r="A632" s="49"/>
      <c r="B632" s="49"/>
      <c r="C632" s="48"/>
      <c r="D632" s="49"/>
      <c r="E632" s="50"/>
      <c r="F632" s="26" t="s">
        <v>1000</v>
      </c>
      <c r="G632" s="26" t="s">
        <v>1000</v>
      </c>
      <c r="H632" s="27">
        <f t="shared" si="834"/>
        <v>19225.72</v>
      </c>
      <c r="I632" s="27">
        <f t="shared" si="835"/>
        <v>19480.57</v>
      </c>
      <c r="J632" s="27">
        <f t="shared" si="836"/>
        <v>19385.73</v>
      </c>
      <c r="K632" s="27">
        <f t="shared" si="837"/>
        <v>19364.006666666668</v>
      </c>
      <c r="L632" s="65"/>
      <c r="M632" s="67">
        <f t="shared" si="838"/>
        <v>0</v>
      </c>
      <c r="N632" s="65" t="str">
        <f t="shared" si="805"/>
        <v/>
      </c>
      <c r="O632" s="65" t="str">
        <f t="shared" ref="O632:P632" si="850">N632</f>
        <v/>
      </c>
      <c r="P632" s="65" t="str">
        <f t="shared" si="850"/>
        <v/>
      </c>
      <c r="Q632" s="38"/>
      <c r="R632" s="3" t="str">
        <f t="shared" si="841"/>
        <v>Ramanathapuram</v>
      </c>
      <c r="S632" s="3" t="str">
        <f t="shared" si="808"/>
        <v>R.S.Mangalam</v>
      </c>
      <c r="T632" s="3" t="str">
        <f t="shared" si="809"/>
        <v>R.S.Mangalam</v>
      </c>
      <c r="U632" s="3" t="str">
        <f t="shared" si="810"/>
        <v>Ramanathapuram_R.S.Mangalam_R.S.Mangalam</v>
      </c>
      <c r="V632" s="3">
        <f>IF(_xlfn.XLOOKUP($U632,GCA!$H$3:$H$593,GCA!E$3:E$593,"",0,1)="","",_xlfn.XLOOKUP($U632,GCA!$H$3:$H$593,GCA!E$3:E$593,"",0,1))</f>
        <v>19225.72</v>
      </c>
      <c r="W632" s="3">
        <f>IF(_xlfn.XLOOKUP($U632,GCA!$H$3:$H$593,GCA!F$3:F$593,"",0,1)="","",_xlfn.XLOOKUP($U632,GCA!$H$3:$H$593,GCA!F$3:F$593,"",0,1))</f>
        <v>19480.57</v>
      </c>
      <c r="X632" s="3">
        <f>IF(_xlfn.XLOOKUP($U632,GCA!$H$3:$H$593,GCA!G$3:G$593,"",0,1)="","",_xlfn.XLOOKUP($U632,GCA!$H$3:$H$593,GCA!G$3:G$593,"",0,1))</f>
        <v>19385.73</v>
      </c>
    </row>
    <row r="633" spans="1:24" ht="13.2">
      <c r="A633" s="49"/>
      <c r="B633" s="49"/>
      <c r="C633" s="48"/>
      <c r="D633" s="49"/>
      <c r="E633" s="50">
        <v>4</v>
      </c>
      <c r="F633" s="26" t="s">
        <v>249</v>
      </c>
      <c r="G633" s="26" t="s">
        <v>1001</v>
      </c>
      <c r="H633" s="27">
        <f t="shared" si="834"/>
        <v>5904.0950000000003</v>
      </c>
      <c r="I633" s="27">
        <f t="shared" si="835"/>
        <v>6102.7</v>
      </c>
      <c r="J633" s="27">
        <f t="shared" si="836"/>
        <v>6210.125</v>
      </c>
      <c r="K633" s="27">
        <f t="shared" si="837"/>
        <v>6072.3066666666664</v>
      </c>
      <c r="L633" s="65">
        <f>SUM(K633:K638)</f>
        <v>44996.851666666662</v>
      </c>
      <c r="M633" s="67">
        <f t="shared" si="838"/>
        <v>1.8886994493160552</v>
      </c>
      <c r="N633" s="65">
        <f t="shared" si="805"/>
        <v>2</v>
      </c>
      <c r="O633" s="65">
        <f t="shared" ref="O633:P633" si="851">N633</f>
        <v>2</v>
      </c>
      <c r="P633" s="65">
        <f t="shared" si="851"/>
        <v>2</v>
      </c>
      <c r="Q633" s="38"/>
      <c r="R633" s="3" t="str">
        <f t="shared" si="841"/>
        <v>Ramanathapuram</v>
      </c>
      <c r="S633" s="3" t="str">
        <f t="shared" si="808"/>
        <v>Ramanathapuram</v>
      </c>
      <c r="T633" s="3" t="str">
        <f t="shared" si="809"/>
        <v>Mandapam</v>
      </c>
      <c r="U633" s="3" t="str">
        <f t="shared" si="810"/>
        <v>Ramanathapuram_Ramanathapuram_Mandapam</v>
      </c>
      <c r="V633" s="3">
        <f>IF(_xlfn.XLOOKUP($U633,GCA!$H$3:$H$593,GCA!E$3:E$593,"",0,1)="","",_xlfn.XLOOKUP($U633,GCA!$H$3:$H$593,GCA!E$3:E$593,"",0,1))</f>
        <v>5904.0950000000003</v>
      </c>
      <c r="W633" s="3">
        <f>IF(_xlfn.XLOOKUP($U633,GCA!$H$3:$H$593,GCA!F$3:F$593,"",0,1)="","",_xlfn.XLOOKUP($U633,GCA!$H$3:$H$593,GCA!F$3:F$593,"",0,1))</f>
        <v>6102.7</v>
      </c>
      <c r="X633" s="3">
        <f>IF(_xlfn.XLOOKUP($U633,GCA!$H$3:$H$593,GCA!G$3:G$593,"",0,1)="","",_xlfn.XLOOKUP($U633,GCA!$H$3:$H$593,GCA!G$3:G$593,"",0,1))</f>
        <v>6210.125</v>
      </c>
    </row>
    <row r="634" spans="1:24" ht="13.2">
      <c r="A634" s="49"/>
      <c r="B634" s="49"/>
      <c r="C634" s="48"/>
      <c r="D634" s="49"/>
      <c r="E634" s="50"/>
      <c r="F634" s="26" t="s">
        <v>249</v>
      </c>
      <c r="G634" s="26" t="s">
        <v>249</v>
      </c>
      <c r="H634" s="27">
        <f t="shared" si="834"/>
        <v>8950.9650000000001</v>
      </c>
      <c r="I634" s="27">
        <f t="shared" si="835"/>
        <v>8983.9850000000006</v>
      </c>
      <c r="J634" s="27">
        <f t="shared" si="836"/>
        <v>10149.56</v>
      </c>
      <c r="K634" s="27">
        <f t="shared" si="837"/>
        <v>9361.503333333334</v>
      </c>
      <c r="L634" s="65"/>
      <c r="M634" s="67">
        <f t="shared" si="838"/>
        <v>0</v>
      </c>
      <c r="N634" s="65" t="str">
        <f t="shared" si="805"/>
        <v/>
      </c>
      <c r="O634" s="65" t="str">
        <f t="shared" ref="O634:P634" si="852">N634</f>
        <v/>
      </c>
      <c r="P634" s="65" t="str">
        <f t="shared" si="852"/>
        <v/>
      </c>
      <c r="Q634" s="38"/>
      <c r="R634" s="3" t="str">
        <f t="shared" si="841"/>
        <v>Ramanathapuram</v>
      </c>
      <c r="S634" s="3" t="str">
        <f t="shared" si="808"/>
        <v>Ramanathapuram</v>
      </c>
      <c r="T634" s="3" t="str">
        <f t="shared" si="809"/>
        <v>Ramanathapuram</v>
      </c>
      <c r="U634" s="3" t="str">
        <f t="shared" si="810"/>
        <v>Ramanathapuram_Ramanathapuram_Ramanathapuram</v>
      </c>
      <c r="V634" s="3">
        <f>IF(_xlfn.XLOOKUP($U634,GCA!$H$3:$H$593,GCA!E$3:E$593,"",0,1)="","",_xlfn.XLOOKUP($U634,GCA!$H$3:$H$593,GCA!E$3:E$593,"",0,1))</f>
        <v>8950.9650000000001</v>
      </c>
      <c r="W634" s="3">
        <f>IF(_xlfn.XLOOKUP($U634,GCA!$H$3:$H$593,GCA!F$3:F$593,"",0,1)="","",_xlfn.XLOOKUP($U634,GCA!$H$3:$H$593,GCA!F$3:F$593,"",0,1))</f>
        <v>8983.9850000000006</v>
      </c>
      <c r="X634" s="3">
        <f>IF(_xlfn.XLOOKUP($U634,GCA!$H$3:$H$593,GCA!G$3:G$593,"",0,1)="","",_xlfn.XLOOKUP($U634,GCA!$H$3:$H$593,GCA!G$3:G$593,"",0,1))</f>
        <v>10149.56</v>
      </c>
    </row>
    <row r="635" spans="1:24" ht="13.2">
      <c r="A635" s="49"/>
      <c r="B635" s="49"/>
      <c r="C635" s="48"/>
      <c r="D635" s="49"/>
      <c r="E635" s="50"/>
      <c r="F635" s="26" t="s">
        <v>249</v>
      </c>
      <c r="G635" s="26" t="s">
        <v>994</v>
      </c>
      <c r="H635" s="27">
        <f t="shared" si="834"/>
        <v>364.565</v>
      </c>
      <c r="I635" s="27">
        <f t="shared" si="835"/>
        <v>378.11500000000001</v>
      </c>
      <c r="J635" s="27">
        <f t="shared" si="836"/>
        <v>342.25</v>
      </c>
      <c r="K635" s="27">
        <f t="shared" si="837"/>
        <v>361.64333333333337</v>
      </c>
      <c r="L635" s="65"/>
      <c r="M635" s="67">
        <f t="shared" si="838"/>
        <v>0</v>
      </c>
      <c r="N635" s="65" t="str">
        <f t="shared" si="805"/>
        <v/>
      </c>
      <c r="O635" s="65" t="str">
        <f t="shared" ref="O635:P635" si="853">N635</f>
        <v/>
      </c>
      <c r="P635" s="65" t="str">
        <f t="shared" si="853"/>
        <v/>
      </c>
      <c r="Q635" s="38"/>
      <c r="R635" s="3" t="str">
        <f t="shared" si="841"/>
        <v>Ramanathapuram</v>
      </c>
      <c r="S635" s="3" t="str">
        <f t="shared" si="808"/>
        <v>Ramanathapuram</v>
      </c>
      <c r="T635" s="3" t="str">
        <f t="shared" si="809"/>
        <v>Thirupullani</v>
      </c>
      <c r="U635" s="3" t="str">
        <f t="shared" si="810"/>
        <v>Ramanathapuram_Ramanathapuram_Thirupullani</v>
      </c>
      <c r="V635" s="3">
        <f>IF(_xlfn.XLOOKUP($U635,GCA!$H$3:$H$593,GCA!E$3:E$593,"",0,1)="","",_xlfn.XLOOKUP($U635,GCA!$H$3:$H$593,GCA!E$3:E$593,"",0,1))</f>
        <v>364.565</v>
      </c>
      <c r="W635" s="3">
        <f>IF(_xlfn.XLOOKUP($U635,GCA!$H$3:$H$593,GCA!F$3:F$593,"",0,1)="","",_xlfn.XLOOKUP($U635,GCA!$H$3:$H$593,GCA!F$3:F$593,"",0,1))</f>
        <v>378.11500000000001</v>
      </c>
      <c r="X635" s="3">
        <f>IF(_xlfn.XLOOKUP($U635,GCA!$H$3:$H$593,GCA!G$3:G$593,"",0,1)="","",_xlfn.XLOOKUP($U635,GCA!$H$3:$H$593,GCA!G$3:G$593,"",0,1))</f>
        <v>342.25</v>
      </c>
    </row>
    <row r="636" spans="1:24" ht="13.2">
      <c r="A636" s="49"/>
      <c r="B636" s="49"/>
      <c r="C636" s="48"/>
      <c r="D636" s="49"/>
      <c r="E636" s="50"/>
      <c r="F636" s="26" t="s">
        <v>1002</v>
      </c>
      <c r="G636" s="26" t="s">
        <v>1001</v>
      </c>
      <c r="H636" s="27">
        <f t="shared" si="834"/>
        <v>605.05499999999995</v>
      </c>
      <c r="I636" s="27">
        <f t="shared" si="835"/>
        <v>596.23500000000001</v>
      </c>
      <c r="J636" s="27">
        <f t="shared" si="836"/>
        <v>639.24</v>
      </c>
      <c r="K636" s="27">
        <f t="shared" si="837"/>
        <v>613.51</v>
      </c>
      <c r="L636" s="65"/>
      <c r="M636" s="67">
        <f t="shared" si="838"/>
        <v>0</v>
      </c>
      <c r="N636" s="65" t="str">
        <f t="shared" si="805"/>
        <v/>
      </c>
      <c r="O636" s="65" t="str">
        <f t="shared" ref="O636:P636" si="854">N636</f>
        <v/>
      </c>
      <c r="P636" s="65" t="str">
        <f t="shared" si="854"/>
        <v/>
      </c>
      <c r="Q636" s="38"/>
      <c r="R636" s="3" t="str">
        <f t="shared" si="841"/>
        <v>Ramanathapuram</v>
      </c>
      <c r="S636" s="3" t="str">
        <f t="shared" si="808"/>
        <v>Rameswaram</v>
      </c>
      <c r="T636" s="3" t="str">
        <f t="shared" si="809"/>
        <v>Mandapam</v>
      </c>
      <c r="U636" s="3" t="str">
        <f t="shared" si="810"/>
        <v>Ramanathapuram_Rameswaram_Mandapam</v>
      </c>
      <c r="V636" s="3">
        <f>IF(_xlfn.XLOOKUP($U636,GCA!$H$3:$H$593,GCA!E$3:E$593,"",0,1)="","",_xlfn.XLOOKUP($U636,GCA!$H$3:$H$593,GCA!E$3:E$593,"",0,1))</f>
        <v>605.05499999999995</v>
      </c>
      <c r="W636" s="3">
        <f>IF(_xlfn.XLOOKUP($U636,GCA!$H$3:$H$593,GCA!F$3:F$593,"",0,1)="","",_xlfn.XLOOKUP($U636,GCA!$H$3:$H$593,GCA!F$3:F$593,"",0,1))</f>
        <v>596.23500000000001</v>
      </c>
      <c r="X636" s="3">
        <f>IF(_xlfn.XLOOKUP($U636,GCA!$H$3:$H$593,GCA!G$3:G$593,"",0,1)="","",_xlfn.XLOOKUP($U636,GCA!$H$3:$H$593,GCA!G$3:G$593,"",0,1))</f>
        <v>639.24</v>
      </c>
    </row>
    <row r="637" spans="1:24" ht="13.2">
      <c r="A637" s="49"/>
      <c r="B637" s="49"/>
      <c r="C637" s="48"/>
      <c r="D637" s="49"/>
      <c r="E637" s="50"/>
      <c r="F637" s="26" t="s">
        <v>1003</v>
      </c>
      <c r="G637" s="26" t="s">
        <v>1000</v>
      </c>
      <c r="H637" s="27">
        <f t="shared" si="834"/>
        <v>1673.7950000000001</v>
      </c>
      <c r="I637" s="27">
        <f t="shared" si="835"/>
        <v>1762.93</v>
      </c>
      <c r="J637" s="27">
        <f t="shared" si="836"/>
        <v>1728.98</v>
      </c>
      <c r="K637" s="27">
        <f t="shared" si="837"/>
        <v>1721.9016666666666</v>
      </c>
      <c r="L637" s="65"/>
      <c r="M637" s="67">
        <f t="shared" si="838"/>
        <v>0</v>
      </c>
      <c r="N637" s="65" t="str">
        <f t="shared" si="805"/>
        <v/>
      </c>
      <c r="O637" s="65" t="str">
        <f t="shared" ref="O637:P637" si="855">N637</f>
        <v/>
      </c>
      <c r="P637" s="65" t="str">
        <f t="shared" si="855"/>
        <v/>
      </c>
      <c r="Q637" s="38"/>
      <c r="R637" s="3" t="str">
        <f t="shared" si="841"/>
        <v>Ramanathapuram</v>
      </c>
      <c r="S637" s="3" t="str">
        <f t="shared" si="808"/>
        <v>Thiruvadanai</v>
      </c>
      <c r="T637" s="3" t="str">
        <f t="shared" si="809"/>
        <v>R.S.Mangalam</v>
      </c>
      <c r="U637" s="3" t="str">
        <f t="shared" si="810"/>
        <v>Ramanathapuram_Thiruvadanai_R.S.Mangalam</v>
      </c>
      <c r="V637" s="3">
        <f>IF(_xlfn.XLOOKUP($U637,GCA!$H$3:$H$593,GCA!E$3:E$593,"",0,1)="","",_xlfn.XLOOKUP($U637,GCA!$H$3:$H$593,GCA!E$3:E$593,"",0,1))</f>
        <v>1673.7950000000001</v>
      </c>
      <c r="W637" s="3">
        <f>IF(_xlfn.XLOOKUP($U637,GCA!$H$3:$H$593,GCA!F$3:F$593,"",0,1)="","",_xlfn.XLOOKUP($U637,GCA!$H$3:$H$593,GCA!F$3:F$593,"",0,1))</f>
        <v>1762.93</v>
      </c>
      <c r="X637" s="3">
        <f>IF(_xlfn.XLOOKUP($U637,GCA!$H$3:$H$593,GCA!G$3:G$593,"",0,1)="","",_xlfn.XLOOKUP($U637,GCA!$H$3:$H$593,GCA!G$3:G$593,"",0,1))</f>
        <v>1728.98</v>
      </c>
    </row>
    <row r="638" spans="1:24" ht="13.2">
      <c r="A638" s="49"/>
      <c r="B638" s="49"/>
      <c r="C638" s="48"/>
      <c r="D638" s="49"/>
      <c r="E638" s="50"/>
      <c r="F638" s="26" t="s">
        <v>1003</v>
      </c>
      <c r="G638" s="26" t="s">
        <v>1003</v>
      </c>
      <c r="H638" s="27">
        <f t="shared" si="834"/>
        <v>26865.544999999998</v>
      </c>
      <c r="I638" s="27">
        <f t="shared" si="835"/>
        <v>26882.345000000001</v>
      </c>
      <c r="J638" s="27">
        <f t="shared" si="836"/>
        <v>26850.07</v>
      </c>
      <c r="K638" s="27">
        <f t="shared" si="837"/>
        <v>26865.986666666664</v>
      </c>
      <c r="L638" s="65"/>
      <c r="M638" s="67">
        <f t="shared" si="838"/>
        <v>0</v>
      </c>
      <c r="N638" s="65" t="str">
        <f t="shared" si="805"/>
        <v/>
      </c>
      <c r="O638" s="65" t="str">
        <f t="shared" ref="O638:P638" si="856">N638</f>
        <v/>
      </c>
      <c r="P638" s="65" t="str">
        <f t="shared" si="856"/>
        <v/>
      </c>
      <c r="Q638" s="38"/>
      <c r="R638" s="3" t="str">
        <f t="shared" si="841"/>
        <v>Ramanathapuram</v>
      </c>
      <c r="S638" s="3" t="str">
        <f t="shared" si="808"/>
        <v>Thiruvadanai</v>
      </c>
      <c r="T638" s="3" t="str">
        <f t="shared" si="809"/>
        <v>Thiruvadanai</v>
      </c>
      <c r="U638" s="3" t="str">
        <f t="shared" si="810"/>
        <v>Ramanathapuram_Thiruvadanai_Thiruvadanai</v>
      </c>
      <c r="V638" s="3">
        <f>IF(_xlfn.XLOOKUP($U638,GCA!$H$3:$H$593,GCA!E$3:E$593,"",0,1)="","",_xlfn.XLOOKUP($U638,GCA!$H$3:$H$593,GCA!E$3:E$593,"",0,1))</f>
        <v>26865.544999999998</v>
      </c>
      <c r="W638" s="3">
        <f>IF(_xlfn.XLOOKUP($U638,GCA!$H$3:$H$593,GCA!F$3:F$593,"",0,1)="","",_xlfn.XLOOKUP($U638,GCA!$H$3:$H$593,GCA!F$3:F$593,"",0,1))</f>
        <v>26882.345000000001</v>
      </c>
      <c r="X638" s="3">
        <f>IF(_xlfn.XLOOKUP($U638,GCA!$H$3:$H$593,GCA!G$3:G$593,"",0,1)="","",_xlfn.XLOOKUP($U638,GCA!$H$3:$H$593,GCA!G$3:G$593,"",0,1))</f>
        <v>26850.07</v>
      </c>
    </row>
    <row r="639" spans="1:24" ht="13.2">
      <c r="A639" s="49"/>
      <c r="B639" s="49"/>
      <c r="C639" s="48"/>
      <c r="D639" s="49"/>
      <c r="E639" s="47" t="s">
        <v>564</v>
      </c>
      <c r="F639" s="47"/>
      <c r="G639" s="47"/>
      <c r="H639" s="29">
        <f t="shared" ref="H639" si="857">SUM(H622:H638)</f>
        <v>192251.33500000002</v>
      </c>
      <c r="I639" s="29">
        <f t="shared" ref="I639:P639" si="858">SUM(I622:I638)</f>
        <v>191979.64499999999</v>
      </c>
      <c r="J639" s="29">
        <f t="shared" si="858"/>
        <v>189088</v>
      </c>
      <c r="K639" s="29">
        <f t="shared" si="858"/>
        <v>191106.32666666669</v>
      </c>
      <c r="L639" s="29">
        <f t="shared" si="858"/>
        <v>191106.32666666666</v>
      </c>
      <c r="M639" s="30">
        <f t="shared" si="858"/>
        <v>8.0215037400834639</v>
      </c>
      <c r="N639" s="31">
        <f t="shared" si="858"/>
        <v>8</v>
      </c>
      <c r="O639" s="31">
        <f t="shared" si="858"/>
        <v>8</v>
      </c>
      <c r="P639" s="31">
        <f t="shared" si="858"/>
        <v>8</v>
      </c>
      <c r="Q639" s="38"/>
    </row>
    <row r="640" spans="1:24" ht="13.2">
      <c r="A640" s="49"/>
      <c r="B640" s="49"/>
      <c r="C640" s="54" t="s">
        <v>521</v>
      </c>
      <c r="D640" s="54"/>
      <c r="E640" s="54"/>
      <c r="F640" s="54"/>
      <c r="G640" s="54"/>
      <c r="H640" s="32">
        <f>SUM(H639,H621)</f>
        <v>333901.31</v>
      </c>
      <c r="I640" s="32">
        <f t="shared" ref="I640:P640" si="859">SUM(I639,I621)</f>
        <v>337176.53</v>
      </c>
      <c r="J640" s="32">
        <f t="shared" si="859"/>
        <v>333535.68499999994</v>
      </c>
      <c r="K640" s="32">
        <f t="shared" si="859"/>
        <v>334871.17500000005</v>
      </c>
      <c r="L640" s="32">
        <f t="shared" si="859"/>
        <v>334871.17499999999</v>
      </c>
      <c r="M640" s="46">
        <f t="shared" si="859"/>
        <v>14.055894587906252</v>
      </c>
      <c r="N640" s="32">
        <f t="shared" si="859"/>
        <v>14</v>
      </c>
      <c r="O640" s="32">
        <f t="shared" si="859"/>
        <v>14</v>
      </c>
      <c r="P640" s="32">
        <f t="shared" si="859"/>
        <v>14</v>
      </c>
      <c r="Q640" s="38"/>
    </row>
    <row r="641" spans="1:17" ht="13.2">
      <c r="A641" s="49"/>
      <c r="B641" s="55" t="s">
        <v>522</v>
      </c>
      <c r="C641" s="55"/>
      <c r="D641" s="55"/>
      <c r="E641" s="55"/>
      <c r="F641" s="55"/>
      <c r="G641" s="55"/>
      <c r="H641" s="43">
        <f t="shared" ref="H641:P641" si="860">SUM(H640,H598,H521,H442)</f>
        <v>2243873.0519999997</v>
      </c>
      <c r="I641" s="43">
        <f t="shared" si="860"/>
        <v>2276002.9709999999</v>
      </c>
      <c r="J641" s="43">
        <f t="shared" si="860"/>
        <v>2352776.5649999995</v>
      </c>
      <c r="K641" s="43">
        <f t="shared" si="860"/>
        <v>2290884.196</v>
      </c>
      <c r="L641" s="43">
        <f t="shared" si="860"/>
        <v>2290884.196</v>
      </c>
      <c r="M641" s="44">
        <f t="shared" si="860"/>
        <v>96.15765457291559</v>
      </c>
      <c r="N641" s="45">
        <f t="shared" si="860"/>
        <v>96</v>
      </c>
      <c r="O641" s="45">
        <f t="shared" si="860"/>
        <v>96</v>
      </c>
      <c r="P641" s="45">
        <f t="shared" si="860"/>
        <v>96</v>
      </c>
      <c r="Q641" s="38"/>
    </row>
    <row r="642" spans="1:17" ht="13.2">
      <c r="A642" s="59" t="s">
        <v>523</v>
      </c>
      <c r="B642" s="59"/>
      <c r="C642" s="59"/>
      <c r="D642" s="59"/>
      <c r="E642" s="59"/>
      <c r="F642" s="59"/>
      <c r="G642" s="59"/>
      <c r="H642" s="35">
        <f t="shared" ref="H642:P642" si="861">SUM(H641,H372,H213)</f>
        <v>6206578.5189999994</v>
      </c>
      <c r="I642" s="35">
        <f t="shared" si="861"/>
        <v>6116198.9719999991</v>
      </c>
      <c r="J642" s="35">
        <f t="shared" si="861"/>
        <v>6260139.0829999996</v>
      </c>
      <c r="K642" s="35">
        <f t="shared" si="861"/>
        <v>6194305.524666667</v>
      </c>
      <c r="L642" s="35">
        <f t="shared" si="861"/>
        <v>6194305.524666667</v>
      </c>
      <c r="M642" s="36">
        <f t="shared" si="861"/>
        <v>260</v>
      </c>
      <c r="N642" s="37">
        <f t="shared" si="861"/>
        <v>260</v>
      </c>
      <c r="O642" s="37">
        <f t="shared" si="861"/>
        <v>260</v>
      </c>
      <c r="P642" s="37">
        <f t="shared" si="861"/>
        <v>260</v>
      </c>
      <c r="Q642" s="38"/>
    </row>
    <row r="643" spans="1:17">
      <c r="K643" s="40"/>
      <c r="L643" s="13">
        <v>260</v>
      </c>
      <c r="M643" s="4"/>
    </row>
    <row r="644" spans="1:17">
      <c r="K644" s="40"/>
    </row>
  </sheetData>
  <mergeCells count="820">
    <mergeCell ref="N513:N519"/>
    <mergeCell ref="O513:O519"/>
    <mergeCell ref="P513:P519"/>
    <mergeCell ref="E520:G520"/>
    <mergeCell ref="M499:M503"/>
    <mergeCell ref="N499:N503"/>
    <mergeCell ref="O499:O503"/>
    <mergeCell ref="P499:P503"/>
    <mergeCell ref="E504:E512"/>
    <mergeCell ref="L504:L512"/>
    <mergeCell ref="M504:M512"/>
    <mergeCell ref="N504:N512"/>
    <mergeCell ref="O504:O512"/>
    <mergeCell ref="P504:P512"/>
    <mergeCell ref="C391:C416"/>
    <mergeCell ref="D391:D416"/>
    <mergeCell ref="E391:E397"/>
    <mergeCell ref="L391:L397"/>
    <mergeCell ref="M391:M397"/>
    <mergeCell ref="N391:N397"/>
    <mergeCell ref="O391:O397"/>
    <mergeCell ref="P391:P397"/>
    <mergeCell ref="E398:E415"/>
    <mergeCell ref="L398:L415"/>
    <mergeCell ref="M398:M415"/>
    <mergeCell ref="N398:N415"/>
    <mergeCell ref="O398:O415"/>
    <mergeCell ref="P398:P415"/>
    <mergeCell ref="E416:G416"/>
    <mergeCell ref="N319:N320"/>
    <mergeCell ref="O319:O320"/>
    <mergeCell ref="P319:P320"/>
    <mergeCell ref="E321:G321"/>
    <mergeCell ref="M314:M315"/>
    <mergeCell ref="N314:N315"/>
    <mergeCell ref="O314:O315"/>
    <mergeCell ref="P314:P315"/>
    <mergeCell ref="E316:E318"/>
    <mergeCell ref="L316:L318"/>
    <mergeCell ref="M316:M318"/>
    <mergeCell ref="N316:N318"/>
    <mergeCell ref="O316:O318"/>
    <mergeCell ref="P316:P318"/>
    <mergeCell ref="N483:N484"/>
    <mergeCell ref="N481:N482"/>
    <mergeCell ref="M483:M484"/>
    <mergeCell ref="M481:M482"/>
    <mergeCell ref="L483:L484"/>
    <mergeCell ref="L481:L482"/>
    <mergeCell ref="V4:X4"/>
    <mergeCell ref="N295:N299"/>
    <mergeCell ref="N300:N303"/>
    <mergeCell ref="N304:N308"/>
    <mergeCell ref="N309:N312"/>
    <mergeCell ref="O295:O299"/>
    <mergeCell ref="O300:O303"/>
    <mergeCell ref="O304:O308"/>
    <mergeCell ref="O309:O312"/>
    <mergeCell ref="P295:P299"/>
    <mergeCell ref="P300:P303"/>
    <mergeCell ref="P304:P308"/>
    <mergeCell ref="P309:P312"/>
    <mergeCell ref="P273:P278"/>
    <mergeCell ref="P279:P283"/>
    <mergeCell ref="P284:P286"/>
    <mergeCell ref="P287:P289"/>
    <mergeCell ref="P290:P293"/>
    <mergeCell ref="E241:E243"/>
    <mergeCell ref="E244:E251"/>
    <mergeCell ref="P241:P243"/>
    <mergeCell ref="O241:O243"/>
    <mergeCell ref="N241:N243"/>
    <mergeCell ref="M241:M243"/>
    <mergeCell ref="L241:L243"/>
    <mergeCell ref="P244:P251"/>
    <mergeCell ref="O244:O251"/>
    <mergeCell ref="N244:N251"/>
    <mergeCell ref="M244:M251"/>
    <mergeCell ref="L244:L251"/>
    <mergeCell ref="E20:E23"/>
    <mergeCell ref="E15:E19"/>
    <mergeCell ref="N20:N23"/>
    <mergeCell ref="M20:M23"/>
    <mergeCell ref="L20:L23"/>
    <mergeCell ref="L15:L19"/>
    <mergeCell ref="M15:M19"/>
    <mergeCell ref="N15:N19"/>
    <mergeCell ref="P20:P23"/>
    <mergeCell ref="O20:O23"/>
    <mergeCell ref="P15:P19"/>
    <mergeCell ref="O15:O19"/>
    <mergeCell ref="L628:L632"/>
    <mergeCell ref="L633:L638"/>
    <mergeCell ref="L599:L602"/>
    <mergeCell ref="L603:L611"/>
    <mergeCell ref="L612:L620"/>
    <mergeCell ref="L622:L623"/>
    <mergeCell ref="L624:L627"/>
    <mergeCell ref="L545:L561"/>
    <mergeCell ref="L563:L568"/>
    <mergeCell ref="L569:L573"/>
    <mergeCell ref="L575:L584"/>
    <mergeCell ref="L585:L596"/>
    <mergeCell ref="L522:L529"/>
    <mergeCell ref="L530:L533"/>
    <mergeCell ref="L534:L541"/>
    <mergeCell ref="L542:L543"/>
    <mergeCell ref="L476:L480"/>
    <mergeCell ref="L485:L489"/>
    <mergeCell ref="L490:L492"/>
    <mergeCell ref="L493:L497"/>
    <mergeCell ref="L499:L503"/>
    <mergeCell ref="L513:L519"/>
    <mergeCell ref="L447:L451"/>
    <mergeCell ref="L453:L458"/>
    <mergeCell ref="L459:L461"/>
    <mergeCell ref="L462:L466"/>
    <mergeCell ref="L467:L470"/>
    <mergeCell ref="L471:L474"/>
    <mergeCell ref="L417:L423"/>
    <mergeCell ref="L424:L426"/>
    <mergeCell ref="L427:L431"/>
    <mergeCell ref="L433:L436"/>
    <mergeCell ref="L437:L440"/>
    <mergeCell ref="L443:L446"/>
    <mergeCell ref="L359:L369"/>
    <mergeCell ref="L373:L377"/>
    <mergeCell ref="L378:L381"/>
    <mergeCell ref="L382:L385"/>
    <mergeCell ref="L386:L389"/>
    <mergeCell ref="L333:L337"/>
    <mergeCell ref="L338:L342"/>
    <mergeCell ref="L343:L347"/>
    <mergeCell ref="L348:L351"/>
    <mergeCell ref="L352:L353"/>
    <mergeCell ref="L354:L357"/>
    <mergeCell ref="L287:L289"/>
    <mergeCell ref="L290:L293"/>
    <mergeCell ref="L323:L331"/>
    <mergeCell ref="L258:L260"/>
    <mergeCell ref="L261:L264"/>
    <mergeCell ref="L265:L271"/>
    <mergeCell ref="L273:L278"/>
    <mergeCell ref="L279:L283"/>
    <mergeCell ref="L284:L286"/>
    <mergeCell ref="L295:L299"/>
    <mergeCell ref="L300:L303"/>
    <mergeCell ref="L304:L308"/>
    <mergeCell ref="L309:L312"/>
    <mergeCell ref="L314:L315"/>
    <mergeCell ref="L319:L320"/>
    <mergeCell ref="L214:L220"/>
    <mergeCell ref="L221:L231"/>
    <mergeCell ref="L233:L239"/>
    <mergeCell ref="L254:L257"/>
    <mergeCell ref="L200:L202"/>
    <mergeCell ref="L205:L207"/>
    <mergeCell ref="L208:L210"/>
    <mergeCell ref="L155:L157"/>
    <mergeCell ref="L158:L164"/>
    <mergeCell ref="L167:L179"/>
    <mergeCell ref="L181:L184"/>
    <mergeCell ref="L185:L191"/>
    <mergeCell ref="L192:L198"/>
    <mergeCell ref="L125:L129"/>
    <mergeCell ref="L130:L138"/>
    <mergeCell ref="L139:L141"/>
    <mergeCell ref="L142:L144"/>
    <mergeCell ref="L146:L150"/>
    <mergeCell ref="L151:L154"/>
    <mergeCell ref="L92:L96"/>
    <mergeCell ref="L97:L99"/>
    <mergeCell ref="L100:L103"/>
    <mergeCell ref="L104:L105"/>
    <mergeCell ref="L119:L121"/>
    <mergeCell ref="L122:L124"/>
    <mergeCell ref="L66:L71"/>
    <mergeCell ref="L74:L77"/>
    <mergeCell ref="L78:L80"/>
    <mergeCell ref="L81:L82"/>
    <mergeCell ref="L83:L88"/>
    <mergeCell ref="L90:L91"/>
    <mergeCell ref="L107:L116"/>
    <mergeCell ref="L34:L37"/>
    <mergeCell ref="L38:L44"/>
    <mergeCell ref="L45:L49"/>
    <mergeCell ref="L50:L52"/>
    <mergeCell ref="L54:L59"/>
    <mergeCell ref="L60:L65"/>
    <mergeCell ref="M622:M623"/>
    <mergeCell ref="M624:M627"/>
    <mergeCell ref="M628:M632"/>
    <mergeCell ref="M530:M533"/>
    <mergeCell ref="M467:M470"/>
    <mergeCell ref="M471:M474"/>
    <mergeCell ref="M476:M480"/>
    <mergeCell ref="M485:M489"/>
    <mergeCell ref="M490:M492"/>
    <mergeCell ref="M513:M519"/>
    <mergeCell ref="M437:M440"/>
    <mergeCell ref="M443:M446"/>
    <mergeCell ref="M447:M451"/>
    <mergeCell ref="M453:M458"/>
    <mergeCell ref="M459:M461"/>
    <mergeCell ref="M462:M466"/>
    <mergeCell ref="M382:M385"/>
    <mergeCell ref="M386:M389"/>
    <mergeCell ref="M427:M431"/>
    <mergeCell ref="M633:M638"/>
    <mergeCell ref="M4:M5"/>
    <mergeCell ref="L6:L11"/>
    <mergeCell ref="L12:L14"/>
    <mergeCell ref="L25:L32"/>
    <mergeCell ref="M585:M596"/>
    <mergeCell ref="M599:M602"/>
    <mergeCell ref="M603:M611"/>
    <mergeCell ref="M612:M620"/>
    <mergeCell ref="M534:M541"/>
    <mergeCell ref="M542:M543"/>
    <mergeCell ref="M545:M561"/>
    <mergeCell ref="M563:M568"/>
    <mergeCell ref="M569:M573"/>
    <mergeCell ref="M575:M584"/>
    <mergeCell ref="M493:M497"/>
    <mergeCell ref="M522:M529"/>
    <mergeCell ref="M417:M423"/>
    <mergeCell ref="M424:M426"/>
    <mergeCell ref="M433:M436"/>
    <mergeCell ref="M352:M353"/>
    <mergeCell ref="M354:M357"/>
    <mergeCell ref="M359:M369"/>
    <mergeCell ref="M373:M377"/>
    <mergeCell ref="M200:M202"/>
    <mergeCell ref="M205:M207"/>
    <mergeCell ref="M208:M210"/>
    <mergeCell ref="M378:M381"/>
    <mergeCell ref="M338:M342"/>
    <mergeCell ref="M343:M347"/>
    <mergeCell ref="M348:M351"/>
    <mergeCell ref="M295:M299"/>
    <mergeCell ref="M300:M303"/>
    <mergeCell ref="M304:M308"/>
    <mergeCell ref="M309:M312"/>
    <mergeCell ref="M323:M331"/>
    <mergeCell ref="M333:M337"/>
    <mergeCell ref="M319:M320"/>
    <mergeCell ref="M92:M96"/>
    <mergeCell ref="M97:M99"/>
    <mergeCell ref="M100:M103"/>
    <mergeCell ref="M104:M105"/>
    <mergeCell ref="M119:M121"/>
    <mergeCell ref="M122:M124"/>
    <mergeCell ref="M155:M157"/>
    <mergeCell ref="M158:M164"/>
    <mergeCell ref="M167:M179"/>
    <mergeCell ref="M107:M116"/>
    <mergeCell ref="M181:M184"/>
    <mergeCell ref="M185:M191"/>
    <mergeCell ref="M192:M198"/>
    <mergeCell ref="M125:M129"/>
    <mergeCell ref="M130:M138"/>
    <mergeCell ref="M139:M141"/>
    <mergeCell ref="M142:M144"/>
    <mergeCell ref="M146:M150"/>
    <mergeCell ref="M151:M154"/>
    <mergeCell ref="M66:M71"/>
    <mergeCell ref="M74:M77"/>
    <mergeCell ref="M78:M80"/>
    <mergeCell ref="M81:M82"/>
    <mergeCell ref="M83:M88"/>
    <mergeCell ref="M90:M91"/>
    <mergeCell ref="M34:M37"/>
    <mergeCell ref="M38:M44"/>
    <mergeCell ref="M45:M49"/>
    <mergeCell ref="M50:M52"/>
    <mergeCell ref="M54:M59"/>
    <mergeCell ref="M60:M65"/>
    <mergeCell ref="P612:P620"/>
    <mergeCell ref="P622:P623"/>
    <mergeCell ref="P624:P627"/>
    <mergeCell ref="P522:P529"/>
    <mergeCell ref="P462:P466"/>
    <mergeCell ref="P467:P470"/>
    <mergeCell ref="P471:P474"/>
    <mergeCell ref="P476:P480"/>
    <mergeCell ref="P485:P489"/>
    <mergeCell ref="P483:P484"/>
    <mergeCell ref="P481:P482"/>
    <mergeCell ref="P433:P436"/>
    <mergeCell ref="P437:P440"/>
    <mergeCell ref="P443:P446"/>
    <mergeCell ref="P447:P451"/>
    <mergeCell ref="P453:P458"/>
    <mergeCell ref="P459:P461"/>
    <mergeCell ref="P378:P381"/>
    <mergeCell ref="P382:P385"/>
    <mergeCell ref="P424:P426"/>
    <mergeCell ref="P427:P431"/>
    <mergeCell ref="P628:P632"/>
    <mergeCell ref="P633:P638"/>
    <mergeCell ref="M6:M11"/>
    <mergeCell ref="M12:M14"/>
    <mergeCell ref="M25:M32"/>
    <mergeCell ref="P575:P584"/>
    <mergeCell ref="P585:P596"/>
    <mergeCell ref="P599:P602"/>
    <mergeCell ref="P603:P611"/>
    <mergeCell ref="P530:P533"/>
    <mergeCell ref="P534:P541"/>
    <mergeCell ref="P542:P543"/>
    <mergeCell ref="P545:P561"/>
    <mergeCell ref="P563:P568"/>
    <mergeCell ref="P569:P573"/>
    <mergeCell ref="P490:P492"/>
    <mergeCell ref="P493:P497"/>
    <mergeCell ref="P386:P389"/>
    <mergeCell ref="P417:P423"/>
    <mergeCell ref="P348:P351"/>
    <mergeCell ref="P352:P353"/>
    <mergeCell ref="P354:P357"/>
    <mergeCell ref="P359:P369"/>
    <mergeCell ref="P373:P377"/>
    <mergeCell ref="P323:P331"/>
    <mergeCell ref="P333:P337"/>
    <mergeCell ref="P338:P342"/>
    <mergeCell ref="P343:P347"/>
    <mergeCell ref="P214:P220"/>
    <mergeCell ref="P221:P231"/>
    <mergeCell ref="P233:P239"/>
    <mergeCell ref="P181:P184"/>
    <mergeCell ref="P185:P191"/>
    <mergeCell ref="P192:P198"/>
    <mergeCell ref="P200:P202"/>
    <mergeCell ref="P205:P207"/>
    <mergeCell ref="P208:P210"/>
    <mergeCell ref="P254:P257"/>
    <mergeCell ref="P258:P260"/>
    <mergeCell ref="P261:P264"/>
    <mergeCell ref="P265:P271"/>
    <mergeCell ref="P151:P154"/>
    <mergeCell ref="P155:P157"/>
    <mergeCell ref="P158:P164"/>
    <mergeCell ref="P167:P179"/>
    <mergeCell ref="P104:P105"/>
    <mergeCell ref="P119:P121"/>
    <mergeCell ref="P122:P124"/>
    <mergeCell ref="P125:P129"/>
    <mergeCell ref="P130:P138"/>
    <mergeCell ref="P139:P141"/>
    <mergeCell ref="P107:P116"/>
    <mergeCell ref="P142:P144"/>
    <mergeCell ref="P146:P150"/>
    <mergeCell ref="P81:P82"/>
    <mergeCell ref="P83:P88"/>
    <mergeCell ref="P90:P91"/>
    <mergeCell ref="P92:P96"/>
    <mergeCell ref="P97:P99"/>
    <mergeCell ref="P100:P103"/>
    <mergeCell ref="P50:P52"/>
    <mergeCell ref="P54:P59"/>
    <mergeCell ref="P60:P65"/>
    <mergeCell ref="P66:P71"/>
    <mergeCell ref="P74:P77"/>
    <mergeCell ref="P78:P80"/>
    <mergeCell ref="O628:O632"/>
    <mergeCell ref="O633:O638"/>
    <mergeCell ref="P6:P11"/>
    <mergeCell ref="P12:P14"/>
    <mergeCell ref="P25:P32"/>
    <mergeCell ref="P34:P37"/>
    <mergeCell ref="P38:P44"/>
    <mergeCell ref="P45:P49"/>
    <mergeCell ref="O599:O602"/>
    <mergeCell ref="O603:O611"/>
    <mergeCell ref="O612:O620"/>
    <mergeCell ref="O622:O623"/>
    <mergeCell ref="O624:O627"/>
    <mergeCell ref="O545:O561"/>
    <mergeCell ref="O563:O568"/>
    <mergeCell ref="O569:O573"/>
    <mergeCell ref="O575:O584"/>
    <mergeCell ref="O585:O596"/>
    <mergeCell ref="O522:O529"/>
    <mergeCell ref="O530:O533"/>
    <mergeCell ref="O534:O541"/>
    <mergeCell ref="O542:O543"/>
    <mergeCell ref="O476:O480"/>
    <mergeCell ref="O485:O489"/>
    <mergeCell ref="O490:O492"/>
    <mergeCell ref="O493:O497"/>
    <mergeCell ref="O447:O451"/>
    <mergeCell ref="O453:O458"/>
    <mergeCell ref="O459:O461"/>
    <mergeCell ref="O462:O466"/>
    <mergeCell ref="O467:O470"/>
    <mergeCell ref="O471:O474"/>
    <mergeCell ref="O417:O423"/>
    <mergeCell ref="O424:O426"/>
    <mergeCell ref="O427:O431"/>
    <mergeCell ref="O433:O436"/>
    <mergeCell ref="O437:O440"/>
    <mergeCell ref="O443:O446"/>
    <mergeCell ref="O483:O484"/>
    <mergeCell ref="O481:O482"/>
    <mergeCell ref="O359:O369"/>
    <mergeCell ref="O373:O377"/>
    <mergeCell ref="O378:O381"/>
    <mergeCell ref="O382:O385"/>
    <mergeCell ref="O386:O389"/>
    <mergeCell ref="O333:O337"/>
    <mergeCell ref="O338:O342"/>
    <mergeCell ref="O343:O347"/>
    <mergeCell ref="O348:O351"/>
    <mergeCell ref="O352:O353"/>
    <mergeCell ref="O354:O357"/>
    <mergeCell ref="O192:O198"/>
    <mergeCell ref="O287:O289"/>
    <mergeCell ref="O290:O293"/>
    <mergeCell ref="O323:O331"/>
    <mergeCell ref="O258:O260"/>
    <mergeCell ref="O261:O264"/>
    <mergeCell ref="O265:O271"/>
    <mergeCell ref="O273:O278"/>
    <mergeCell ref="O279:O283"/>
    <mergeCell ref="O284:O286"/>
    <mergeCell ref="O34:O37"/>
    <mergeCell ref="O38:O44"/>
    <mergeCell ref="O45:O49"/>
    <mergeCell ref="O50:O52"/>
    <mergeCell ref="O54:O59"/>
    <mergeCell ref="O60:O65"/>
    <mergeCell ref="O125:O129"/>
    <mergeCell ref="O130:O138"/>
    <mergeCell ref="O139:O141"/>
    <mergeCell ref="O92:O96"/>
    <mergeCell ref="O97:O99"/>
    <mergeCell ref="O100:O103"/>
    <mergeCell ref="O104:O105"/>
    <mergeCell ref="O119:O121"/>
    <mergeCell ref="O122:O124"/>
    <mergeCell ref="O107:O116"/>
    <mergeCell ref="O66:O71"/>
    <mergeCell ref="O74:O77"/>
    <mergeCell ref="O78:O80"/>
    <mergeCell ref="O81:O82"/>
    <mergeCell ref="N417:N423"/>
    <mergeCell ref="N386:N389"/>
    <mergeCell ref="N382:N385"/>
    <mergeCell ref="O83:O88"/>
    <mergeCell ref="O90:O91"/>
    <mergeCell ref="O142:O144"/>
    <mergeCell ref="O146:O150"/>
    <mergeCell ref="O151:O154"/>
    <mergeCell ref="O214:O220"/>
    <mergeCell ref="O221:O231"/>
    <mergeCell ref="O233:O239"/>
    <mergeCell ref="O254:O257"/>
    <mergeCell ref="O200:O202"/>
    <mergeCell ref="O205:O207"/>
    <mergeCell ref="O208:O210"/>
    <mergeCell ref="O155:O157"/>
    <mergeCell ref="O158:O164"/>
    <mergeCell ref="O167:O179"/>
    <mergeCell ref="O181:O184"/>
    <mergeCell ref="O185:O191"/>
    <mergeCell ref="N534:N541"/>
    <mergeCell ref="N530:N533"/>
    <mergeCell ref="N522:N529"/>
    <mergeCell ref="N493:N497"/>
    <mergeCell ref="N599:N602"/>
    <mergeCell ref="N585:N596"/>
    <mergeCell ref="N575:N584"/>
    <mergeCell ref="N569:N573"/>
    <mergeCell ref="A1:P1"/>
    <mergeCell ref="O6:O11"/>
    <mergeCell ref="O12:O14"/>
    <mergeCell ref="O25:O32"/>
    <mergeCell ref="N427:N431"/>
    <mergeCell ref="N333:N337"/>
    <mergeCell ref="N323:N331"/>
    <mergeCell ref="N424:N426"/>
    <mergeCell ref="N359:N369"/>
    <mergeCell ref="N354:N357"/>
    <mergeCell ref="N352:N353"/>
    <mergeCell ref="N348:N351"/>
    <mergeCell ref="N343:N347"/>
    <mergeCell ref="N338:N342"/>
    <mergeCell ref="N273:N278"/>
    <mergeCell ref="N265:N271"/>
    <mergeCell ref="N378:N381"/>
    <mergeCell ref="N373:N377"/>
    <mergeCell ref="N290:N293"/>
    <mergeCell ref="N633:N638"/>
    <mergeCell ref="N628:N632"/>
    <mergeCell ref="N624:N627"/>
    <mergeCell ref="N622:N623"/>
    <mergeCell ref="N612:N620"/>
    <mergeCell ref="N603:N611"/>
    <mergeCell ref="N443:N446"/>
    <mergeCell ref="N437:N440"/>
    <mergeCell ref="N433:N436"/>
    <mergeCell ref="N490:N492"/>
    <mergeCell ref="N485:N489"/>
    <mergeCell ref="N476:N480"/>
    <mergeCell ref="N471:N474"/>
    <mergeCell ref="N467:N470"/>
    <mergeCell ref="N462:N466"/>
    <mergeCell ref="N459:N461"/>
    <mergeCell ref="N453:N458"/>
    <mergeCell ref="N447:N451"/>
    <mergeCell ref="N563:N568"/>
    <mergeCell ref="N545:N561"/>
    <mergeCell ref="N542:N543"/>
    <mergeCell ref="N287:N289"/>
    <mergeCell ref="N284:N286"/>
    <mergeCell ref="N279:N283"/>
    <mergeCell ref="M287:M289"/>
    <mergeCell ref="M290:M293"/>
    <mergeCell ref="N221:N231"/>
    <mergeCell ref="N214:N220"/>
    <mergeCell ref="M214:M220"/>
    <mergeCell ref="M221:M231"/>
    <mergeCell ref="M233:M239"/>
    <mergeCell ref="M254:M257"/>
    <mergeCell ref="N258:N260"/>
    <mergeCell ref="N261:N264"/>
    <mergeCell ref="M258:M260"/>
    <mergeCell ref="M261:M264"/>
    <mergeCell ref="M265:M271"/>
    <mergeCell ref="M273:M278"/>
    <mergeCell ref="M279:M283"/>
    <mergeCell ref="M284:M286"/>
    <mergeCell ref="N54:N59"/>
    <mergeCell ref="N50:N52"/>
    <mergeCell ref="N100:N103"/>
    <mergeCell ref="N97:N99"/>
    <mergeCell ref="N92:N96"/>
    <mergeCell ref="N90:N91"/>
    <mergeCell ref="N83:N88"/>
    <mergeCell ref="N254:N257"/>
    <mergeCell ref="N233:N239"/>
    <mergeCell ref="N139:N141"/>
    <mergeCell ref="N130:N138"/>
    <mergeCell ref="N125:N129"/>
    <mergeCell ref="N122:N124"/>
    <mergeCell ref="N119:N121"/>
    <mergeCell ref="N104:N105"/>
    <mergeCell ref="N167:N179"/>
    <mergeCell ref="N158:N164"/>
    <mergeCell ref="N155:N157"/>
    <mergeCell ref="N151:N154"/>
    <mergeCell ref="N146:N150"/>
    <mergeCell ref="N142:N144"/>
    <mergeCell ref="N107:N116"/>
    <mergeCell ref="N205:N207"/>
    <mergeCell ref="N200:N202"/>
    <mergeCell ref="N192:N198"/>
    <mergeCell ref="N185:N191"/>
    <mergeCell ref="N181:N184"/>
    <mergeCell ref="N78:N80"/>
    <mergeCell ref="N74:N77"/>
    <mergeCell ref="N66:N71"/>
    <mergeCell ref="N60:N65"/>
    <mergeCell ref="O4:P4"/>
    <mergeCell ref="N6:N11"/>
    <mergeCell ref="N12:N14"/>
    <mergeCell ref="N81:N82"/>
    <mergeCell ref="C622:C639"/>
    <mergeCell ref="D622:D639"/>
    <mergeCell ref="E622:E623"/>
    <mergeCell ref="E624:E627"/>
    <mergeCell ref="E628:E632"/>
    <mergeCell ref="E633:E638"/>
    <mergeCell ref="D599:D621"/>
    <mergeCell ref="E599:E602"/>
    <mergeCell ref="E603:E611"/>
    <mergeCell ref="E612:E620"/>
    <mergeCell ref="E621:G621"/>
    <mergeCell ref="C598:G598"/>
    <mergeCell ref="C599:C621"/>
    <mergeCell ref="C575:C597"/>
    <mergeCell ref="D575:D597"/>
    <mergeCell ref="N45:N49"/>
    <mergeCell ref="N38:N44"/>
    <mergeCell ref="N34:N37"/>
    <mergeCell ref="N25:N32"/>
    <mergeCell ref="N208:N210"/>
    <mergeCell ref="C499:C520"/>
    <mergeCell ref="D499:D520"/>
    <mergeCell ref="E499:E503"/>
    <mergeCell ref="E513:E519"/>
    <mergeCell ref="C521:G521"/>
    <mergeCell ref="E639:G639"/>
    <mergeCell ref="C640:G640"/>
    <mergeCell ref="B641:G641"/>
    <mergeCell ref="A642:G642"/>
    <mergeCell ref="B599:B640"/>
    <mergeCell ref="B522:B598"/>
    <mergeCell ref="C522:C544"/>
    <mergeCell ref="D522:D544"/>
    <mergeCell ref="E522:E529"/>
    <mergeCell ref="C563:C574"/>
    <mergeCell ref="D563:D574"/>
    <mergeCell ref="E563:E568"/>
    <mergeCell ref="E569:E573"/>
    <mergeCell ref="E574:G574"/>
    <mergeCell ref="E544:G544"/>
    <mergeCell ref="C545:C562"/>
    <mergeCell ref="D545:D562"/>
    <mergeCell ref="E545:E561"/>
    <mergeCell ref="E562:G562"/>
    <mergeCell ref="E575:E584"/>
    <mergeCell ref="E585:E596"/>
    <mergeCell ref="E597:G597"/>
    <mergeCell ref="E530:E533"/>
    <mergeCell ref="E534:E541"/>
    <mergeCell ref="E542:E543"/>
    <mergeCell ref="C433:C441"/>
    <mergeCell ref="D433:D441"/>
    <mergeCell ref="E433:E436"/>
    <mergeCell ref="E437:E440"/>
    <mergeCell ref="E441:G441"/>
    <mergeCell ref="E490:E492"/>
    <mergeCell ref="E493:E497"/>
    <mergeCell ref="E498:G498"/>
    <mergeCell ref="E475:G475"/>
    <mergeCell ref="C476:C498"/>
    <mergeCell ref="D476:D498"/>
    <mergeCell ref="E476:E480"/>
    <mergeCell ref="E485:E489"/>
    <mergeCell ref="D453:D475"/>
    <mergeCell ref="E453:E458"/>
    <mergeCell ref="E459:E461"/>
    <mergeCell ref="E462:E466"/>
    <mergeCell ref="E467:E470"/>
    <mergeCell ref="E471:E474"/>
    <mergeCell ref="E483:E484"/>
    <mergeCell ref="E481:E482"/>
    <mergeCell ref="E386:E389"/>
    <mergeCell ref="E390:G390"/>
    <mergeCell ref="C417:C432"/>
    <mergeCell ref="D417:D432"/>
    <mergeCell ref="E417:E423"/>
    <mergeCell ref="E424:E426"/>
    <mergeCell ref="B372:G372"/>
    <mergeCell ref="A373:A641"/>
    <mergeCell ref="B373:B442"/>
    <mergeCell ref="C373:C390"/>
    <mergeCell ref="D373:D390"/>
    <mergeCell ref="E373:E377"/>
    <mergeCell ref="E378:E381"/>
    <mergeCell ref="E382:E385"/>
    <mergeCell ref="C442:G442"/>
    <mergeCell ref="B443:B521"/>
    <mergeCell ref="C443:C452"/>
    <mergeCell ref="D443:D452"/>
    <mergeCell ref="E443:E446"/>
    <mergeCell ref="E447:E451"/>
    <mergeCell ref="E452:G452"/>
    <mergeCell ref="C453:C475"/>
    <mergeCell ref="E427:E431"/>
    <mergeCell ref="E432:G432"/>
    <mergeCell ref="C314:C321"/>
    <mergeCell ref="D314:D321"/>
    <mergeCell ref="E314:E315"/>
    <mergeCell ref="E338:E342"/>
    <mergeCell ref="E343:E347"/>
    <mergeCell ref="E348:E351"/>
    <mergeCell ref="C322:G322"/>
    <mergeCell ref="B323:B371"/>
    <mergeCell ref="C323:C332"/>
    <mergeCell ref="D323:D332"/>
    <mergeCell ref="E323:E331"/>
    <mergeCell ref="E332:G332"/>
    <mergeCell ref="C333:C358"/>
    <mergeCell ref="D333:D358"/>
    <mergeCell ref="E333:E337"/>
    <mergeCell ref="C371:G371"/>
    <mergeCell ref="E352:E353"/>
    <mergeCell ref="E354:E357"/>
    <mergeCell ref="E358:G358"/>
    <mergeCell ref="C359:C370"/>
    <mergeCell ref="D359:D370"/>
    <mergeCell ref="E359:E369"/>
    <mergeCell ref="E370:G370"/>
    <mergeCell ref="E319:E320"/>
    <mergeCell ref="C254:C272"/>
    <mergeCell ref="D254:D272"/>
    <mergeCell ref="E254:E257"/>
    <mergeCell ref="E258:E260"/>
    <mergeCell ref="E261:E264"/>
    <mergeCell ref="C295:C313"/>
    <mergeCell ref="D295:D313"/>
    <mergeCell ref="E313:G313"/>
    <mergeCell ref="E287:E289"/>
    <mergeCell ref="E290:E293"/>
    <mergeCell ref="E294:G294"/>
    <mergeCell ref="E300:E303"/>
    <mergeCell ref="E295:E299"/>
    <mergeCell ref="E304:E308"/>
    <mergeCell ref="E309:E312"/>
    <mergeCell ref="B213:G213"/>
    <mergeCell ref="A214:A372"/>
    <mergeCell ref="B214:B253"/>
    <mergeCell ref="C214:C232"/>
    <mergeCell ref="D214:D232"/>
    <mergeCell ref="E214:E220"/>
    <mergeCell ref="E221:E231"/>
    <mergeCell ref="C241:C252"/>
    <mergeCell ref="D241:D252"/>
    <mergeCell ref="E252:G252"/>
    <mergeCell ref="E232:G232"/>
    <mergeCell ref="C233:C240"/>
    <mergeCell ref="D233:D240"/>
    <mergeCell ref="E233:E239"/>
    <mergeCell ref="E240:G240"/>
    <mergeCell ref="E265:E271"/>
    <mergeCell ref="E272:G272"/>
    <mergeCell ref="C273:C294"/>
    <mergeCell ref="D273:D294"/>
    <mergeCell ref="E273:E278"/>
    <mergeCell ref="E279:E283"/>
    <mergeCell ref="E284:E286"/>
    <mergeCell ref="C253:G253"/>
    <mergeCell ref="B254:B322"/>
    <mergeCell ref="D181:D199"/>
    <mergeCell ref="E181:E184"/>
    <mergeCell ref="E185:E191"/>
    <mergeCell ref="E192:E198"/>
    <mergeCell ref="E199:G199"/>
    <mergeCell ref="E165:G165"/>
    <mergeCell ref="C166:G166"/>
    <mergeCell ref="B167:B212"/>
    <mergeCell ref="C167:C180"/>
    <mergeCell ref="D167:D180"/>
    <mergeCell ref="E167:E179"/>
    <mergeCell ref="E180:G180"/>
    <mergeCell ref="C181:C199"/>
    <mergeCell ref="C205:C211"/>
    <mergeCell ref="D205:D211"/>
    <mergeCell ref="E205:E207"/>
    <mergeCell ref="E208:E210"/>
    <mergeCell ref="E211:G211"/>
    <mergeCell ref="C200:C204"/>
    <mergeCell ref="D200:D204"/>
    <mergeCell ref="E200:E202"/>
    <mergeCell ref="E204:G204"/>
    <mergeCell ref="C212:G212"/>
    <mergeCell ref="B119:B166"/>
    <mergeCell ref="C146:C165"/>
    <mergeCell ref="D146:D165"/>
    <mergeCell ref="E146:E150"/>
    <mergeCell ref="E151:E154"/>
    <mergeCell ref="E155:E157"/>
    <mergeCell ref="E158:E164"/>
    <mergeCell ref="E130:E138"/>
    <mergeCell ref="E139:E141"/>
    <mergeCell ref="E142:E144"/>
    <mergeCell ref="C119:C145"/>
    <mergeCell ref="D119:D145"/>
    <mergeCell ref="E119:E121"/>
    <mergeCell ref="E122:E124"/>
    <mergeCell ref="E125:E129"/>
    <mergeCell ref="E145:G145"/>
    <mergeCell ref="E83:E88"/>
    <mergeCell ref="E89:G89"/>
    <mergeCell ref="C90:C106"/>
    <mergeCell ref="D90:D106"/>
    <mergeCell ref="E90:E91"/>
    <mergeCell ref="E92:E96"/>
    <mergeCell ref="E97:E99"/>
    <mergeCell ref="C73:G73"/>
    <mergeCell ref="B74:B118"/>
    <mergeCell ref="C74:C89"/>
    <mergeCell ref="D74:D89"/>
    <mergeCell ref="E74:E77"/>
    <mergeCell ref="E78:E80"/>
    <mergeCell ref="E81:E82"/>
    <mergeCell ref="C118:G118"/>
    <mergeCell ref="E100:E103"/>
    <mergeCell ref="E104:E105"/>
    <mergeCell ref="E106:G106"/>
    <mergeCell ref="C107:C117"/>
    <mergeCell ref="D107:D117"/>
    <mergeCell ref="E107:E116"/>
    <mergeCell ref="E117:G117"/>
    <mergeCell ref="E54:E59"/>
    <mergeCell ref="E60:E65"/>
    <mergeCell ref="E66:E71"/>
    <mergeCell ref="E72:G72"/>
    <mergeCell ref="C34:C53"/>
    <mergeCell ref="D34:D53"/>
    <mergeCell ref="E34:E37"/>
    <mergeCell ref="E38:E44"/>
    <mergeCell ref="E45:E49"/>
    <mergeCell ref="E50:E52"/>
    <mergeCell ref="E24:G24"/>
    <mergeCell ref="C25:C33"/>
    <mergeCell ref="D25:D33"/>
    <mergeCell ref="E25:E32"/>
    <mergeCell ref="E33:G33"/>
    <mergeCell ref="N4:N5"/>
    <mergeCell ref="A6:A213"/>
    <mergeCell ref="B6:B73"/>
    <mergeCell ref="C6:C24"/>
    <mergeCell ref="D6:D24"/>
    <mergeCell ref="E6:E11"/>
    <mergeCell ref="E12:E14"/>
    <mergeCell ref="A4:A5"/>
    <mergeCell ref="B4:B5"/>
    <mergeCell ref="C4:C5"/>
    <mergeCell ref="D4:D5"/>
    <mergeCell ref="E4:E5"/>
    <mergeCell ref="F4:F5"/>
    <mergeCell ref="G4:G5"/>
    <mergeCell ref="H4:K4"/>
    <mergeCell ref="L4:L5"/>
    <mergeCell ref="E53:G53"/>
    <mergeCell ref="C54:C72"/>
    <mergeCell ref="D54:D72"/>
  </mergeCells>
  <printOptions horizontalCentered="1"/>
  <pageMargins left="0" right="0" top="0.25" bottom="0" header="0" footer="0"/>
  <pageSetup paperSize="9" scale="95" orientation="landscape" r:id="rId1"/>
  <rowBreaks count="16" manualBreakCount="16">
    <brk id="37" max="15" man="1"/>
    <brk id="77" max="15" man="1"/>
    <brk id="118" max="15" man="1"/>
    <brk id="157" max="15" man="1"/>
    <brk id="199" max="15" man="1"/>
    <brk id="240" max="15" man="1"/>
    <brk id="278" max="15" man="1"/>
    <brk id="313" max="15" man="1"/>
    <brk id="353" max="15" man="1"/>
    <brk id="390" max="15" man="1"/>
    <brk id="432" max="15" man="1"/>
    <brk id="470" max="15" man="1"/>
    <brk id="512" max="15" man="1"/>
    <brk id="544" max="15" man="1"/>
    <brk id="584" max="15" man="1"/>
    <brk id="621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B816-BDF5-405B-9AFC-701732D249D8}">
  <sheetPr>
    <tabColor rgb="FF00B050"/>
  </sheetPr>
  <dimension ref="A1:X644"/>
  <sheetViews>
    <sheetView tabSelected="1" view="pageBreakPreview" topLeftCell="A628" zoomScaleNormal="100" zoomScaleSheetLayoutView="100" workbookViewId="0">
      <selection activeCell="R61" sqref="R61"/>
    </sheetView>
  </sheetViews>
  <sheetFormatPr defaultColWidth="8.77734375" defaultRowHeight="12"/>
  <cols>
    <col min="1" max="1" width="10.33203125" style="1" customWidth="1"/>
    <col min="2" max="2" width="12.88671875" style="1" bestFit="1" customWidth="1"/>
    <col min="3" max="3" width="15.44140625" style="12" bestFit="1" customWidth="1"/>
    <col min="4" max="4" width="5.44140625" style="11" customWidth="1"/>
    <col min="5" max="5" width="7.44140625" style="2" customWidth="1"/>
    <col min="6" max="6" width="17.21875" style="3" bestFit="1" customWidth="1"/>
    <col min="7" max="7" width="18.44140625" style="3" customWidth="1"/>
    <col min="8" max="11" width="8" style="2" hidden="1" customWidth="1"/>
    <col min="12" max="12" width="9.109375" style="14" hidden="1" customWidth="1"/>
    <col min="13" max="13" width="6.6640625" style="2" hidden="1" customWidth="1"/>
    <col min="14" max="14" width="4.88671875" style="3" hidden="1" customWidth="1"/>
    <col min="15" max="16" width="7" style="3" customWidth="1"/>
    <col min="17" max="17" width="8.77734375" style="3"/>
    <col min="18" max="19" width="7.109375" style="3" customWidth="1"/>
    <col min="20" max="20" width="16.21875" style="3" bestFit="1" customWidth="1"/>
    <col min="21" max="21" width="38" style="3" bestFit="1" customWidth="1"/>
    <col min="22" max="16384" width="8.77734375" style="3"/>
  </cols>
  <sheetData>
    <row r="1" spans="1:24" ht="33.6" customHeight="1">
      <c r="A1" s="68" t="s">
        <v>1030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</row>
    <row r="2" spans="1:24" ht="16.8" customHeight="1">
      <c r="A2" s="20" t="s">
        <v>1009</v>
      </c>
      <c r="B2" s="16"/>
      <c r="C2" s="15"/>
      <c r="D2" s="22"/>
      <c r="E2" s="23"/>
      <c r="F2" s="15"/>
      <c r="G2" s="15"/>
      <c r="H2" s="16"/>
      <c r="I2" s="16"/>
      <c r="J2" s="16"/>
      <c r="K2" s="16"/>
      <c r="L2" s="16"/>
      <c r="M2" s="16"/>
      <c r="N2" s="5"/>
      <c r="O2" s="17"/>
      <c r="P2" s="18"/>
    </row>
    <row r="3" spans="1:24" ht="17.399999999999999" customHeight="1">
      <c r="A3" s="20" t="s">
        <v>1013</v>
      </c>
      <c r="B3" s="16"/>
      <c r="C3" s="15"/>
      <c r="D3" s="19"/>
      <c r="E3" s="15"/>
      <c r="F3" s="15"/>
      <c r="G3" s="15"/>
      <c r="H3" s="16"/>
      <c r="I3" s="16"/>
      <c r="J3" s="16"/>
      <c r="K3" s="16"/>
      <c r="L3" s="16"/>
      <c r="M3" s="16"/>
      <c r="N3" s="21"/>
      <c r="O3" s="5"/>
      <c r="P3" s="17" t="s">
        <v>1029</v>
      </c>
    </row>
    <row r="4" spans="1:24" s="1" customFormat="1" ht="16.2" customHeight="1">
      <c r="A4" s="52" t="s">
        <v>1007</v>
      </c>
      <c r="B4" s="52" t="s">
        <v>518</v>
      </c>
      <c r="C4" s="52" t="s">
        <v>1006</v>
      </c>
      <c r="D4" s="53" t="s">
        <v>1005</v>
      </c>
      <c r="E4" s="51" t="s">
        <v>519</v>
      </c>
      <c r="F4" s="52" t="s">
        <v>510</v>
      </c>
      <c r="G4" s="52" t="s">
        <v>511</v>
      </c>
      <c r="H4" s="51" t="s">
        <v>563</v>
      </c>
      <c r="I4" s="51"/>
      <c r="J4" s="51"/>
      <c r="K4" s="51"/>
      <c r="L4" s="51" t="s">
        <v>1012</v>
      </c>
      <c r="M4" s="72" t="s">
        <v>520</v>
      </c>
      <c r="N4" s="51" t="s">
        <v>1004</v>
      </c>
      <c r="O4" s="60" t="s">
        <v>1021</v>
      </c>
      <c r="P4" s="61"/>
      <c r="V4" s="82" t="s">
        <v>1017</v>
      </c>
      <c r="W4" s="82"/>
      <c r="X4" s="82"/>
    </row>
    <row r="5" spans="1:24" s="1" customFormat="1" ht="16.2" customHeight="1">
      <c r="A5" s="52"/>
      <c r="B5" s="52"/>
      <c r="C5" s="52"/>
      <c r="D5" s="53"/>
      <c r="E5" s="51"/>
      <c r="F5" s="52"/>
      <c r="G5" s="52"/>
      <c r="H5" s="24" t="s">
        <v>1027</v>
      </c>
      <c r="I5" s="24" t="s">
        <v>1023</v>
      </c>
      <c r="J5" s="24" t="s">
        <v>1014</v>
      </c>
      <c r="K5" s="24" t="s">
        <v>517</v>
      </c>
      <c r="L5" s="51"/>
      <c r="M5" s="73"/>
      <c r="N5" s="51"/>
      <c r="O5" s="24" t="s">
        <v>1010</v>
      </c>
      <c r="P5" s="24" t="s">
        <v>1011</v>
      </c>
      <c r="R5" s="1" t="s">
        <v>1015</v>
      </c>
      <c r="S5" s="1" t="s">
        <v>513</v>
      </c>
      <c r="T5" s="1" t="s">
        <v>511</v>
      </c>
      <c r="U5" s="1" t="s">
        <v>1016</v>
      </c>
      <c r="V5" s="1" t="s">
        <v>1018</v>
      </c>
      <c r="W5" s="1" t="s">
        <v>1019</v>
      </c>
      <c r="X5" s="1" t="s">
        <v>1020</v>
      </c>
    </row>
    <row r="6" spans="1:24" ht="13.95" customHeight="1">
      <c r="A6" s="49" t="s">
        <v>326</v>
      </c>
      <c r="B6" s="49" t="s">
        <v>326</v>
      </c>
      <c r="C6" s="48" t="s">
        <v>230</v>
      </c>
      <c r="D6" s="49" t="s">
        <v>527</v>
      </c>
      <c r="E6" s="50">
        <v>1</v>
      </c>
      <c r="F6" s="26" t="s">
        <v>565</v>
      </c>
      <c r="G6" s="26" t="s">
        <v>566</v>
      </c>
      <c r="H6" s="27">
        <f>V6</f>
        <v>9926.9</v>
      </c>
      <c r="I6" s="27">
        <f t="shared" ref="I6:J21" si="0">W6</f>
        <v>9168.0789999999997</v>
      </c>
      <c r="J6" s="27">
        <f t="shared" si="0"/>
        <v>9852.7880000000005</v>
      </c>
      <c r="K6" s="27">
        <f>IFERROR(AVERAGE(H6:J6),"")</f>
        <v>9649.255666666666</v>
      </c>
      <c r="L6" s="62">
        <f>SUM(K6:K11)</f>
        <v>48464.441999999995</v>
      </c>
      <c r="M6" s="69">
        <f t="shared" ref="M6:M15" si="1">L6*$L$643/$L$642</f>
        <v>2.0342482090723286</v>
      </c>
      <c r="N6" s="62">
        <f t="shared" ref="N6:N69" si="2">IF(M6&gt;=2, ROUND(M6,0), IF(M6&gt;1.1,2,""))</f>
        <v>2</v>
      </c>
      <c r="O6" s="62">
        <f>N6</f>
        <v>2</v>
      </c>
      <c r="P6" s="62">
        <f>O6</f>
        <v>2</v>
      </c>
      <c r="Q6" s="38"/>
      <c r="R6" s="3" t="str">
        <f>C6</f>
        <v>Erode</v>
      </c>
      <c r="S6" s="3" t="str">
        <f>F6</f>
        <v>Anthiyur</v>
      </c>
      <c r="T6" s="3" t="str">
        <f>G6</f>
        <v>Ammapettai</v>
      </c>
      <c r="U6" s="3" t="str">
        <f>CONCATENATE(R6,"_",S6,"_",T6)</f>
        <v>Erode_Anthiyur_Ammapettai</v>
      </c>
      <c r="V6" s="3">
        <f>IF(_xlfn.XLOOKUP($U6,GCA!$H$3:$H$593,GCA!E$3:E$593,"",0,1)="","",_xlfn.XLOOKUP($U6,GCA!$H$3:$H$593,GCA!E$3:E$593,"",0,1))</f>
        <v>9926.9</v>
      </c>
      <c r="W6" s="3">
        <f>IF(_xlfn.XLOOKUP($U6,GCA!$H$3:$H$593,GCA!F$3:F$593,"",0,1)="","",_xlfn.XLOOKUP($U6,GCA!$H$3:$H$593,GCA!F$3:F$593,"",0,1))</f>
        <v>9168.0789999999997</v>
      </c>
      <c r="X6" s="3">
        <f>IF(_xlfn.XLOOKUP($U6,GCA!$H$3:$H$593,GCA!G$3:G$593,"",0,1)="","",_xlfn.XLOOKUP($U6,GCA!$H$3:$H$593,GCA!G$3:G$593,"",0,1))</f>
        <v>9852.7880000000005</v>
      </c>
    </row>
    <row r="7" spans="1:24" ht="13.95" customHeight="1">
      <c r="A7" s="49"/>
      <c r="B7" s="49"/>
      <c r="C7" s="48"/>
      <c r="D7" s="49"/>
      <c r="E7" s="50"/>
      <c r="F7" s="26" t="s">
        <v>565</v>
      </c>
      <c r="G7" s="26" t="s">
        <v>565</v>
      </c>
      <c r="H7" s="27">
        <f t="shared" ref="H7:J23" si="3">V7</f>
        <v>15268.971</v>
      </c>
      <c r="I7" s="27">
        <f t="shared" si="0"/>
        <v>13246.645</v>
      </c>
      <c r="J7" s="27">
        <f t="shared" si="0"/>
        <v>14112.505999999999</v>
      </c>
      <c r="K7" s="27">
        <f t="shared" ref="K7:K23" si="4">IFERROR(AVERAGE(H7:J7),"")</f>
        <v>14209.374000000002</v>
      </c>
      <c r="L7" s="63"/>
      <c r="M7" s="70">
        <f t="shared" si="1"/>
        <v>0</v>
      </c>
      <c r="N7" s="63" t="str">
        <f t="shared" si="2"/>
        <v/>
      </c>
      <c r="O7" s="63" t="str">
        <f t="shared" ref="O7:P15" si="5">N7</f>
        <v/>
      </c>
      <c r="P7" s="63" t="str">
        <f t="shared" si="5"/>
        <v/>
      </c>
      <c r="Q7" s="38"/>
      <c r="R7" s="3" t="str">
        <f>R6</f>
        <v>Erode</v>
      </c>
      <c r="S7" s="3" t="str">
        <f t="shared" ref="S7:T70" si="6">F7</f>
        <v>Anthiyur</v>
      </c>
      <c r="T7" s="3" t="str">
        <f t="shared" si="6"/>
        <v>Anthiyur</v>
      </c>
      <c r="U7" s="3" t="str">
        <f t="shared" ref="U7:U70" si="7">CONCATENATE(R7,"_",S7,"_",T7)</f>
        <v>Erode_Anthiyur_Anthiyur</v>
      </c>
      <c r="V7" s="3">
        <f>IF(_xlfn.XLOOKUP($U7,GCA!$H$3:$H$593,GCA!E$3:E$593,"",0,1)="","",_xlfn.XLOOKUP($U7,GCA!$H$3:$H$593,GCA!E$3:E$593,"",0,1))</f>
        <v>15268.971</v>
      </c>
      <c r="W7" s="3">
        <f>IF(_xlfn.XLOOKUP($U7,GCA!$H$3:$H$593,GCA!F$3:F$593,"",0,1)="","",_xlfn.XLOOKUP($U7,GCA!$H$3:$H$593,GCA!F$3:F$593,"",0,1))</f>
        <v>13246.645</v>
      </c>
      <c r="X7" s="3">
        <f>IF(_xlfn.XLOOKUP($U7,GCA!$H$3:$H$593,GCA!G$3:G$593,"",0,1)="","",_xlfn.XLOOKUP($U7,GCA!$H$3:$H$593,GCA!G$3:G$593,"",0,1))</f>
        <v>14112.505999999999</v>
      </c>
    </row>
    <row r="8" spans="1:24" ht="13.95" customHeight="1">
      <c r="A8" s="49"/>
      <c r="B8" s="49"/>
      <c r="C8" s="48"/>
      <c r="D8" s="49"/>
      <c r="E8" s="50"/>
      <c r="F8" s="26" t="s">
        <v>567</v>
      </c>
      <c r="G8" s="26" t="s">
        <v>566</v>
      </c>
      <c r="H8" s="27">
        <f t="shared" si="3"/>
        <v>5219.21</v>
      </c>
      <c r="I8" s="27">
        <f t="shared" si="0"/>
        <v>3644.0610000000001</v>
      </c>
      <c r="J8" s="27">
        <f t="shared" si="0"/>
        <v>5000.1400000000003</v>
      </c>
      <c r="K8" s="27">
        <f t="shared" si="4"/>
        <v>4621.1369999999997</v>
      </c>
      <c r="L8" s="63"/>
      <c r="M8" s="70">
        <f t="shared" si="1"/>
        <v>0</v>
      </c>
      <c r="N8" s="63" t="str">
        <f t="shared" si="2"/>
        <v/>
      </c>
      <c r="O8" s="63" t="str">
        <f t="shared" si="5"/>
        <v/>
      </c>
      <c r="P8" s="63" t="str">
        <f t="shared" si="5"/>
        <v/>
      </c>
      <c r="Q8" s="38"/>
      <c r="R8" s="3" t="str">
        <f t="shared" ref="R8:R24" si="8">R7</f>
        <v>Erode</v>
      </c>
      <c r="S8" s="3" t="str">
        <f t="shared" si="6"/>
        <v>Bhavani</v>
      </c>
      <c r="T8" s="3" t="str">
        <f t="shared" si="6"/>
        <v>Ammapettai</v>
      </c>
      <c r="U8" s="3" t="str">
        <f t="shared" si="7"/>
        <v>Erode_Bhavani_Ammapettai</v>
      </c>
      <c r="V8" s="3">
        <f>IF(_xlfn.XLOOKUP($U8,GCA!$H$3:$H$593,GCA!E$3:E$593,"",0,1)="","",_xlfn.XLOOKUP($U8,GCA!$H$3:$H$593,GCA!E$3:E$593,"",0,1))</f>
        <v>5219.21</v>
      </c>
      <c r="W8" s="3">
        <f>IF(_xlfn.XLOOKUP($U8,GCA!$H$3:$H$593,GCA!F$3:F$593,"",0,1)="","",_xlfn.XLOOKUP($U8,GCA!$H$3:$H$593,GCA!F$3:F$593,"",0,1))</f>
        <v>3644.0610000000001</v>
      </c>
      <c r="X8" s="3">
        <f>IF(_xlfn.XLOOKUP($U8,GCA!$H$3:$H$593,GCA!G$3:G$593,"",0,1)="","",_xlfn.XLOOKUP($U8,GCA!$H$3:$H$593,GCA!G$3:G$593,"",0,1))</f>
        <v>5000.1400000000003</v>
      </c>
    </row>
    <row r="9" spans="1:24" ht="13.95" customHeight="1">
      <c r="A9" s="49"/>
      <c r="B9" s="49"/>
      <c r="C9" s="48"/>
      <c r="D9" s="49"/>
      <c r="E9" s="50"/>
      <c r="F9" s="26" t="s">
        <v>567</v>
      </c>
      <c r="G9" s="26" t="s">
        <v>567</v>
      </c>
      <c r="H9" s="27">
        <f t="shared" si="3"/>
        <v>14129.05</v>
      </c>
      <c r="I9" s="27">
        <f t="shared" si="0"/>
        <v>13052.004999999999</v>
      </c>
      <c r="J9" s="27">
        <f t="shared" si="0"/>
        <v>13810.764999999999</v>
      </c>
      <c r="K9" s="27">
        <f t="shared" si="4"/>
        <v>13663.94</v>
      </c>
      <c r="L9" s="63"/>
      <c r="M9" s="70">
        <f t="shared" si="1"/>
        <v>0</v>
      </c>
      <c r="N9" s="63" t="str">
        <f t="shared" si="2"/>
        <v/>
      </c>
      <c r="O9" s="63" t="str">
        <f t="shared" si="5"/>
        <v/>
      </c>
      <c r="P9" s="63" t="str">
        <f t="shared" si="5"/>
        <v/>
      </c>
      <c r="Q9" s="38"/>
      <c r="R9" s="3" t="str">
        <f t="shared" si="8"/>
        <v>Erode</v>
      </c>
      <c r="S9" s="3" t="str">
        <f t="shared" si="6"/>
        <v>Bhavani</v>
      </c>
      <c r="T9" s="3" t="str">
        <f t="shared" si="6"/>
        <v>Bhavani</v>
      </c>
      <c r="U9" s="3" t="str">
        <f t="shared" si="7"/>
        <v>Erode_Bhavani_Bhavani</v>
      </c>
      <c r="V9" s="3">
        <f>IF(_xlfn.XLOOKUP($U9,GCA!$H$3:$H$593,GCA!E$3:E$593,"",0,1)="","",_xlfn.XLOOKUP($U9,GCA!$H$3:$H$593,GCA!E$3:E$593,"",0,1))</f>
        <v>14129.05</v>
      </c>
      <c r="W9" s="3">
        <f>IF(_xlfn.XLOOKUP($U9,GCA!$H$3:$H$593,GCA!F$3:F$593,"",0,1)="","",_xlfn.XLOOKUP($U9,GCA!$H$3:$H$593,GCA!F$3:F$593,"",0,1))</f>
        <v>13052.004999999999</v>
      </c>
      <c r="X9" s="3">
        <f>IF(_xlfn.XLOOKUP($U9,GCA!$H$3:$H$593,GCA!G$3:G$593,"",0,1)="","",_xlfn.XLOOKUP($U9,GCA!$H$3:$H$593,GCA!G$3:G$593,"",0,1))</f>
        <v>13810.764999999999</v>
      </c>
    </row>
    <row r="10" spans="1:24" ht="13.95" customHeight="1">
      <c r="A10" s="49"/>
      <c r="B10" s="49"/>
      <c r="C10" s="48"/>
      <c r="D10" s="49"/>
      <c r="E10" s="50"/>
      <c r="F10" s="26" t="s">
        <v>567</v>
      </c>
      <c r="G10" s="26" t="s">
        <v>568</v>
      </c>
      <c r="H10" s="27">
        <f t="shared" si="3"/>
        <v>1396.9949999999999</v>
      </c>
      <c r="I10" s="27">
        <f t="shared" si="0"/>
        <v>1303.32</v>
      </c>
      <c r="J10" s="27">
        <f t="shared" si="0"/>
        <v>1440.7650000000001</v>
      </c>
      <c r="K10" s="27">
        <f t="shared" si="4"/>
        <v>1380.36</v>
      </c>
      <c r="L10" s="63"/>
      <c r="M10" s="70">
        <f t="shared" si="1"/>
        <v>0</v>
      </c>
      <c r="N10" s="63" t="str">
        <f t="shared" si="2"/>
        <v/>
      </c>
      <c r="O10" s="63" t="str">
        <f t="shared" si="5"/>
        <v/>
      </c>
      <c r="P10" s="63" t="str">
        <f t="shared" si="5"/>
        <v/>
      </c>
      <c r="Q10" s="38"/>
      <c r="R10" s="3" t="str">
        <f t="shared" si="8"/>
        <v>Erode</v>
      </c>
      <c r="S10" s="3" t="str">
        <f t="shared" si="6"/>
        <v>Bhavani</v>
      </c>
      <c r="T10" s="3" t="str">
        <f t="shared" si="6"/>
        <v>Gobichettipalayam</v>
      </c>
      <c r="U10" s="3" t="str">
        <f t="shared" si="7"/>
        <v>Erode_Bhavani_Gobichettipalayam</v>
      </c>
      <c r="V10" s="3">
        <f>IF(_xlfn.XLOOKUP($U10,GCA!$H$3:$H$593,GCA!E$3:E$593,"",0,1)="","",_xlfn.XLOOKUP($U10,GCA!$H$3:$H$593,GCA!E$3:E$593,"",0,1))</f>
        <v>1396.9949999999999</v>
      </c>
      <c r="W10" s="3">
        <f>IF(_xlfn.XLOOKUP($U10,GCA!$H$3:$H$593,GCA!F$3:F$593,"",0,1)="","",_xlfn.XLOOKUP($U10,GCA!$H$3:$H$593,GCA!F$3:F$593,"",0,1))</f>
        <v>1303.32</v>
      </c>
      <c r="X10" s="3">
        <f>IF(_xlfn.XLOOKUP($U10,GCA!$H$3:$H$593,GCA!G$3:G$593,"",0,1)="","",_xlfn.XLOOKUP($U10,GCA!$H$3:$H$593,GCA!G$3:G$593,"",0,1))</f>
        <v>1440.7650000000001</v>
      </c>
    </row>
    <row r="11" spans="1:24" ht="13.95" customHeight="1">
      <c r="A11" s="49"/>
      <c r="B11" s="49"/>
      <c r="C11" s="48"/>
      <c r="D11" s="49"/>
      <c r="E11" s="50"/>
      <c r="F11" s="26" t="s">
        <v>230</v>
      </c>
      <c r="G11" s="26" t="s">
        <v>230</v>
      </c>
      <c r="H11" s="27">
        <f t="shared" si="3"/>
        <v>5092.5439999999999</v>
      </c>
      <c r="I11" s="27">
        <f t="shared" si="0"/>
        <v>4744.5619999999999</v>
      </c>
      <c r="J11" s="27">
        <f t="shared" si="0"/>
        <v>4984.0200000000004</v>
      </c>
      <c r="K11" s="27">
        <f t="shared" si="4"/>
        <v>4940.3753333333334</v>
      </c>
      <c r="L11" s="64"/>
      <c r="M11" s="71">
        <f t="shared" si="1"/>
        <v>0</v>
      </c>
      <c r="N11" s="64" t="str">
        <f t="shared" si="2"/>
        <v/>
      </c>
      <c r="O11" s="64" t="str">
        <f t="shared" si="5"/>
        <v/>
      </c>
      <c r="P11" s="64" t="str">
        <f t="shared" si="5"/>
        <v/>
      </c>
      <c r="Q11" s="38"/>
      <c r="R11" s="3" t="str">
        <f t="shared" si="8"/>
        <v>Erode</v>
      </c>
      <c r="S11" s="3" t="str">
        <f t="shared" si="6"/>
        <v>Erode</v>
      </c>
      <c r="T11" s="3" t="str">
        <f t="shared" si="6"/>
        <v>Erode</v>
      </c>
      <c r="U11" s="3" t="str">
        <f t="shared" si="7"/>
        <v>Erode_Erode_Erode</v>
      </c>
      <c r="V11" s="3">
        <f>IF(_xlfn.XLOOKUP($U11,GCA!$H$3:$H$593,GCA!E$3:E$593,"",0,1)="","",_xlfn.XLOOKUP($U11,GCA!$H$3:$H$593,GCA!E$3:E$593,"",0,1))</f>
        <v>5092.5439999999999</v>
      </c>
      <c r="W11" s="3">
        <f>IF(_xlfn.XLOOKUP($U11,GCA!$H$3:$H$593,GCA!F$3:F$593,"",0,1)="","",_xlfn.XLOOKUP($U11,GCA!$H$3:$H$593,GCA!F$3:F$593,"",0,1))</f>
        <v>4744.5619999999999</v>
      </c>
      <c r="X11" s="3">
        <f>IF(_xlfn.XLOOKUP($U11,GCA!$H$3:$H$593,GCA!G$3:G$593,"",0,1)="","",_xlfn.XLOOKUP($U11,GCA!$H$3:$H$593,GCA!G$3:G$593,"",0,1))</f>
        <v>4984.0200000000004</v>
      </c>
    </row>
    <row r="12" spans="1:24" ht="13.95" customHeight="1">
      <c r="A12" s="49"/>
      <c r="B12" s="49"/>
      <c r="C12" s="48"/>
      <c r="D12" s="49"/>
      <c r="E12" s="50">
        <v>2</v>
      </c>
      <c r="F12" s="26" t="s">
        <v>568</v>
      </c>
      <c r="G12" s="26" t="s">
        <v>568</v>
      </c>
      <c r="H12" s="27">
        <f t="shared" si="3"/>
        <v>19961.810000000001</v>
      </c>
      <c r="I12" s="27">
        <f t="shared" si="0"/>
        <v>19407.275000000001</v>
      </c>
      <c r="J12" s="27">
        <f t="shared" si="0"/>
        <v>20098.05</v>
      </c>
      <c r="K12" s="27">
        <f t="shared" si="4"/>
        <v>19822.378333333338</v>
      </c>
      <c r="L12" s="65">
        <f>SUM(K12:K14)</f>
        <v>44761.684333333338</v>
      </c>
      <c r="M12" s="67">
        <f t="shared" si="1"/>
        <v>1.8788285273179099</v>
      </c>
      <c r="N12" s="65">
        <f t="shared" si="2"/>
        <v>2</v>
      </c>
      <c r="O12" s="65">
        <f t="shared" si="5"/>
        <v>2</v>
      </c>
      <c r="P12" s="65">
        <f t="shared" si="5"/>
        <v>2</v>
      </c>
      <c r="Q12" s="38"/>
      <c r="R12" s="3" t="str">
        <f t="shared" si="8"/>
        <v>Erode</v>
      </c>
      <c r="S12" s="3" t="str">
        <f t="shared" si="6"/>
        <v>Gobichettipalayam</v>
      </c>
      <c r="T12" s="3" t="str">
        <f t="shared" si="6"/>
        <v>Gobichettipalayam</v>
      </c>
      <c r="U12" s="3" t="str">
        <f t="shared" si="7"/>
        <v>Erode_Gobichettipalayam_Gobichettipalayam</v>
      </c>
      <c r="V12" s="3">
        <f>IF(_xlfn.XLOOKUP($U12,GCA!$H$3:$H$593,GCA!E$3:E$593,"",0,1)="","",_xlfn.XLOOKUP($U12,GCA!$H$3:$H$593,GCA!E$3:E$593,"",0,1))</f>
        <v>19961.810000000001</v>
      </c>
      <c r="W12" s="3">
        <f>IF(_xlfn.XLOOKUP($U12,GCA!$H$3:$H$593,GCA!F$3:F$593,"",0,1)="","",_xlfn.XLOOKUP($U12,GCA!$H$3:$H$593,GCA!F$3:F$593,"",0,1))</f>
        <v>19407.275000000001</v>
      </c>
      <c r="X12" s="3">
        <f>IF(_xlfn.XLOOKUP($U12,GCA!$H$3:$H$593,GCA!G$3:G$593,"",0,1)="","",_xlfn.XLOOKUP($U12,GCA!$H$3:$H$593,GCA!G$3:G$593,"",0,1))</f>
        <v>20098.05</v>
      </c>
    </row>
    <row r="13" spans="1:24" ht="13.95" customHeight="1">
      <c r="A13" s="49"/>
      <c r="B13" s="49"/>
      <c r="C13" s="48"/>
      <c r="D13" s="49"/>
      <c r="E13" s="50"/>
      <c r="F13" s="26" t="s">
        <v>568</v>
      </c>
      <c r="G13" s="26" t="s">
        <v>569</v>
      </c>
      <c r="H13" s="27">
        <f t="shared" si="3"/>
        <v>11393.772000000001</v>
      </c>
      <c r="I13" s="27">
        <f t="shared" si="0"/>
        <v>11321.419</v>
      </c>
      <c r="J13" s="27">
        <f t="shared" si="0"/>
        <v>11428.695</v>
      </c>
      <c r="K13" s="27">
        <f t="shared" si="4"/>
        <v>11381.295333333333</v>
      </c>
      <c r="L13" s="65"/>
      <c r="M13" s="67">
        <f t="shared" si="1"/>
        <v>0</v>
      </c>
      <c r="N13" s="65" t="str">
        <f t="shared" si="2"/>
        <v/>
      </c>
      <c r="O13" s="65" t="str">
        <f t="shared" si="5"/>
        <v/>
      </c>
      <c r="P13" s="65" t="str">
        <f t="shared" si="5"/>
        <v/>
      </c>
      <c r="Q13" s="38"/>
      <c r="R13" s="3" t="str">
        <f t="shared" si="8"/>
        <v>Erode</v>
      </c>
      <c r="S13" s="3" t="str">
        <f t="shared" si="6"/>
        <v>Gobichettipalayam</v>
      </c>
      <c r="T13" s="3" t="str">
        <f t="shared" si="6"/>
        <v>Thukkanaickenpalayam</v>
      </c>
      <c r="U13" s="3" t="str">
        <f t="shared" si="7"/>
        <v>Erode_Gobichettipalayam_Thukkanaickenpalayam</v>
      </c>
      <c r="V13" s="3">
        <f>IF(_xlfn.XLOOKUP($U13,GCA!$H$3:$H$593,GCA!E$3:E$593,"",0,1)="","",_xlfn.XLOOKUP($U13,GCA!$H$3:$H$593,GCA!E$3:E$593,"",0,1))</f>
        <v>11393.772000000001</v>
      </c>
      <c r="W13" s="3">
        <f>IF(_xlfn.XLOOKUP($U13,GCA!$H$3:$H$593,GCA!F$3:F$593,"",0,1)="","",_xlfn.XLOOKUP($U13,GCA!$H$3:$H$593,GCA!F$3:F$593,"",0,1))</f>
        <v>11321.419</v>
      </c>
      <c r="X13" s="3">
        <f>IF(_xlfn.XLOOKUP($U13,GCA!$H$3:$H$593,GCA!G$3:G$593,"",0,1)="","",_xlfn.XLOOKUP($U13,GCA!$H$3:$H$593,GCA!G$3:G$593,"",0,1))</f>
        <v>11428.695</v>
      </c>
    </row>
    <row r="14" spans="1:24" ht="13.95" customHeight="1">
      <c r="A14" s="49"/>
      <c r="B14" s="49"/>
      <c r="C14" s="48"/>
      <c r="D14" s="49"/>
      <c r="E14" s="50"/>
      <c r="F14" s="26" t="s">
        <v>570</v>
      </c>
      <c r="G14" s="26" t="s">
        <v>570</v>
      </c>
      <c r="H14" s="27">
        <f t="shared" si="3"/>
        <v>14443.277</v>
      </c>
      <c r="I14" s="27">
        <f t="shared" si="0"/>
        <v>12955.858</v>
      </c>
      <c r="J14" s="27">
        <f t="shared" si="0"/>
        <v>13274.897000000001</v>
      </c>
      <c r="K14" s="27">
        <f t="shared" si="4"/>
        <v>13558.010666666669</v>
      </c>
      <c r="L14" s="65"/>
      <c r="M14" s="67">
        <f t="shared" si="1"/>
        <v>0</v>
      </c>
      <c r="N14" s="65" t="str">
        <f t="shared" si="2"/>
        <v/>
      </c>
      <c r="O14" s="65" t="str">
        <f t="shared" si="5"/>
        <v/>
      </c>
      <c r="P14" s="65" t="str">
        <f t="shared" si="5"/>
        <v/>
      </c>
      <c r="Q14" s="38"/>
      <c r="R14" s="3" t="str">
        <f t="shared" si="8"/>
        <v>Erode</v>
      </c>
      <c r="S14" s="3" t="str">
        <f t="shared" si="6"/>
        <v>Kodumudi</v>
      </c>
      <c r="T14" s="3" t="str">
        <f t="shared" si="6"/>
        <v>Kodumudi</v>
      </c>
      <c r="U14" s="3" t="str">
        <f t="shared" si="7"/>
        <v>Erode_Kodumudi_Kodumudi</v>
      </c>
      <c r="V14" s="3">
        <f>IF(_xlfn.XLOOKUP($U14,GCA!$H$3:$H$593,GCA!E$3:E$593,"",0,1)="","",_xlfn.XLOOKUP($U14,GCA!$H$3:$H$593,GCA!E$3:E$593,"",0,1))</f>
        <v>14443.277</v>
      </c>
      <c r="W14" s="3">
        <f>IF(_xlfn.XLOOKUP($U14,GCA!$H$3:$H$593,GCA!F$3:F$593,"",0,1)="","",_xlfn.XLOOKUP($U14,GCA!$H$3:$H$593,GCA!F$3:F$593,"",0,1))</f>
        <v>12955.858</v>
      </c>
      <c r="X14" s="3">
        <f>IF(_xlfn.XLOOKUP($U14,GCA!$H$3:$H$593,GCA!G$3:G$593,"",0,1)="","",_xlfn.XLOOKUP($U14,GCA!$H$3:$H$593,GCA!G$3:G$593,"",0,1))</f>
        <v>13274.897000000001</v>
      </c>
    </row>
    <row r="15" spans="1:24" ht="13.2">
      <c r="A15" s="49"/>
      <c r="B15" s="49"/>
      <c r="C15" s="48"/>
      <c r="D15" s="49"/>
      <c r="E15" s="56">
        <v>3</v>
      </c>
      <c r="F15" s="26" t="s">
        <v>571</v>
      </c>
      <c r="G15" s="26" t="s">
        <v>571</v>
      </c>
      <c r="H15" s="27">
        <f t="shared" si="3"/>
        <v>17293.744999999999</v>
      </c>
      <c r="I15" s="27">
        <f t="shared" si="0"/>
        <v>16618.922999999999</v>
      </c>
      <c r="J15" s="27">
        <f t="shared" si="0"/>
        <v>16632.766</v>
      </c>
      <c r="K15" s="27">
        <f t="shared" si="4"/>
        <v>16848.477999999999</v>
      </c>
      <c r="L15" s="76">
        <f>SUM(K15:K19)</f>
        <v>49208.114666666661</v>
      </c>
      <c r="M15" s="79">
        <f t="shared" si="1"/>
        <v>2.065463151984551</v>
      </c>
      <c r="N15" s="76">
        <f t="shared" si="2"/>
        <v>2</v>
      </c>
      <c r="O15" s="62">
        <f t="shared" si="5"/>
        <v>2</v>
      </c>
      <c r="P15" s="62">
        <f t="shared" si="5"/>
        <v>2</v>
      </c>
      <c r="Q15" s="38"/>
      <c r="R15" s="3" t="str">
        <f t="shared" si="8"/>
        <v>Erode</v>
      </c>
      <c r="S15" s="3" t="str">
        <f t="shared" si="6"/>
        <v>Modakurichi</v>
      </c>
      <c r="T15" s="3" t="str">
        <f t="shared" si="6"/>
        <v>Modakurichi</v>
      </c>
      <c r="U15" s="3" t="str">
        <f t="shared" si="7"/>
        <v>Erode_Modakurichi_Modakurichi</v>
      </c>
      <c r="V15" s="3">
        <f>IF(_xlfn.XLOOKUP($U15,GCA!$H$3:$H$593,GCA!E$3:E$593,"",0,1)="","",_xlfn.XLOOKUP($U15,GCA!$H$3:$H$593,GCA!E$3:E$593,"",0,1))</f>
        <v>17293.744999999999</v>
      </c>
      <c r="W15" s="3">
        <f>IF(_xlfn.XLOOKUP($U15,GCA!$H$3:$H$593,GCA!F$3:F$593,"",0,1)="","",_xlfn.XLOOKUP($U15,GCA!$H$3:$H$593,GCA!F$3:F$593,"",0,1))</f>
        <v>16618.922999999999</v>
      </c>
      <c r="X15" s="3">
        <f>IF(_xlfn.XLOOKUP($U15,GCA!$H$3:$H$593,GCA!G$3:G$593,"",0,1)="","",_xlfn.XLOOKUP($U15,GCA!$H$3:$H$593,GCA!G$3:G$593,"",0,1))</f>
        <v>16632.766</v>
      </c>
    </row>
    <row r="16" spans="1:24" ht="13.2">
      <c r="A16" s="49"/>
      <c r="B16" s="49"/>
      <c r="C16" s="48"/>
      <c r="D16" s="49"/>
      <c r="E16" s="57"/>
      <c r="F16" s="26" t="s">
        <v>572</v>
      </c>
      <c r="G16" s="26" t="s">
        <v>573</v>
      </c>
      <c r="H16" s="27">
        <f t="shared" si="3"/>
        <v>2472.9780000000001</v>
      </c>
      <c r="I16" s="27">
        <f t="shared" si="0"/>
        <v>2356.34</v>
      </c>
      <c r="J16" s="27">
        <f t="shared" si="0"/>
        <v>2403.4450000000002</v>
      </c>
      <c r="K16" s="27">
        <f t="shared" si="4"/>
        <v>2410.9210000000003</v>
      </c>
      <c r="L16" s="77"/>
      <c r="M16" s="80"/>
      <c r="N16" s="77"/>
      <c r="O16" s="63"/>
      <c r="P16" s="63"/>
      <c r="Q16" s="38"/>
      <c r="R16" s="3" t="str">
        <f t="shared" si="8"/>
        <v>Erode</v>
      </c>
      <c r="S16" s="3" t="str">
        <f t="shared" si="6"/>
        <v>Nambiyur</v>
      </c>
      <c r="T16" s="3" t="str">
        <f t="shared" si="6"/>
        <v>Bhavanisagar</v>
      </c>
      <c r="U16" s="3" t="str">
        <f t="shared" si="7"/>
        <v>Erode_Nambiyur_Bhavanisagar</v>
      </c>
      <c r="V16" s="3">
        <f>IF(_xlfn.XLOOKUP($U16,GCA!$H$3:$H$593,GCA!E$3:E$593,"",0,1)="","",_xlfn.XLOOKUP($U16,GCA!$H$3:$H$593,GCA!E$3:E$593,"",0,1))</f>
        <v>2472.9780000000001</v>
      </c>
      <c r="W16" s="3">
        <f>IF(_xlfn.XLOOKUP($U16,GCA!$H$3:$H$593,GCA!F$3:F$593,"",0,1)="","",_xlfn.XLOOKUP($U16,GCA!$H$3:$H$593,GCA!F$3:F$593,"",0,1))</f>
        <v>2356.34</v>
      </c>
      <c r="X16" s="3">
        <f>IF(_xlfn.XLOOKUP($U16,GCA!$H$3:$H$593,GCA!G$3:G$593,"",0,1)="","",_xlfn.XLOOKUP($U16,GCA!$H$3:$H$593,GCA!G$3:G$593,"",0,1))</f>
        <v>2403.4450000000002</v>
      </c>
    </row>
    <row r="17" spans="1:24" ht="13.2">
      <c r="A17" s="49"/>
      <c r="B17" s="49"/>
      <c r="C17" s="48"/>
      <c r="D17" s="49"/>
      <c r="E17" s="57"/>
      <c r="F17" s="26" t="s">
        <v>572</v>
      </c>
      <c r="G17" s="26" t="s">
        <v>572</v>
      </c>
      <c r="H17" s="27">
        <f t="shared" si="3"/>
        <v>13986.107</v>
      </c>
      <c r="I17" s="27">
        <f t="shared" si="0"/>
        <v>13614.9</v>
      </c>
      <c r="J17" s="27">
        <f t="shared" si="0"/>
        <v>14146.38</v>
      </c>
      <c r="K17" s="27">
        <f t="shared" si="4"/>
        <v>13915.795666666665</v>
      </c>
      <c r="L17" s="77"/>
      <c r="M17" s="80"/>
      <c r="N17" s="77"/>
      <c r="O17" s="63"/>
      <c r="P17" s="63"/>
      <c r="Q17" s="38"/>
      <c r="R17" s="3" t="str">
        <f t="shared" si="8"/>
        <v>Erode</v>
      </c>
      <c r="S17" s="3" t="str">
        <f t="shared" si="6"/>
        <v>Nambiyur</v>
      </c>
      <c r="T17" s="3" t="str">
        <f t="shared" si="6"/>
        <v>Nambiyur</v>
      </c>
      <c r="U17" s="3" t="str">
        <f t="shared" si="7"/>
        <v>Erode_Nambiyur_Nambiyur</v>
      </c>
      <c r="V17" s="3">
        <f>IF(_xlfn.XLOOKUP($U17,GCA!$H$3:$H$593,GCA!E$3:E$593,"",0,1)="","",_xlfn.XLOOKUP($U17,GCA!$H$3:$H$593,GCA!E$3:E$593,"",0,1))</f>
        <v>13986.107</v>
      </c>
      <c r="W17" s="3">
        <f>IF(_xlfn.XLOOKUP($U17,GCA!$H$3:$H$593,GCA!F$3:F$593,"",0,1)="","",_xlfn.XLOOKUP($U17,GCA!$H$3:$H$593,GCA!F$3:F$593,"",0,1))</f>
        <v>13614.9</v>
      </c>
      <c r="X17" s="3">
        <f>IF(_xlfn.XLOOKUP($U17,GCA!$H$3:$H$593,GCA!G$3:G$593,"",0,1)="","",_xlfn.XLOOKUP($U17,GCA!$H$3:$H$593,GCA!G$3:G$593,"",0,1))</f>
        <v>14146.38</v>
      </c>
    </row>
    <row r="18" spans="1:24" ht="13.2">
      <c r="A18" s="49"/>
      <c r="B18" s="49"/>
      <c r="C18" s="48"/>
      <c r="D18" s="49"/>
      <c r="E18" s="57"/>
      <c r="F18" s="26" t="s">
        <v>574</v>
      </c>
      <c r="G18" s="26" t="s">
        <v>575</v>
      </c>
      <c r="H18" s="27">
        <f t="shared" si="3"/>
        <v>4963.58</v>
      </c>
      <c r="I18" s="27">
        <f t="shared" si="0"/>
        <v>5029.2250000000004</v>
      </c>
      <c r="J18" s="27">
        <f t="shared" si="0"/>
        <v>5029.8149999999996</v>
      </c>
      <c r="K18" s="27">
        <f t="shared" si="4"/>
        <v>5007.54</v>
      </c>
      <c r="L18" s="77"/>
      <c r="M18" s="80"/>
      <c r="N18" s="77"/>
      <c r="O18" s="63"/>
      <c r="P18" s="63"/>
      <c r="Q18" s="38"/>
      <c r="R18" s="3" t="str">
        <f t="shared" si="8"/>
        <v>Erode</v>
      </c>
      <c r="S18" s="3" t="str">
        <f t="shared" si="6"/>
        <v>Perundurai</v>
      </c>
      <c r="T18" s="3" t="str">
        <f t="shared" si="6"/>
        <v>Chennimalai</v>
      </c>
      <c r="U18" s="3" t="str">
        <f t="shared" si="7"/>
        <v>Erode_Perundurai_Chennimalai</v>
      </c>
      <c r="V18" s="3">
        <f>IF(_xlfn.XLOOKUP($U18,GCA!$H$3:$H$593,GCA!E$3:E$593,"",0,1)="","",_xlfn.XLOOKUP($U18,GCA!$H$3:$H$593,GCA!E$3:E$593,"",0,1))</f>
        <v>4963.58</v>
      </c>
      <c r="W18" s="3">
        <f>IF(_xlfn.XLOOKUP($U18,GCA!$H$3:$H$593,GCA!F$3:F$593,"",0,1)="","",_xlfn.XLOOKUP($U18,GCA!$H$3:$H$593,GCA!F$3:F$593,"",0,1))</f>
        <v>5029.2250000000004</v>
      </c>
      <c r="X18" s="3">
        <f>IF(_xlfn.XLOOKUP($U18,GCA!$H$3:$H$593,GCA!G$3:G$593,"",0,1)="","",_xlfn.XLOOKUP($U18,GCA!$H$3:$H$593,GCA!G$3:G$593,"",0,1))</f>
        <v>5029.8149999999996</v>
      </c>
    </row>
    <row r="19" spans="1:24" ht="13.2">
      <c r="A19" s="49"/>
      <c r="B19" s="49"/>
      <c r="C19" s="48"/>
      <c r="D19" s="49"/>
      <c r="E19" s="58"/>
      <c r="F19" s="26" t="s">
        <v>574</v>
      </c>
      <c r="G19" s="26" t="s">
        <v>574</v>
      </c>
      <c r="H19" s="27">
        <f t="shared" si="3"/>
        <v>10625.64</v>
      </c>
      <c r="I19" s="27">
        <f t="shared" si="0"/>
        <v>9535.5450000000001</v>
      </c>
      <c r="J19" s="27">
        <f t="shared" si="0"/>
        <v>12914.955</v>
      </c>
      <c r="K19" s="27">
        <f t="shared" si="4"/>
        <v>11025.38</v>
      </c>
      <c r="L19" s="78"/>
      <c r="M19" s="81"/>
      <c r="N19" s="78"/>
      <c r="O19" s="64"/>
      <c r="P19" s="64"/>
      <c r="Q19" s="38"/>
      <c r="R19" s="3" t="str">
        <f t="shared" si="8"/>
        <v>Erode</v>
      </c>
      <c r="S19" s="3" t="str">
        <f t="shared" si="6"/>
        <v>Perundurai</v>
      </c>
      <c r="T19" s="3" t="str">
        <f t="shared" si="6"/>
        <v>Perundurai</v>
      </c>
      <c r="U19" s="3" t="str">
        <f t="shared" si="7"/>
        <v>Erode_Perundurai_Perundurai</v>
      </c>
      <c r="V19" s="3">
        <f>IF(_xlfn.XLOOKUP($U19,GCA!$H$3:$H$593,GCA!E$3:E$593,"",0,1)="","",_xlfn.XLOOKUP($U19,GCA!$H$3:$H$593,GCA!E$3:E$593,"",0,1))</f>
        <v>10625.64</v>
      </c>
      <c r="W19" s="3">
        <f>IF(_xlfn.XLOOKUP($U19,GCA!$H$3:$H$593,GCA!F$3:F$593,"",0,1)="","",_xlfn.XLOOKUP($U19,GCA!$H$3:$H$593,GCA!F$3:F$593,"",0,1))</f>
        <v>9535.5450000000001</v>
      </c>
      <c r="X19" s="3">
        <f>IF(_xlfn.XLOOKUP($U19,GCA!$H$3:$H$593,GCA!G$3:G$593,"",0,1)="","",_xlfn.XLOOKUP($U19,GCA!$H$3:$H$593,GCA!G$3:G$593,"",0,1))</f>
        <v>12914.955</v>
      </c>
    </row>
    <row r="20" spans="1:24" ht="13.2">
      <c r="A20" s="49"/>
      <c r="B20" s="49"/>
      <c r="C20" s="48"/>
      <c r="D20" s="49"/>
      <c r="E20" s="56">
        <v>4</v>
      </c>
      <c r="F20" s="26" t="s">
        <v>576</v>
      </c>
      <c r="G20" s="26" t="s">
        <v>573</v>
      </c>
      <c r="H20" s="27">
        <f t="shared" si="3"/>
        <v>6126.35</v>
      </c>
      <c r="I20" s="27">
        <f t="shared" si="0"/>
        <v>5978.09</v>
      </c>
      <c r="J20" s="27">
        <f t="shared" si="0"/>
        <v>5548.3509999999997</v>
      </c>
      <c r="K20" s="27">
        <f t="shared" si="4"/>
        <v>5884.2636666666667</v>
      </c>
      <c r="L20" s="62">
        <f>SUM(K20:K23)</f>
        <v>30541.373</v>
      </c>
      <c r="M20" s="69">
        <f>L20*$L$643/$L$642</f>
        <v>1.2819446745690373</v>
      </c>
      <c r="N20" s="62">
        <f t="shared" si="2"/>
        <v>2</v>
      </c>
      <c r="O20" s="62">
        <f t="shared" ref="O20:P20" si="9">N20</f>
        <v>2</v>
      </c>
      <c r="P20" s="62">
        <f t="shared" si="9"/>
        <v>2</v>
      </c>
      <c r="Q20" s="38"/>
      <c r="R20" s="3" t="str">
        <f t="shared" si="8"/>
        <v>Erode</v>
      </c>
      <c r="S20" s="3" t="str">
        <f t="shared" si="6"/>
        <v>Sathyamangalam</v>
      </c>
      <c r="T20" s="3" t="str">
        <f t="shared" si="6"/>
        <v>Bhavanisagar</v>
      </c>
      <c r="U20" s="3" t="str">
        <f t="shared" si="7"/>
        <v>Erode_Sathyamangalam_Bhavanisagar</v>
      </c>
      <c r="V20" s="3">
        <f>IF(_xlfn.XLOOKUP($U20,GCA!$H$3:$H$593,GCA!E$3:E$593,"",0,1)="","",_xlfn.XLOOKUP($U20,GCA!$H$3:$H$593,GCA!E$3:E$593,"",0,1))</f>
        <v>6126.35</v>
      </c>
      <c r="W20" s="3">
        <f>IF(_xlfn.XLOOKUP($U20,GCA!$H$3:$H$593,GCA!F$3:F$593,"",0,1)="","",_xlfn.XLOOKUP($U20,GCA!$H$3:$H$593,GCA!F$3:F$593,"",0,1))</f>
        <v>5978.09</v>
      </c>
      <c r="X20" s="3">
        <f>IF(_xlfn.XLOOKUP($U20,GCA!$H$3:$H$593,GCA!G$3:G$593,"",0,1)="","",_xlfn.XLOOKUP($U20,GCA!$H$3:$H$593,GCA!G$3:G$593,"",0,1))</f>
        <v>5548.3509999999997</v>
      </c>
    </row>
    <row r="21" spans="1:24" ht="13.2">
      <c r="A21" s="49"/>
      <c r="B21" s="49"/>
      <c r="C21" s="48"/>
      <c r="D21" s="49"/>
      <c r="E21" s="57"/>
      <c r="F21" s="26" t="s">
        <v>576</v>
      </c>
      <c r="G21" s="26" t="s">
        <v>576</v>
      </c>
      <c r="H21" s="27">
        <f t="shared" si="3"/>
        <v>12454.92</v>
      </c>
      <c r="I21" s="27">
        <f t="shared" si="0"/>
        <v>12419.094999999999</v>
      </c>
      <c r="J21" s="27">
        <f t="shared" si="0"/>
        <v>12578.43</v>
      </c>
      <c r="K21" s="27">
        <f t="shared" si="4"/>
        <v>12484.148333333333</v>
      </c>
      <c r="L21" s="63"/>
      <c r="M21" s="70"/>
      <c r="N21" s="63"/>
      <c r="O21" s="63"/>
      <c r="P21" s="63"/>
      <c r="Q21" s="38"/>
      <c r="R21" s="3" t="str">
        <f t="shared" si="8"/>
        <v>Erode</v>
      </c>
      <c r="S21" s="3" t="str">
        <f t="shared" si="6"/>
        <v>Sathyamangalam</v>
      </c>
      <c r="T21" s="3" t="str">
        <f t="shared" si="6"/>
        <v>Sathyamangalam</v>
      </c>
      <c r="U21" s="3" t="str">
        <f t="shared" si="7"/>
        <v>Erode_Sathyamangalam_Sathyamangalam</v>
      </c>
      <c r="V21" s="3">
        <f>IF(_xlfn.XLOOKUP($U21,GCA!$H$3:$H$593,GCA!E$3:E$593,"",0,1)="","",_xlfn.XLOOKUP($U21,GCA!$H$3:$H$593,GCA!E$3:E$593,"",0,1))</f>
        <v>12454.92</v>
      </c>
      <c r="W21" s="3">
        <f>IF(_xlfn.XLOOKUP($U21,GCA!$H$3:$H$593,GCA!F$3:F$593,"",0,1)="","",_xlfn.XLOOKUP($U21,GCA!$H$3:$H$593,GCA!F$3:F$593,"",0,1))</f>
        <v>12419.094999999999</v>
      </c>
      <c r="X21" s="3">
        <f>IF(_xlfn.XLOOKUP($U21,GCA!$H$3:$H$593,GCA!G$3:G$593,"",0,1)="","",_xlfn.XLOOKUP($U21,GCA!$H$3:$H$593,GCA!G$3:G$593,"",0,1))</f>
        <v>12578.43</v>
      </c>
    </row>
    <row r="22" spans="1:24" ht="13.2">
      <c r="A22" s="49"/>
      <c r="B22" s="49"/>
      <c r="C22" s="48"/>
      <c r="D22" s="49"/>
      <c r="E22" s="57"/>
      <c r="F22" s="26" t="s">
        <v>576</v>
      </c>
      <c r="G22" s="26" t="s">
        <v>577</v>
      </c>
      <c r="H22" s="27">
        <f t="shared" si="3"/>
        <v>1491.5550000000001</v>
      </c>
      <c r="I22" s="27">
        <f t="shared" si="3"/>
        <v>1458.508</v>
      </c>
      <c r="J22" s="27">
        <f t="shared" si="3"/>
        <v>1465.77</v>
      </c>
      <c r="K22" s="27">
        <f t="shared" si="4"/>
        <v>1471.9443333333336</v>
      </c>
      <c r="L22" s="63"/>
      <c r="M22" s="70"/>
      <c r="N22" s="63"/>
      <c r="O22" s="63"/>
      <c r="P22" s="63"/>
      <c r="Q22" s="38"/>
      <c r="R22" s="3" t="str">
        <f t="shared" si="8"/>
        <v>Erode</v>
      </c>
      <c r="S22" s="3" t="str">
        <f t="shared" si="6"/>
        <v>Sathyamangalam</v>
      </c>
      <c r="T22" s="3" t="str">
        <f t="shared" si="6"/>
        <v>Talavadi</v>
      </c>
      <c r="U22" s="3" t="str">
        <f t="shared" si="7"/>
        <v>Erode_Sathyamangalam_Talavadi</v>
      </c>
      <c r="V22" s="3">
        <f>IF(_xlfn.XLOOKUP($U22,GCA!$H$3:$H$593,GCA!E$3:E$593,"",0,1)="","",_xlfn.XLOOKUP($U22,GCA!$H$3:$H$593,GCA!E$3:E$593,"",0,1))</f>
        <v>1491.5550000000001</v>
      </c>
      <c r="W22" s="3">
        <f>IF(_xlfn.XLOOKUP($U22,GCA!$H$3:$H$593,GCA!F$3:F$593,"",0,1)="","",_xlfn.XLOOKUP($U22,GCA!$H$3:$H$593,GCA!F$3:F$593,"",0,1))</f>
        <v>1458.508</v>
      </c>
      <c r="X22" s="3">
        <f>IF(_xlfn.XLOOKUP($U22,GCA!$H$3:$H$593,GCA!G$3:G$593,"",0,1)="","",_xlfn.XLOOKUP($U22,GCA!$H$3:$H$593,GCA!G$3:G$593,"",0,1))</f>
        <v>1465.77</v>
      </c>
    </row>
    <row r="23" spans="1:24" ht="13.2">
      <c r="A23" s="49"/>
      <c r="B23" s="49"/>
      <c r="C23" s="48"/>
      <c r="D23" s="49"/>
      <c r="E23" s="58"/>
      <c r="F23" s="26" t="s">
        <v>577</v>
      </c>
      <c r="G23" s="26" t="s">
        <v>577</v>
      </c>
      <c r="H23" s="27">
        <f t="shared" si="3"/>
        <v>10232.625</v>
      </c>
      <c r="I23" s="27">
        <f t="shared" si="3"/>
        <v>9890.6849999999995</v>
      </c>
      <c r="J23" s="27">
        <f t="shared" si="3"/>
        <v>11979.74</v>
      </c>
      <c r="K23" s="27">
        <f t="shared" si="4"/>
        <v>10701.016666666665</v>
      </c>
      <c r="L23" s="64"/>
      <c r="M23" s="71"/>
      <c r="N23" s="64"/>
      <c r="O23" s="64"/>
      <c r="P23" s="64"/>
      <c r="Q23" s="38"/>
      <c r="R23" s="3" t="str">
        <f t="shared" si="8"/>
        <v>Erode</v>
      </c>
      <c r="S23" s="3" t="str">
        <f t="shared" si="6"/>
        <v>Talavadi</v>
      </c>
      <c r="T23" s="3" t="str">
        <f t="shared" si="6"/>
        <v>Talavadi</v>
      </c>
      <c r="U23" s="3" t="str">
        <f t="shared" si="7"/>
        <v>Erode_Talavadi_Talavadi</v>
      </c>
      <c r="V23" s="3">
        <f>IF(_xlfn.XLOOKUP($U23,GCA!$H$3:$H$593,GCA!E$3:E$593,"",0,1)="","",_xlfn.XLOOKUP($U23,GCA!$H$3:$H$593,GCA!E$3:E$593,"",0,1))</f>
        <v>10232.625</v>
      </c>
      <c r="W23" s="3">
        <f>IF(_xlfn.XLOOKUP($U23,GCA!$H$3:$H$593,GCA!F$3:F$593,"",0,1)="","",_xlfn.XLOOKUP($U23,GCA!$H$3:$H$593,GCA!F$3:F$593,"",0,1))</f>
        <v>9890.6849999999995</v>
      </c>
      <c r="X23" s="3">
        <f>IF(_xlfn.XLOOKUP($U23,GCA!$H$3:$H$593,GCA!G$3:G$593,"",0,1)="","",_xlfn.XLOOKUP($U23,GCA!$H$3:$H$593,GCA!G$3:G$593,"",0,1))</f>
        <v>11979.74</v>
      </c>
    </row>
    <row r="24" spans="1:24" ht="13.2">
      <c r="A24" s="49"/>
      <c r="B24" s="49"/>
      <c r="C24" s="48"/>
      <c r="D24" s="49"/>
      <c r="E24" s="47" t="s">
        <v>564</v>
      </c>
      <c r="F24" s="47"/>
      <c r="G24" s="47"/>
      <c r="H24" s="29">
        <f t="shared" ref="H24:P24" si="10">SUM(H6:H23)</f>
        <v>176480.02899999998</v>
      </c>
      <c r="I24" s="29">
        <f t="shared" si="10"/>
        <v>165744.53499999997</v>
      </c>
      <c r="J24" s="29">
        <f t="shared" si="10"/>
        <v>176702.27799999996</v>
      </c>
      <c r="K24" s="29">
        <f t="shared" si="10"/>
        <v>172975.61400000003</v>
      </c>
      <c r="L24" s="29">
        <f t="shared" si="10"/>
        <v>172975.61399999997</v>
      </c>
      <c r="M24" s="30">
        <f t="shared" si="10"/>
        <v>7.2604845629438275</v>
      </c>
      <c r="N24" s="31">
        <f t="shared" si="10"/>
        <v>8</v>
      </c>
      <c r="O24" s="31">
        <f t="shared" si="10"/>
        <v>8</v>
      </c>
      <c r="P24" s="31">
        <f t="shared" si="10"/>
        <v>8</v>
      </c>
      <c r="Q24" s="38"/>
      <c r="R24" s="3" t="str">
        <f t="shared" si="8"/>
        <v>Erode</v>
      </c>
      <c r="S24" s="3">
        <f t="shared" si="6"/>
        <v>0</v>
      </c>
      <c r="T24" s="3">
        <f t="shared" si="6"/>
        <v>0</v>
      </c>
      <c r="U24" s="3" t="str">
        <f t="shared" si="7"/>
        <v>Erode_0_0</v>
      </c>
      <c r="V24" s="3" t="str">
        <f>IF(_xlfn.XLOOKUP($U24,GCA!$H$3:$H$593,GCA!E$3:E$593,"",0,1)="","",_xlfn.XLOOKUP($U24,GCA!$H$3:$H$593,GCA!E$3:E$593,"",0,1))</f>
        <v/>
      </c>
      <c r="W24" s="3" t="str">
        <f>IF(_xlfn.XLOOKUP($U24,GCA!$H$3:$H$593,GCA!F$3:F$593,"",0,1)="","",_xlfn.XLOOKUP($U24,GCA!$H$3:$H$593,GCA!F$3:F$593,"",0,1))</f>
        <v/>
      </c>
      <c r="X24" s="3" t="str">
        <f>IF(_xlfn.XLOOKUP($U24,GCA!$H$3:$H$593,GCA!G$3:G$593,"",0,1)="","",_xlfn.XLOOKUP($U24,GCA!$H$3:$H$593,GCA!G$3:G$593,"",0,1))</f>
        <v/>
      </c>
    </row>
    <row r="25" spans="1:24" ht="13.2">
      <c r="A25" s="49"/>
      <c r="B25" s="49"/>
      <c r="C25" s="48" t="s">
        <v>320</v>
      </c>
      <c r="D25" s="49" t="s">
        <v>528</v>
      </c>
      <c r="E25" s="50">
        <v>1</v>
      </c>
      <c r="F25" s="26" t="s">
        <v>578</v>
      </c>
      <c r="G25" s="26" t="s">
        <v>578</v>
      </c>
      <c r="H25" s="27">
        <f t="shared" ref="H25:J32" si="11">V25</f>
        <v>13031.92</v>
      </c>
      <c r="I25" s="27">
        <f t="shared" si="11"/>
        <v>12779.968000000001</v>
      </c>
      <c r="J25" s="27">
        <f t="shared" si="11"/>
        <v>12566.936</v>
      </c>
      <c r="K25" s="27">
        <f t="shared" ref="K25:K32" si="12">IFERROR(AVERAGE(H25:J25),"")</f>
        <v>12792.941333333334</v>
      </c>
      <c r="L25" s="65">
        <f>SUM(K25:K32)</f>
        <v>75701.63900000001</v>
      </c>
      <c r="M25" s="67">
        <f t="shared" ref="M25:M32" si="13">L25*$L$643/$L$642</f>
        <v>3.1775032829138938</v>
      </c>
      <c r="N25" s="65">
        <f t="shared" si="2"/>
        <v>3</v>
      </c>
      <c r="O25" s="65">
        <f t="shared" ref="O25:P32" si="14">N25</f>
        <v>3</v>
      </c>
      <c r="P25" s="65">
        <f t="shared" si="14"/>
        <v>3</v>
      </c>
      <c r="Q25" s="38"/>
      <c r="R25" s="3" t="str">
        <f t="shared" ref="R25:R54" si="15">C25</f>
        <v>The Nilgiris</v>
      </c>
      <c r="S25" s="3" t="str">
        <f t="shared" si="6"/>
        <v>Coonoor</v>
      </c>
      <c r="T25" s="3" t="str">
        <f t="shared" si="6"/>
        <v>Coonoor</v>
      </c>
      <c r="U25" s="3" t="str">
        <f t="shared" si="7"/>
        <v>The Nilgiris_Coonoor_Coonoor</v>
      </c>
      <c r="V25" s="3">
        <f>IF(_xlfn.XLOOKUP($U25,GCA!$H$3:$H$593,GCA!E$3:E$593,"",0,1)="","",_xlfn.XLOOKUP($U25,GCA!$H$3:$H$593,GCA!E$3:E$593,"",0,1))</f>
        <v>13031.92</v>
      </c>
      <c r="W25" s="3">
        <f>IF(_xlfn.XLOOKUP($U25,GCA!$H$3:$H$593,GCA!F$3:F$593,"",0,1)="","",_xlfn.XLOOKUP($U25,GCA!$H$3:$H$593,GCA!F$3:F$593,"",0,1))</f>
        <v>12779.968000000001</v>
      </c>
      <c r="X25" s="3">
        <f>IF(_xlfn.XLOOKUP($U25,GCA!$H$3:$H$593,GCA!G$3:G$593,"",0,1)="","",_xlfn.XLOOKUP($U25,GCA!$H$3:$H$593,GCA!G$3:G$593,"",0,1))</f>
        <v>12566.936</v>
      </c>
    </row>
    <row r="26" spans="1:24" ht="13.2">
      <c r="A26" s="49"/>
      <c r="B26" s="49"/>
      <c r="C26" s="48"/>
      <c r="D26" s="49"/>
      <c r="E26" s="50"/>
      <c r="F26" s="26" t="s">
        <v>579</v>
      </c>
      <c r="G26" s="26" t="s">
        <v>579</v>
      </c>
      <c r="H26" s="27">
        <f t="shared" si="11"/>
        <v>14061.047</v>
      </c>
      <c r="I26" s="27">
        <f t="shared" si="11"/>
        <v>14069.272000000001</v>
      </c>
      <c r="J26" s="27">
        <f t="shared" si="11"/>
        <v>14280.78</v>
      </c>
      <c r="K26" s="27">
        <f t="shared" si="12"/>
        <v>14137.033000000001</v>
      </c>
      <c r="L26" s="65"/>
      <c r="M26" s="67">
        <f t="shared" si="13"/>
        <v>0</v>
      </c>
      <c r="N26" s="65" t="str">
        <f t="shared" si="2"/>
        <v/>
      </c>
      <c r="O26" s="65" t="str">
        <f t="shared" si="14"/>
        <v/>
      </c>
      <c r="P26" s="65" t="str">
        <f t="shared" si="14"/>
        <v/>
      </c>
      <c r="Q26" s="38"/>
      <c r="R26" s="3" t="str">
        <f t="shared" ref="R26:R33" si="16">R25</f>
        <v>The Nilgiris</v>
      </c>
      <c r="S26" s="3" t="str">
        <f t="shared" si="6"/>
        <v>Gudalur</v>
      </c>
      <c r="T26" s="3" t="str">
        <f t="shared" si="6"/>
        <v>Gudalur</v>
      </c>
      <c r="U26" s="3" t="str">
        <f t="shared" si="7"/>
        <v>The Nilgiris_Gudalur_Gudalur</v>
      </c>
      <c r="V26" s="3">
        <f>IF(_xlfn.XLOOKUP($U26,GCA!$H$3:$H$593,GCA!E$3:E$593,"",0,1)="","",_xlfn.XLOOKUP($U26,GCA!$H$3:$H$593,GCA!E$3:E$593,"",0,1))</f>
        <v>14061.047</v>
      </c>
      <c r="W26" s="3">
        <f>IF(_xlfn.XLOOKUP($U26,GCA!$H$3:$H$593,GCA!F$3:F$593,"",0,1)="","",_xlfn.XLOOKUP($U26,GCA!$H$3:$H$593,GCA!F$3:F$593,"",0,1))</f>
        <v>14069.272000000001</v>
      </c>
      <c r="X26" s="3">
        <f>IF(_xlfn.XLOOKUP($U26,GCA!$H$3:$H$593,GCA!G$3:G$593,"",0,1)="","",_xlfn.XLOOKUP($U26,GCA!$H$3:$H$593,GCA!G$3:G$593,"",0,1))</f>
        <v>14280.78</v>
      </c>
    </row>
    <row r="27" spans="1:24" ht="13.2">
      <c r="A27" s="49"/>
      <c r="B27" s="49"/>
      <c r="C27" s="48"/>
      <c r="D27" s="49"/>
      <c r="E27" s="50"/>
      <c r="F27" s="26" t="s">
        <v>580</v>
      </c>
      <c r="G27" s="26" t="s">
        <v>578</v>
      </c>
      <c r="H27" s="27">
        <f t="shared" si="11"/>
        <v>754.14499999999998</v>
      </c>
      <c r="I27" s="27">
        <f t="shared" si="11"/>
        <v>747.76199999999994</v>
      </c>
      <c r="J27" s="27">
        <f t="shared" si="11"/>
        <v>770.23900000000003</v>
      </c>
      <c r="K27" s="27">
        <f t="shared" si="12"/>
        <v>757.38199999999995</v>
      </c>
      <c r="L27" s="65"/>
      <c r="M27" s="67">
        <f t="shared" si="13"/>
        <v>0</v>
      </c>
      <c r="N27" s="65" t="str">
        <f t="shared" si="2"/>
        <v/>
      </c>
      <c r="O27" s="65" t="str">
        <f t="shared" si="14"/>
        <v/>
      </c>
      <c r="P27" s="65" t="str">
        <f t="shared" si="14"/>
        <v/>
      </c>
      <c r="Q27" s="38"/>
      <c r="R27" s="3" t="str">
        <f t="shared" si="16"/>
        <v>The Nilgiris</v>
      </c>
      <c r="S27" s="3" t="str">
        <f t="shared" si="6"/>
        <v>Kotagiri</v>
      </c>
      <c r="T27" s="3" t="str">
        <f t="shared" si="6"/>
        <v>Coonoor</v>
      </c>
      <c r="U27" s="3" t="str">
        <f t="shared" si="7"/>
        <v>The Nilgiris_Kotagiri_Coonoor</v>
      </c>
      <c r="V27" s="3">
        <f>IF(_xlfn.XLOOKUP($U27,GCA!$H$3:$H$593,GCA!E$3:E$593,"",0,1)="","",_xlfn.XLOOKUP($U27,GCA!$H$3:$H$593,GCA!E$3:E$593,"",0,1))</f>
        <v>754.14499999999998</v>
      </c>
      <c r="W27" s="3">
        <f>IF(_xlfn.XLOOKUP($U27,GCA!$H$3:$H$593,GCA!F$3:F$593,"",0,1)="","",_xlfn.XLOOKUP($U27,GCA!$H$3:$H$593,GCA!F$3:F$593,"",0,1))</f>
        <v>747.76199999999994</v>
      </c>
      <c r="X27" s="3">
        <f>IF(_xlfn.XLOOKUP($U27,GCA!$H$3:$H$593,GCA!G$3:G$593,"",0,1)="","",_xlfn.XLOOKUP($U27,GCA!$H$3:$H$593,GCA!G$3:G$593,"",0,1))</f>
        <v>770.23900000000003</v>
      </c>
    </row>
    <row r="28" spans="1:24" ht="13.2">
      <c r="A28" s="49"/>
      <c r="B28" s="49"/>
      <c r="C28" s="48"/>
      <c r="D28" s="49"/>
      <c r="E28" s="50"/>
      <c r="F28" s="26" t="s">
        <v>580</v>
      </c>
      <c r="G28" s="26" t="s">
        <v>580</v>
      </c>
      <c r="H28" s="27">
        <f t="shared" si="11"/>
        <v>12144.999</v>
      </c>
      <c r="I28" s="27">
        <f t="shared" si="11"/>
        <v>12148.339</v>
      </c>
      <c r="J28" s="27">
        <f t="shared" si="11"/>
        <v>12362.475</v>
      </c>
      <c r="K28" s="27">
        <f t="shared" si="12"/>
        <v>12218.604333333335</v>
      </c>
      <c r="L28" s="65"/>
      <c r="M28" s="67">
        <f t="shared" si="13"/>
        <v>0</v>
      </c>
      <c r="N28" s="65" t="str">
        <f t="shared" si="2"/>
        <v/>
      </c>
      <c r="O28" s="65" t="str">
        <f t="shared" si="14"/>
        <v/>
      </c>
      <c r="P28" s="65" t="str">
        <f t="shared" si="14"/>
        <v/>
      </c>
      <c r="Q28" s="38"/>
      <c r="R28" s="3" t="str">
        <f t="shared" si="16"/>
        <v>The Nilgiris</v>
      </c>
      <c r="S28" s="3" t="str">
        <f t="shared" si="6"/>
        <v>Kotagiri</v>
      </c>
      <c r="T28" s="3" t="str">
        <f t="shared" si="6"/>
        <v>Kotagiri</v>
      </c>
      <c r="U28" s="3" t="str">
        <f t="shared" si="7"/>
        <v>The Nilgiris_Kotagiri_Kotagiri</v>
      </c>
      <c r="V28" s="3">
        <f>IF(_xlfn.XLOOKUP($U28,GCA!$H$3:$H$593,GCA!E$3:E$593,"",0,1)="","",_xlfn.XLOOKUP($U28,GCA!$H$3:$H$593,GCA!E$3:E$593,"",0,1))</f>
        <v>12144.999</v>
      </c>
      <c r="W28" s="3">
        <f>IF(_xlfn.XLOOKUP($U28,GCA!$H$3:$H$593,GCA!F$3:F$593,"",0,1)="","",_xlfn.XLOOKUP($U28,GCA!$H$3:$H$593,GCA!F$3:F$593,"",0,1))</f>
        <v>12148.339</v>
      </c>
      <c r="X28" s="3">
        <f>IF(_xlfn.XLOOKUP($U28,GCA!$H$3:$H$593,GCA!G$3:G$593,"",0,1)="","",_xlfn.XLOOKUP($U28,GCA!$H$3:$H$593,GCA!G$3:G$593,"",0,1))</f>
        <v>12362.475</v>
      </c>
    </row>
    <row r="29" spans="1:24" ht="13.2">
      <c r="A29" s="49"/>
      <c r="B29" s="49"/>
      <c r="C29" s="48"/>
      <c r="D29" s="49"/>
      <c r="E29" s="50"/>
      <c r="F29" s="26" t="s">
        <v>581</v>
      </c>
      <c r="G29" s="26" t="s">
        <v>582</v>
      </c>
      <c r="H29" s="27">
        <f t="shared" si="11"/>
        <v>7799.2979999999998</v>
      </c>
      <c r="I29" s="27">
        <f t="shared" si="11"/>
        <v>7805.9279999999999</v>
      </c>
      <c r="J29" s="27">
        <f t="shared" si="11"/>
        <v>7634.6289999999999</v>
      </c>
      <c r="K29" s="27">
        <f t="shared" si="12"/>
        <v>7746.6183333333329</v>
      </c>
      <c r="L29" s="65"/>
      <c r="M29" s="67">
        <f t="shared" si="13"/>
        <v>0</v>
      </c>
      <c r="N29" s="65" t="str">
        <f t="shared" si="2"/>
        <v/>
      </c>
      <c r="O29" s="65" t="str">
        <f t="shared" si="14"/>
        <v/>
      </c>
      <c r="P29" s="65" t="str">
        <f t="shared" si="14"/>
        <v/>
      </c>
      <c r="Q29" s="38"/>
      <c r="R29" s="3" t="str">
        <f t="shared" si="16"/>
        <v>The Nilgiris</v>
      </c>
      <c r="S29" s="3" t="str">
        <f t="shared" si="6"/>
        <v>Kundah</v>
      </c>
      <c r="T29" s="3" t="str">
        <f t="shared" si="6"/>
        <v>Udhagamandalam</v>
      </c>
      <c r="U29" s="3" t="str">
        <f t="shared" si="7"/>
        <v>The Nilgiris_Kundah_Udhagamandalam</v>
      </c>
      <c r="V29" s="3">
        <f>IF(_xlfn.XLOOKUP($U29,GCA!$H$3:$H$593,GCA!E$3:E$593,"",0,1)="","",_xlfn.XLOOKUP($U29,GCA!$H$3:$H$593,GCA!E$3:E$593,"",0,1))</f>
        <v>7799.2979999999998</v>
      </c>
      <c r="W29" s="3">
        <f>IF(_xlfn.XLOOKUP($U29,GCA!$H$3:$H$593,GCA!F$3:F$593,"",0,1)="","",_xlfn.XLOOKUP($U29,GCA!$H$3:$H$593,GCA!F$3:F$593,"",0,1))</f>
        <v>7805.9279999999999</v>
      </c>
      <c r="X29" s="3">
        <f>IF(_xlfn.XLOOKUP($U29,GCA!$H$3:$H$593,GCA!G$3:G$593,"",0,1)="","",_xlfn.XLOOKUP($U29,GCA!$H$3:$H$593,GCA!G$3:G$593,"",0,1))</f>
        <v>7634.6289999999999</v>
      </c>
    </row>
    <row r="30" spans="1:24" ht="13.2">
      <c r="A30" s="49"/>
      <c r="B30" s="49"/>
      <c r="C30" s="48"/>
      <c r="D30" s="49"/>
      <c r="E30" s="50"/>
      <c r="F30" s="26" t="s">
        <v>583</v>
      </c>
      <c r="G30" s="26" t="s">
        <v>579</v>
      </c>
      <c r="H30" s="27">
        <f t="shared" si="11"/>
        <v>12207.626</v>
      </c>
      <c r="I30" s="27">
        <f t="shared" si="11"/>
        <v>12233.434999999999</v>
      </c>
      <c r="J30" s="27">
        <f t="shared" si="11"/>
        <v>12338.904</v>
      </c>
      <c r="K30" s="27">
        <f t="shared" si="12"/>
        <v>12259.988333333335</v>
      </c>
      <c r="L30" s="65"/>
      <c r="M30" s="67">
        <f t="shared" si="13"/>
        <v>0</v>
      </c>
      <c r="N30" s="65" t="str">
        <f t="shared" si="2"/>
        <v/>
      </c>
      <c r="O30" s="65" t="str">
        <f t="shared" si="14"/>
        <v/>
      </c>
      <c r="P30" s="65" t="str">
        <f t="shared" si="14"/>
        <v/>
      </c>
      <c r="Q30" s="38"/>
      <c r="R30" s="3" t="str">
        <f t="shared" si="16"/>
        <v>The Nilgiris</v>
      </c>
      <c r="S30" s="3" t="str">
        <f t="shared" si="6"/>
        <v>Pandalur</v>
      </c>
      <c r="T30" s="3" t="str">
        <f t="shared" si="6"/>
        <v>Gudalur</v>
      </c>
      <c r="U30" s="3" t="str">
        <f t="shared" si="7"/>
        <v>The Nilgiris_Pandalur_Gudalur</v>
      </c>
      <c r="V30" s="3">
        <f>IF(_xlfn.XLOOKUP($U30,GCA!$H$3:$H$593,GCA!E$3:E$593,"",0,1)="","",_xlfn.XLOOKUP($U30,GCA!$H$3:$H$593,GCA!E$3:E$593,"",0,1))</f>
        <v>12207.626</v>
      </c>
      <c r="W30" s="3">
        <f>IF(_xlfn.XLOOKUP($U30,GCA!$H$3:$H$593,GCA!F$3:F$593,"",0,1)="","",_xlfn.XLOOKUP($U30,GCA!$H$3:$H$593,GCA!F$3:F$593,"",0,1))</f>
        <v>12233.434999999999</v>
      </c>
      <c r="X30" s="3">
        <f>IF(_xlfn.XLOOKUP($U30,GCA!$H$3:$H$593,GCA!G$3:G$593,"",0,1)="","",_xlfn.XLOOKUP($U30,GCA!$H$3:$H$593,GCA!G$3:G$593,"",0,1))</f>
        <v>12338.904</v>
      </c>
    </row>
    <row r="31" spans="1:24" ht="13.2">
      <c r="A31" s="49"/>
      <c r="B31" s="49"/>
      <c r="C31" s="48"/>
      <c r="D31" s="49"/>
      <c r="E31" s="50"/>
      <c r="F31" s="26" t="s">
        <v>582</v>
      </c>
      <c r="G31" s="26" t="s">
        <v>579</v>
      </c>
      <c r="H31" s="27">
        <f t="shared" si="11"/>
        <v>740.505</v>
      </c>
      <c r="I31" s="27">
        <f t="shared" si="11"/>
        <v>751.72500000000002</v>
      </c>
      <c r="J31" s="27">
        <f t="shared" si="11"/>
        <v>751.22</v>
      </c>
      <c r="K31" s="27">
        <f t="shared" si="12"/>
        <v>747.81666666666661</v>
      </c>
      <c r="L31" s="65"/>
      <c r="M31" s="67">
        <f t="shared" si="13"/>
        <v>0</v>
      </c>
      <c r="N31" s="65" t="str">
        <f t="shared" si="2"/>
        <v/>
      </c>
      <c r="O31" s="65" t="str">
        <f t="shared" si="14"/>
        <v/>
      </c>
      <c r="P31" s="65" t="str">
        <f t="shared" si="14"/>
        <v/>
      </c>
      <c r="Q31" s="38"/>
      <c r="R31" s="3" t="str">
        <f t="shared" si="16"/>
        <v>The Nilgiris</v>
      </c>
      <c r="S31" s="3" t="str">
        <f t="shared" si="6"/>
        <v>Udhagamandalam</v>
      </c>
      <c r="T31" s="3" t="str">
        <f t="shared" si="6"/>
        <v>Gudalur</v>
      </c>
      <c r="U31" s="3" t="str">
        <f t="shared" si="7"/>
        <v>The Nilgiris_Udhagamandalam_Gudalur</v>
      </c>
      <c r="V31" s="3">
        <f>IF(_xlfn.XLOOKUP($U31,GCA!$H$3:$H$593,GCA!E$3:E$593,"",0,1)="","",_xlfn.XLOOKUP($U31,GCA!$H$3:$H$593,GCA!E$3:E$593,"",0,1))</f>
        <v>740.505</v>
      </c>
      <c r="W31" s="3">
        <f>IF(_xlfn.XLOOKUP($U31,GCA!$H$3:$H$593,GCA!F$3:F$593,"",0,1)="","",_xlfn.XLOOKUP($U31,GCA!$H$3:$H$593,GCA!F$3:F$593,"",0,1))</f>
        <v>751.72500000000002</v>
      </c>
      <c r="X31" s="3">
        <f>IF(_xlfn.XLOOKUP($U31,GCA!$H$3:$H$593,GCA!G$3:G$593,"",0,1)="","",_xlfn.XLOOKUP($U31,GCA!$H$3:$H$593,GCA!G$3:G$593,"",0,1))</f>
        <v>751.22</v>
      </c>
    </row>
    <row r="32" spans="1:24" ht="13.2">
      <c r="A32" s="49"/>
      <c r="B32" s="49"/>
      <c r="C32" s="48"/>
      <c r="D32" s="49"/>
      <c r="E32" s="50"/>
      <c r="F32" s="26" t="s">
        <v>582</v>
      </c>
      <c r="G32" s="26" t="s">
        <v>582</v>
      </c>
      <c r="H32" s="27">
        <f t="shared" si="11"/>
        <v>14980.885</v>
      </c>
      <c r="I32" s="27">
        <f t="shared" si="11"/>
        <v>14912.145</v>
      </c>
      <c r="J32" s="27">
        <f t="shared" si="11"/>
        <v>15230.735000000001</v>
      </c>
      <c r="K32" s="27">
        <f t="shared" si="12"/>
        <v>15041.254999999999</v>
      </c>
      <c r="L32" s="65"/>
      <c r="M32" s="67">
        <f t="shared" si="13"/>
        <v>0</v>
      </c>
      <c r="N32" s="65" t="str">
        <f t="shared" si="2"/>
        <v/>
      </c>
      <c r="O32" s="65" t="str">
        <f t="shared" si="14"/>
        <v/>
      </c>
      <c r="P32" s="65" t="str">
        <f t="shared" si="14"/>
        <v/>
      </c>
      <c r="Q32" s="38"/>
      <c r="R32" s="3" t="str">
        <f t="shared" si="16"/>
        <v>The Nilgiris</v>
      </c>
      <c r="S32" s="3" t="str">
        <f t="shared" si="6"/>
        <v>Udhagamandalam</v>
      </c>
      <c r="T32" s="3" t="str">
        <f t="shared" si="6"/>
        <v>Udhagamandalam</v>
      </c>
      <c r="U32" s="3" t="str">
        <f t="shared" si="7"/>
        <v>The Nilgiris_Udhagamandalam_Udhagamandalam</v>
      </c>
      <c r="V32" s="3">
        <f>IF(_xlfn.XLOOKUP($U32,GCA!$H$3:$H$593,GCA!E$3:E$593,"",0,1)="","",_xlfn.XLOOKUP($U32,GCA!$H$3:$H$593,GCA!E$3:E$593,"",0,1))</f>
        <v>14980.885</v>
      </c>
      <c r="W32" s="3">
        <f>IF(_xlfn.XLOOKUP($U32,GCA!$H$3:$H$593,GCA!F$3:F$593,"",0,1)="","",_xlfn.XLOOKUP($U32,GCA!$H$3:$H$593,GCA!F$3:F$593,"",0,1))</f>
        <v>14912.145</v>
      </c>
      <c r="X32" s="3">
        <f>IF(_xlfn.XLOOKUP($U32,GCA!$H$3:$H$593,GCA!G$3:G$593,"",0,1)="","",_xlfn.XLOOKUP($U32,GCA!$H$3:$H$593,GCA!G$3:G$593,"",0,1))</f>
        <v>15230.735000000001</v>
      </c>
    </row>
    <row r="33" spans="1:24" ht="13.2">
      <c r="A33" s="49"/>
      <c r="B33" s="49"/>
      <c r="C33" s="48"/>
      <c r="D33" s="49"/>
      <c r="E33" s="47" t="s">
        <v>564</v>
      </c>
      <c r="F33" s="47"/>
      <c r="G33" s="47"/>
      <c r="H33" s="29">
        <f t="shared" ref="H33:P33" si="17">SUM(H25:H32)</f>
        <v>75720.425000000003</v>
      </c>
      <c r="I33" s="29">
        <f t="shared" si="17"/>
        <v>75448.573999999993</v>
      </c>
      <c r="J33" s="29">
        <f t="shared" si="17"/>
        <v>75935.918000000005</v>
      </c>
      <c r="K33" s="29">
        <f t="shared" si="17"/>
        <v>75701.63900000001</v>
      </c>
      <c r="L33" s="29">
        <f t="shared" si="17"/>
        <v>75701.63900000001</v>
      </c>
      <c r="M33" s="30">
        <f t="shared" si="17"/>
        <v>3.1775032829138938</v>
      </c>
      <c r="N33" s="31">
        <f t="shared" si="17"/>
        <v>3</v>
      </c>
      <c r="O33" s="31">
        <f t="shared" si="17"/>
        <v>3</v>
      </c>
      <c r="P33" s="31">
        <f t="shared" si="17"/>
        <v>3</v>
      </c>
      <c r="Q33" s="38"/>
      <c r="R33" s="3" t="str">
        <f t="shared" si="16"/>
        <v>The Nilgiris</v>
      </c>
      <c r="S33" s="3">
        <f t="shared" si="6"/>
        <v>0</v>
      </c>
      <c r="T33" s="3">
        <f t="shared" si="6"/>
        <v>0</v>
      </c>
      <c r="U33" s="3" t="str">
        <f t="shared" si="7"/>
        <v>The Nilgiris_0_0</v>
      </c>
      <c r="V33" s="3" t="str">
        <f>IF(_xlfn.XLOOKUP($U33,GCA!$H$3:$H$593,GCA!E$3:E$593,"",0,1)="","",_xlfn.XLOOKUP($U33,GCA!$H$3:$H$593,GCA!E$3:E$593,"",0,1))</f>
        <v/>
      </c>
      <c r="W33" s="3" t="str">
        <f>IF(_xlfn.XLOOKUP($U33,GCA!$H$3:$H$593,GCA!F$3:F$593,"",0,1)="","",_xlfn.XLOOKUP($U33,GCA!$H$3:$H$593,GCA!F$3:F$593,"",0,1))</f>
        <v/>
      </c>
      <c r="X33" s="3" t="str">
        <f>IF(_xlfn.XLOOKUP($U33,GCA!$H$3:$H$593,GCA!G$3:G$593,"",0,1)="","",_xlfn.XLOOKUP($U33,GCA!$H$3:$H$593,GCA!G$3:G$593,"",0,1))</f>
        <v/>
      </c>
    </row>
    <row r="34" spans="1:24" ht="13.95" customHeight="1">
      <c r="A34" s="49"/>
      <c r="B34" s="49"/>
      <c r="C34" s="48" t="s">
        <v>326</v>
      </c>
      <c r="D34" s="49" t="s">
        <v>529</v>
      </c>
      <c r="E34" s="50">
        <v>1</v>
      </c>
      <c r="F34" s="26" t="s">
        <v>584</v>
      </c>
      <c r="G34" s="26" t="s">
        <v>584</v>
      </c>
      <c r="H34" s="27">
        <f t="shared" ref="H34:J52" si="18">V34</f>
        <v>27447.15</v>
      </c>
      <c r="I34" s="27">
        <f t="shared" si="18"/>
        <v>26537.542000000001</v>
      </c>
      <c r="J34" s="27">
        <f t="shared" si="18"/>
        <v>28259.78</v>
      </c>
      <c r="K34" s="27">
        <f t="shared" ref="K34:K52" si="19">IFERROR(AVERAGE(H34:J34),"")</f>
        <v>27414.824000000004</v>
      </c>
      <c r="L34" s="65">
        <f>SUM(K34:K37)</f>
        <v>46287.932000000008</v>
      </c>
      <c r="M34" s="67">
        <f t="shared" ref="M34:M52" si="20">L34*$L$643/$L$642</f>
        <v>1.9428913010627824</v>
      </c>
      <c r="N34" s="65">
        <f t="shared" si="2"/>
        <v>2</v>
      </c>
      <c r="O34" s="65">
        <f t="shared" ref="O34:P49" si="21">N34</f>
        <v>2</v>
      </c>
      <c r="P34" s="65">
        <f t="shared" si="21"/>
        <v>2</v>
      </c>
      <c r="Q34" s="38"/>
      <c r="R34" s="3" t="str">
        <f t="shared" si="15"/>
        <v>Coimbatore</v>
      </c>
      <c r="S34" s="3" t="str">
        <f t="shared" si="6"/>
        <v>Anaimalai</v>
      </c>
      <c r="T34" s="3" t="str">
        <f t="shared" si="6"/>
        <v>Anaimalai</v>
      </c>
      <c r="U34" s="3" t="str">
        <f t="shared" si="7"/>
        <v>Coimbatore_Anaimalai_Anaimalai</v>
      </c>
      <c r="V34" s="3">
        <f>IF(_xlfn.XLOOKUP($U34,GCA!$H$3:$H$593,GCA!E$3:E$593,"",0,1)="","",_xlfn.XLOOKUP($U34,GCA!$H$3:$H$593,GCA!E$3:E$593,"",0,1))</f>
        <v>27447.15</v>
      </c>
      <c r="W34" s="3">
        <f>IF(_xlfn.XLOOKUP($U34,GCA!$H$3:$H$593,GCA!F$3:F$593,"",0,1)="","",_xlfn.XLOOKUP($U34,GCA!$H$3:$H$593,GCA!F$3:F$593,"",0,1))</f>
        <v>26537.542000000001</v>
      </c>
      <c r="X34" s="3">
        <f>IF(_xlfn.XLOOKUP($U34,GCA!$H$3:$H$593,GCA!G$3:G$593,"",0,1)="","",_xlfn.XLOOKUP($U34,GCA!$H$3:$H$593,GCA!G$3:G$593,"",0,1))</f>
        <v>28259.78</v>
      </c>
    </row>
    <row r="35" spans="1:24" ht="13.95" customHeight="1">
      <c r="A35" s="49"/>
      <c r="B35" s="49"/>
      <c r="C35" s="48"/>
      <c r="D35" s="49"/>
      <c r="E35" s="50"/>
      <c r="F35" s="26" t="s">
        <v>584</v>
      </c>
      <c r="G35" s="26" t="s">
        <v>585</v>
      </c>
      <c r="H35" s="27">
        <f t="shared" si="18"/>
        <v>5369.63</v>
      </c>
      <c r="I35" s="27">
        <f t="shared" si="18"/>
        <v>5022.18</v>
      </c>
      <c r="J35" s="27">
        <f t="shared" si="18"/>
        <v>5565.8990000000003</v>
      </c>
      <c r="K35" s="27">
        <f t="shared" si="19"/>
        <v>5319.2363333333342</v>
      </c>
      <c r="L35" s="65"/>
      <c r="M35" s="67">
        <f t="shared" si="20"/>
        <v>0</v>
      </c>
      <c r="N35" s="65" t="str">
        <f t="shared" si="2"/>
        <v/>
      </c>
      <c r="O35" s="65" t="str">
        <f t="shared" si="21"/>
        <v/>
      </c>
      <c r="P35" s="65" t="str">
        <f t="shared" si="21"/>
        <v/>
      </c>
      <c r="Q35" s="38"/>
      <c r="R35" s="3" t="str">
        <f t="shared" ref="R35:R53" si="22">R34</f>
        <v>Coimbatore</v>
      </c>
      <c r="S35" s="3" t="str">
        <f t="shared" si="6"/>
        <v>Anaimalai</v>
      </c>
      <c r="T35" s="3" t="str">
        <f t="shared" si="6"/>
        <v>Pollachi South</v>
      </c>
      <c r="U35" s="3" t="str">
        <f t="shared" si="7"/>
        <v>Coimbatore_Anaimalai_Pollachi South</v>
      </c>
      <c r="V35" s="3">
        <f>IF(_xlfn.XLOOKUP($U35,GCA!$H$3:$H$593,GCA!E$3:E$593,"",0,1)="","",_xlfn.XLOOKUP($U35,GCA!$H$3:$H$593,GCA!E$3:E$593,"",0,1))</f>
        <v>5369.63</v>
      </c>
      <c r="W35" s="3">
        <f>IF(_xlfn.XLOOKUP($U35,GCA!$H$3:$H$593,GCA!F$3:F$593,"",0,1)="","",_xlfn.XLOOKUP($U35,GCA!$H$3:$H$593,GCA!F$3:F$593,"",0,1))</f>
        <v>5022.18</v>
      </c>
      <c r="X35" s="3">
        <f>IF(_xlfn.XLOOKUP($U35,GCA!$H$3:$H$593,GCA!G$3:G$593,"",0,1)="","",_xlfn.XLOOKUP($U35,GCA!$H$3:$H$593,GCA!G$3:G$593,"",0,1))</f>
        <v>5565.8990000000003</v>
      </c>
    </row>
    <row r="36" spans="1:24" ht="13.95" customHeight="1">
      <c r="A36" s="49"/>
      <c r="B36" s="49"/>
      <c r="C36" s="48"/>
      <c r="D36" s="49"/>
      <c r="E36" s="50"/>
      <c r="F36" s="26" t="s">
        <v>586</v>
      </c>
      <c r="G36" s="26" t="s">
        <v>586</v>
      </c>
      <c r="H36" s="27">
        <f t="shared" si="18"/>
        <v>9396.1749999999993</v>
      </c>
      <c r="I36" s="27">
        <f t="shared" si="18"/>
        <v>10243.545</v>
      </c>
      <c r="J36" s="27">
        <f t="shared" si="18"/>
        <v>11140.985000000001</v>
      </c>
      <c r="K36" s="27">
        <f t="shared" si="19"/>
        <v>10260.235000000001</v>
      </c>
      <c r="L36" s="65"/>
      <c r="M36" s="67">
        <f t="shared" si="20"/>
        <v>0</v>
      </c>
      <c r="N36" s="65" t="str">
        <f t="shared" si="2"/>
        <v/>
      </c>
      <c r="O36" s="65" t="str">
        <f t="shared" si="21"/>
        <v/>
      </c>
      <c r="P36" s="65" t="str">
        <f t="shared" si="21"/>
        <v/>
      </c>
      <c r="Q36" s="38"/>
      <c r="R36" s="3" t="str">
        <f t="shared" si="22"/>
        <v>Coimbatore</v>
      </c>
      <c r="S36" s="3" t="str">
        <f t="shared" si="6"/>
        <v>Annur</v>
      </c>
      <c r="T36" s="3" t="str">
        <f t="shared" si="6"/>
        <v>Annur</v>
      </c>
      <c r="U36" s="3" t="str">
        <f t="shared" si="7"/>
        <v>Coimbatore_Annur_Annur</v>
      </c>
      <c r="V36" s="3">
        <f>IF(_xlfn.XLOOKUP($U36,GCA!$H$3:$H$593,GCA!E$3:E$593,"",0,1)="","",_xlfn.XLOOKUP($U36,GCA!$H$3:$H$593,GCA!E$3:E$593,"",0,1))</f>
        <v>9396.1749999999993</v>
      </c>
      <c r="W36" s="3">
        <f>IF(_xlfn.XLOOKUP($U36,GCA!$H$3:$H$593,GCA!F$3:F$593,"",0,1)="","",_xlfn.XLOOKUP($U36,GCA!$H$3:$H$593,GCA!F$3:F$593,"",0,1))</f>
        <v>10243.545</v>
      </c>
      <c r="X36" s="3">
        <f>IF(_xlfn.XLOOKUP($U36,GCA!$H$3:$H$593,GCA!G$3:G$593,"",0,1)="","",_xlfn.XLOOKUP($U36,GCA!$H$3:$H$593,GCA!G$3:G$593,"",0,1))</f>
        <v>11140.985000000001</v>
      </c>
    </row>
    <row r="37" spans="1:24" ht="13.95" customHeight="1">
      <c r="A37" s="49"/>
      <c r="B37" s="49"/>
      <c r="C37" s="48"/>
      <c r="D37" s="49"/>
      <c r="E37" s="50"/>
      <c r="F37" s="26" t="s">
        <v>586</v>
      </c>
      <c r="G37" s="26" t="s">
        <v>587</v>
      </c>
      <c r="H37" s="27">
        <f t="shared" si="18"/>
        <v>3094.04</v>
      </c>
      <c r="I37" s="27">
        <f t="shared" si="18"/>
        <v>3252.4549999999999</v>
      </c>
      <c r="J37" s="27">
        <f t="shared" si="18"/>
        <v>3534.415</v>
      </c>
      <c r="K37" s="27">
        <f t="shared" si="19"/>
        <v>3293.6366666666668</v>
      </c>
      <c r="L37" s="65"/>
      <c r="M37" s="67">
        <f t="shared" si="20"/>
        <v>0</v>
      </c>
      <c r="N37" s="65" t="str">
        <f t="shared" si="2"/>
        <v/>
      </c>
      <c r="O37" s="65" t="str">
        <f t="shared" si="21"/>
        <v/>
      </c>
      <c r="P37" s="65" t="str">
        <f t="shared" si="21"/>
        <v/>
      </c>
      <c r="Q37" s="38"/>
      <c r="R37" s="3" t="str">
        <f t="shared" si="22"/>
        <v>Coimbatore</v>
      </c>
      <c r="S37" s="3" t="str">
        <f t="shared" si="6"/>
        <v>Annur</v>
      </c>
      <c r="T37" s="3" t="str">
        <f t="shared" si="6"/>
        <v>Sarkar Samakulam</v>
      </c>
      <c r="U37" s="3" t="str">
        <f t="shared" si="7"/>
        <v>Coimbatore_Annur_Sarkar Samakulam</v>
      </c>
      <c r="V37" s="3">
        <f>IF(_xlfn.XLOOKUP($U37,GCA!$H$3:$H$593,GCA!E$3:E$593,"",0,1)="","",_xlfn.XLOOKUP($U37,GCA!$H$3:$H$593,GCA!E$3:E$593,"",0,1))</f>
        <v>3094.04</v>
      </c>
      <c r="W37" s="3">
        <f>IF(_xlfn.XLOOKUP($U37,GCA!$H$3:$H$593,GCA!F$3:F$593,"",0,1)="","",_xlfn.XLOOKUP($U37,GCA!$H$3:$H$593,GCA!F$3:F$593,"",0,1))</f>
        <v>3252.4549999999999</v>
      </c>
      <c r="X37" s="3">
        <f>IF(_xlfn.XLOOKUP($U37,GCA!$H$3:$H$593,GCA!G$3:G$593,"",0,1)="","",_xlfn.XLOOKUP($U37,GCA!$H$3:$H$593,GCA!G$3:G$593,"",0,1))</f>
        <v>3534.415</v>
      </c>
    </row>
    <row r="38" spans="1:24" ht="13.95" customHeight="1">
      <c r="A38" s="49"/>
      <c r="B38" s="49"/>
      <c r="C38" s="48"/>
      <c r="D38" s="49"/>
      <c r="E38" s="50">
        <v>2</v>
      </c>
      <c r="F38" s="26" t="s">
        <v>588</v>
      </c>
      <c r="G38" s="26" t="s">
        <v>589</v>
      </c>
      <c r="H38" s="27">
        <f t="shared" si="18"/>
        <v>4536.28</v>
      </c>
      <c r="I38" s="27">
        <f t="shared" si="18"/>
        <v>4405.2139999999999</v>
      </c>
      <c r="J38" s="27">
        <f t="shared" si="18"/>
        <v>4581.5720000000001</v>
      </c>
      <c r="K38" s="27">
        <f t="shared" si="19"/>
        <v>4507.688666666666</v>
      </c>
      <c r="L38" s="65">
        <f>SUM(K38:K44)</f>
        <v>48020.175333333333</v>
      </c>
      <c r="M38" s="67">
        <f t="shared" si="20"/>
        <v>2.015600544233493</v>
      </c>
      <c r="N38" s="65">
        <f t="shared" si="2"/>
        <v>2</v>
      </c>
      <c r="O38" s="65">
        <f t="shared" si="21"/>
        <v>2</v>
      </c>
      <c r="P38" s="65">
        <f t="shared" si="21"/>
        <v>2</v>
      </c>
      <c r="Q38" s="38"/>
      <c r="R38" s="3" t="str">
        <f t="shared" si="22"/>
        <v>Coimbatore</v>
      </c>
      <c r="S38" s="3" t="str">
        <f t="shared" si="6"/>
        <v>Coimbatore North</v>
      </c>
      <c r="T38" s="3" t="str">
        <f t="shared" si="6"/>
        <v>Periyanaickenpalayam</v>
      </c>
      <c r="U38" s="3" t="str">
        <f t="shared" si="7"/>
        <v>Coimbatore_Coimbatore North_Periyanaickenpalayam</v>
      </c>
      <c r="V38" s="3">
        <f>IF(_xlfn.XLOOKUP($U38,GCA!$H$3:$H$593,GCA!E$3:E$593,"",0,1)="","",_xlfn.XLOOKUP($U38,GCA!$H$3:$H$593,GCA!E$3:E$593,"",0,1))</f>
        <v>4536.28</v>
      </c>
      <c r="W38" s="3">
        <f>IF(_xlfn.XLOOKUP($U38,GCA!$H$3:$H$593,GCA!F$3:F$593,"",0,1)="","",_xlfn.XLOOKUP($U38,GCA!$H$3:$H$593,GCA!F$3:F$593,"",0,1))</f>
        <v>4405.2139999999999</v>
      </c>
      <c r="X38" s="3">
        <f>IF(_xlfn.XLOOKUP($U38,GCA!$H$3:$H$593,GCA!G$3:G$593,"",0,1)="","",_xlfn.XLOOKUP($U38,GCA!$H$3:$H$593,GCA!G$3:G$593,"",0,1))</f>
        <v>4581.5720000000001</v>
      </c>
    </row>
    <row r="39" spans="1:24" ht="13.95" customHeight="1">
      <c r="A39" s="49"/>
      <c r="B39" s="49"/>
      <c r="C39" s="48"/>
      <c r="D39" s="49"/>
      <c r="E39" s="50"/>
      <c r="F39" s="26" t="s">
        <v>588</v>
      </c>
      <c r="G39" s="26" t="s">
        <v>587</v>
      </c>
      <c r="H39" s="27">
        <f t="shared" si="18"/>
        <v>960.94399999999996</v>
      </c>
      <c r="I39" s="27">
        <f t="shared" si="18"/>
        <v>967.03499999999997</v>
      </c>
      <c r="J39" s="27">
        <f t="shared" si="18"/>
        <v>996.81</v>
      </c>
      <c r="K39" s="27">
        <f t="shared" si="19"/>
        <v>974.92966666666655</v>
      </c>
      <c r="L39" s="65"/>
      <c r="M39" s="67">
        <f t="shared" si="20"/>
        <v>0</v>
      </c>
      <c r="N39" s="65" t="str">
        <f t="shared" si="2"/>
        <v/>
      </c>
      <c r="O39" s="65" t="str">
        <f t="shared" si="21"/>
        <v/>
      </c>
      <c r="P39" s="65" t="str">
        <f t="shared" si="21"/>
        <v/>
      </c>
      <c r="Q39" s="38"/>
      <c r="R39" s="3" t="str">
        <f t="shared" si="22"/>
        <v>Coimbatore</v>
      </c>
      <c r="S39" s="3" t="str">
        <f t="shared" si="6"/>
        <v>Coimbatore North</v>
      </c>
      <c r="T39" s="3" t="str">
        <f t="shared" si="6"/>
        <v>Sarkar Samakulam</v>
      </c>
      <c r="U39" s="3" t="str">
        <f t="shared" si="7"/>
        <v>Coimbatore_Coimbatore North_Sarkar Samakulam</v>
      </c>
      <c r="V39" s="3">
        <f>IF(_xlfn.XLOOKUP($U39,GCA!$H$3:$H$593,GCA!E$3:E$593,"",0,1)="","",_xlfn.XLOOKUP($U39,GCA!$H$3:$H$593,GCA!E$3:E$593,"",0,1))</f>
        <v>960.94399999999996</v>
      </c>
      <c r="W39" s="3">
        <f>IF(_xlfn.XLOOKUP($U39,GCA!$H$3:$H$593,GCA!F$3:F$593,"",0,1)="","",_xlfn.XLOOKUP($U39,GCA!$H$3:$H$593,GCA!F$3:F$593,"",0,1))</f>
        <v>967.03499999999997</v>
      </c>
      <c r="X39" s="3">
        <f>IF(_xlfn.XLOOKUP($U39,GCA!$H$3:$H$593,GCA!G$3:G$593,"",0,1)="","",_xlfn.XLOOKUP($U39,GCA!$H$3:$H$593,GCA!G$3:G$593,"",0,1))</f>
        <v>996.81</v>
      </c>
    </row>
    <row r="40" spans="1:24" ht="13.95" customHeight="1">
      <c r="A40" s="49"/>
      <c r="B40" s="49"/>
      <c r="C40" s="48"/>
      <c r="D40" s="49"/>
      <c r="E40" s="50"/>
      <c r="F40" s="26" t="s">
        <v>590</v>
      </c>
      <c r="G40" s="26" t="s">
        <v>591</v>
      </c>
      <c r="H40" s="27">
        <f t="shared" si="18"/>
        <v>296.02699999999999</v>
      </c>
      <c r="I40" s="27">
        <f t="shared" si="18"/>
        <v>280.87599999999998</v>
      </c>
      <c r="J40" s="27">
        <f t="shared" si="18"/>
        <v>282.68700000000001</v>
      </c>
      <c r="K40" s="27">
        <f t="shared" si="19"/>
        <v>286.53000000000003</v>
      </c>
      <c r="L40" s="65"/>
      <c r="M40" s="67">
        <f t="shared" si="20"/>
        <v>0</v>
      </c>
      <c r="N40" s="65" t="str">
        <f t="shared" si="2"/>
        <v/>
      </c>
      <c r="O40" s="65" t="str">
        <f t="shared" si="21"/>
        <v/>
      </c>
      <c r="P40" s="65" t="str">
        <f t="shared" si="21"/>
        <v/>
      </c>
      <c r="Q40" s="38"/>
      <c r="R40" s="3" t="str">
        <f t="shared" si="22"/>
        <v>Coimbatore</v>
      </c>
      <c r="S40" s="3" t="str">
        <f t="shared" si="6"/>
        <v>Coimbatore South</v>
      </c>
      <c r="T40" s="3" t="str">
        <f t="shared" si="6"/>
        <v>Madukkarai</v>
      </c>
      <c r="U40" s="3" t="str">
        <f t="shared" si="7"/>
        <v>Coimbatore_Coimbatore South_Madukkarai</v>
      </c>
      <c r="V40" s="3">
        <f>IF(_xlfn.XLOOKUP($U40,GCA!$H$3:$H$593,GCA!E$3:E$593,"",0,1)="","",_xlfn.XLOOKUP($U40,GCA!$H$3:$H$593,GCA!E$3:E$593,"",0,1))</f>
        <v>296.02699999999999</v>
      </c>
      <c r="W40" s="3">
        <f>IF(_xlfn.XLOOKUP($U40,GCA!$H$3:$H$593,GCA!F$3:F$593,"",0,1)="","",_xlfn.XLOOKUP($U40,GCA!$H$3:$H$593,GCA!F$3:F$593,"",0,1))</f>
        <v>280.87599999999998</v>
      </c>
      <c r="X40" s="3">
        <f>IF(_xlfn.XLOOKUP($U40,GCA!$H$3:$H$593,GCA!G$3:G$593,"",0,1)="","",_xlfn.XLOOKUP($U40,GCA!$H$3:$H$593,GCA!G$3:G$593,"",0,1))</f>
        <v>282.68700000000001</v>
      </c>
    </row>
    <row r="41" spans="1:24" ht="13.95" customHeight="1">
      <c r="A41" s="49"/>
      <c r="B41" s="49"/>
      <c r="C41" s="48"/>
      <c r="D41" s="49"/>
      <c r="E41" s="50"/>
      <c r="F41" s="26" t="s">
        <v>590</v>
      </c>
      <c r="G41" s="26" t="s">
        <v>592</v>
      </c>
      <c r="H41" s="27">
        <f t="shared" si="18"/>
        <v>163.88</v>
      </c>
      <c r="I41" s="27">
        <f t="shared" si="18"/>
        <v>173.36</v>
      </c>
      <c r="J41" s="27">
        <f t="shared" si="18"/>
        <v>180.81200000000001</v>
      </c>
      <c r="K41" s="27">
        <f t="shared" si="19"/>
        <v>172.684</v>
      </c>
      <c r="L41" s="65"/>
      <c r="M41" s="67">
        <f t="shared" si="20"/>
        <v>0</v>
      </c>
      <c r="N41" s="65" t="str">
        <f t="shared" si="2"/>
        <v/>
      </c>
      <c r="O41" s="65" t="str">
        <f t="shared" si="21"/>
        <v/>
      </c>
      <c r="P41" s="65" t="str">
        <f t="shared" si="21"/>
        <v/>
      </c>
      <c r="Q41" s="38"/>
      <c r="R41" s="3" t="str">
        <f t="shared" si="22"/>
        <v>Coimbatore</v>
      </c>
      <c r="S41" s="3" t="str">
        <f t="shared" si="6"/>
        <v>Coimbatore South</v>
      </c>
      <c r="T41" s="3" t="str">
        <f t="shared" si="6"/>
        <v>Thondamuthur</v>
      </c>
      <c r="U41" s="3" t="str">
        <f t="shared" si="7"/>
        <v>Coimbatore_Coimbatore South_Thondamuthur</v>
      </c>
      <c r="V41" s="3">
        <f>IF(_xlfn.XLOOKUP($U41,GCA!$H$3:$H$593,GCA!E$3:E$593,"",0,1)="","",_xlfn.XLOOKUP($U41,GCA!$H$3:$H$593,GCA!E$3:E$593,"",0,1))</f>
        <v>163.88</v>
      </c>
      <c r="W41" s="3">
        <f>IF(_xlfn.XLOOKUP($U41,GCA!$H$3:$H$593,GCA!F$3:F$593,"",0,1)="","",_xlfn.XLOOKUP($U41,GCA!$H$3:$H$593,GCA!F$3:F$593,"",0,1))</f>
        <v>173.36</v>
      </c>
      <c r="X41" s="3">
        <f>IF(_xlfn.XLOOKUP($U41,GCA!$H$3:$H$593,GCA!G$3:G$593,"",0,1)="","",_xlfn.XLOOKUP($U41,GCA!$H$3:$H$593,GCA!G$3:G$593,"",0,1))</f>
        <v>180.81200000000001</v>
      </c>
    </row>
    <row r="42" spans="1:24" ht="13.95" customHeight="1">
      <c r="A42" s="49"/>
      <c r="B42" s="49"/>
      <c r="C42" s="48"/>
      <c r="D42" s="49"/>
      <c r="E42" s="50"/>
      <c r="F42" s="26" t="s">
        <v>593</v>
      </c>
      <c r="G42" s="26" t="s">
        <v>593</v>
      </c>
      <c r="H42" s="27">
        <f t="shared" si="18"/>
        <v>18765.13</v>
      </c>
      <c r="I42" s="27">
        <f t="shared" si="18"/>
        <v>18144.621999999999</v>
      </c>
      <c r="J42" s="27">
        <f t="shared" si="18"/>
        <v>19524.294000000002</v>
      </c>
      <c r="K42" s="27">
        <f t="shared" si="19"/>
        <v>18811.348666666669</v>
      </c>
      <c r="L42" s="65"/>
      <c r="M42" s="67">
        <f t="shared" si="20"/>
        <v>0</v>
      </c>
      <c r="N42" s="65" t="str">
        <f t="shared" si="2"/>
        <v/>
      </c>
      <c r="O42" s="65" t="str">
        <f t="shared" si="21"/>
        <v/>
      </c>
      <c r="P42" s="65" t="str">
        <f t="shared" si="21"/>
        <v/>
      </c>
      <c r="Q42" s="38"/>
      <c r="R42" s="3" t="str">
        <f t="shared" si="22"/>
        <v>Coimbatore</v>
      </c>
      <c r="S42" s="3" t="str">
        <f t="shared" si="6"/>
        <v>Kinathukadavu</v>
      </c>
      <c r="T42" s="3" t="str">
        <f t="shared" si="6"/>
        <v>Kinathukadavu</v>
      </c>
      <c r="U42" s="3" t="str">
        <f t="shared" si="7"/>
        <v>Coimbatore_Kinathukadavu_Kinathukadavu</v>
      </c>
      <c r="V42" s="3">
        <f>IF(_xlfn.XLOOKUP($U42,GCA!$H$3:$H$593,GCA!E$3:E$593,"",0,1)="","",_xlfn.XLOOKUP($U42,GCA!$H$3:$H$593,GCA!E$3:E$593,"",0,1))</f>
        <v>18765.13</v>
      </c>
      <c r="W42" s="3">
        <f>IF(_xlfn.XLOOKUP($U42,GCA!$H$3:$H$593,GCA!F$3:F$593,"",0,1)="","",_xlfn.XLOOKUP($U42,GCA!$H$3:$H$593,GCA!F$3:F$593,"",0,1))</f>
        <v>18144.621999999999</v>
      </c>
      <c r="X42" s="3">
        <f>IF(_xlfn.XLOOKUP($U42,GCA!$H$3:$H$593,GCA!G$3:G$593,"",0,1)="","",_xlfn.XLOOKUP($U42,GCA!$H$3:$H$593,GCA!G$3:G$593,"",0,1))</f>
        <v>19524.294000000002</v>
      </c>
    </row>
    <row r="43" spans="1:24" ht="13.95" customHeight="1">
      <c r="A43" s="49"/>
      <c r="B43" s="49"/>
      <c r="C43" s="48"/>
      <c r="D43" s="49"/>
      <c r="E43" s="50"/>
      <c r="F43" s="26" t="s">
        <v>591</v>
      </c>
      <c r="G43" s="26" t="s">
        <v>591</v>
      </c>
      <c r="H43" s="27">
        <f t="shared" si="18"/>
        <v>10457.959999999999</v>
      </c>
      <c r="I43" s="27">
        <f t="shared" si="18"/>
        <v>10230.295</v>
      </c>
      <c r="J43" s="27">
        <f t="shared" si="18"/>
        <v>10362.790000000001</v>
      </c>
      <c r="K43" s="27">
        <f t="shared" si="19"/>
        <v>10350.348333333333</v>
      </c>
      <c r="L43" s="65"/>
      <c r="M43" s="67">
        <f t="shared" si="20"/>
        <v>0</v>
      </c>
      <c r="N43" s="65" t="str">
        <f t="shared" si="2"/>
        <v/>
      </c>
      <c r="O43" s="65" t="str">
        <f t="shared" si="21"/>
        <v/>
      </c>
      <c r="P43" s="65" t="str">
        <f t="shared" si="21"/>
        <v/>
      </c>
      <c r="Q43" s="38"/>
      <c r="R43" s="3" t="str">
        <f t="shared" si="22"/>
        <v>Coimbatore</v>
      </c>
      <c r="S43" s="3" t="str">
        <f t="shared" si="6"/>
        <v>Madukkarai</v>
      </c>
      <c r="T43" s="3" t="str">
        <f t="shared" si="6"/>
        <v>Madukkarai</v>
      </c>
      <c r="U43" s="3" t="str">
        <f t="shared" si="7"/>
        <v>Coimbatore_Madukkarai_Madukkarai</v>
      </c>
      <c r="V43" s="3">
        <f>IF(_xlfn.XLOOKUP($U43,GCA!$H$3:$H$593,GCA!E$3:E$593,"",0,1)="","",_xlfn.XLOOKUP($U43,GCA!$H$3:$H$593,GCA!E$3:E$593,"",0,1))</f>
        <v>10457.959999999999</v>
      </c>
      <c r="W43" s="3">
        <f>IF(_xlfn.XLOOKUP($U43,GCA!$H$3:$H$593,GCA!F$3:F$593,"",0,1)="","",_xlfn.XLOOKUP($U43,GCA!$H$3:$H$593,GCA!F$3:F$593,"",0,1))</f>
        <v>10230.295</v>
      </c>
      <c r="X43" s="3">
        <f>IF(_xlfn.XLOOKUP($U43,GCA!$H$3:$H$593,GCA!G$3:G$593,"",0,1)="","",_xlfn.XLOOKUP($U43,GCA!$H$3:$H$593,GCA!G$3:G$593,"",0,1))</f>
        <v>10362.790000000001</v>
      </c>
    </row>
    <row r="44" spans="1:24" ht="13.95" customHeight="1">
      <c r="A44" s="49"/>
      <c r="B44" s="49"/>
      <c r="C44" s="48"/>
      <c r="D44" s="49"/>
      <c r="E44" s="50"/>
      <c r="F44" s="26" t="s">
        <v>594</v>
      </c>
      <c r="G44" s="26" t="s">
        <v>595</v>
      </c>
      <c r="H44" s="27">
        <f t="shared" si="18"/>
        <v>12560.31</v>
      </c>
      <c r="I44" s="27">
        <f t="shared" si="18"/>
        <v>13043.186</v>
      </c>
      <c r="J44" s="27">
        <f t="shared" si="18"/>
        <v>13146.441999999999</v>
      </c>
      <c r="K44" s="27">
        <f t="shared" si="19"/>
        <v>12916.645999999999</v>
      </c>
      <c r="L44" s="65"/>
      <c r="M44" s="67">
        <f t="shared" si="20"/>
        <v>0</v>
      </c>
      <c r="N44" s="65" t="str">
        <f t="shared" si="2"/>
        <v/>
      </c>
      <c r="O44" s="65" t="str">
        <f t="shared" si="21"/>
        <v/>
      </c>
      <c r="P44" s="65" t="str">
        <f t="shared" si="21"/>
        <v/>
      </c>
      <c r="Q44" s="38"/>
      <c r="R44" s="3" t="str">
        <f t="shared" si="22"/>
        <v>Coimbatore</v>
      </c>
      <c r="S44" s="3" t="str">
        <f t="shared" si="6"/>
        <v>Mettupalayam</v>
      </c>
      <c r="T44" s="3" t="str">
        <f t="shared" si="6"/>
        <v>Karamadai</v>
      </c>
      <c r="U44" s="3" t="str">
        <f t="shared" si="7"/>
        <v>Coimbatore_Mettupalayam_Karamadai</v>
      </c>
      <c r="V44" s="3">
        <f>IF(_xlfn.XLOOKUP($U44,GCA!$H$3:$H$593,GCA!E$3:E$593,"",0,1)="","",_xlfn.XLOOKUP($U44,GCA!$H$3:$H$593,GCA!E$3:E$593,"",0,1))</f>
        <v>12560.31</v>
      </c>
      <c r="W44" s="3">
        <f>IF(_xlfn.XLOOKUP($U44,GCA!$H$3:$H$593,GCA!F$3:F$593,"",0,1)="","",_xlfn.XLOOKUP($U44,GCA!$H$3:$H$593,GCA!F$3:F$593,"",0,1))</f>
        <v>13043.186</v>
      </c>
      <c r="X44" s="3">
        <f>IF(_xlfn.XLOOKUP($U44,GCA!$H$3:$H$593,GCA!G$3:G$593,"",0,1)="","",_xlfn.XLOOKUP($U44,GCA!$H$3:$H$593,GCA!G$3:G$593,"",0,1))</f>
        <v>13146.441999999999</v>
      </c>
    </row>
    <row r="45" spans="1:24" ht="13.95" customHeight="1">
      <c r="A45" s="49"/>
      <c r="B45" s="49"/>
      <c r="C45" s="48"/>
      <c r="D45" s="49"/>
      <c r="E45" s="50">
        <v>3</v>
      </c>
      <c r="F45" s="26" t="s">
        <v>596</v>
      </c>
      <c r="G45" s="26" t="s">
        <v>591</v>
      </c>
      <c r="H45" s="27">
        <f t="shared" si="18"/>
        <v>362.4</v>
      </c>
      <c r="I45" s="27">
        <f t="shared" si="18"/>
        <v>367.71</v>
      </c>
      <c r="J45" s="27">
        <f t="shared" si="18"/>
        <v>446.39</v>
      </c>
      <c r="K45" s="27">
        <f t="shared" si="19"/>
        <v>392.16666666666669</v>
      </c>
      <c r="L45" s="65">
        <f>SUM(K45:K49)</f>
        <v>41108.675999999999</v>
      </c>
      <c r="M45" s="67">
        <f t="shared" si="20"/>
        <v>1.7254970258470039</v>
      </c>
      <c r="N45" s="65">
        <f t="shared" si="2"/>
        <v>2</v>
      </c>
      <c r="O45" s="65">
        <f t="shared" si="21"/>
        <v>2</v>
      </c>
      <c r="P45" s="65">
        <f t="shared" si="21"/>
        <v>2</v>
      </c>
      <c r="Q45" s="38"/>
      <c r="R45" s="3" t="str">
        <f t="shared" si="22"/>
        <v>Coimbatore</v>
      </c>
      <c r="S45" s="3" t="str">
        <f t="shared" si="6"/>
        <v>Perur</v>
      </c>
      <c r="T45" s="3" t="str">
        <f t="shared" si="6"/>
        <v>Madukkarai</v>
      </c>
      <c r="U45" s="3" t="str">
        <f t="shared" si="7"/>
        <v>Coimbatore_Perur_Madukkarai</v>
      </c>
      <c r="V45" s="3">
        <f>IF(_xlfn.XLOOKUP($U45,GCA!$H$3:$H$593,GCA!E$3:E$593,"",0,1)="","",_xlfn.XLOOKUP($U45,GCA!$H$3:$H$593,GCA!E$3:E$593,"",0,1))</f>
        <v>362.4</v>
      </c>
      <c r="W45" s="3">
        <f>IF(_xlfn.XLOOKUP($U45,GCA!$H$3:$H$593,GCA!F$3:F$593,"",0,1)="","",_xlfn.XLOOKUP($U45,GCA!$H$3:$H$593,GCA!F$3:F$593,"",0,1))</f>
        <v>367.71</v>
      </c>
      <c r="X45" s="3">
        <f>IF(_xlfn.XLOOKUP($U45,GCA!$H$3:$H$593,GCA!G$3:G$593,"",0,1)="","",_xlfn.XLOOKUP($U45,GCA!$H$3:$H$593,GCA!G$3:G$593,"",0,1))</f>
        <v>446.39</v>
      </c>
    </row>
    <row r="46" spans="1:24" ht="13.95" customHeight="1">
      <c r="A46" s="49"/>
      <c r="B46" s="49"/>
      <c r="C46" s="48"/>
      <c r="D46" s="49"/>
      <c r="E46" s="50"/>
      <c r="F46" s="26" t="s">
        <v>596</v>
      </c>
      <c r="G46" s="26" t="s">
        <v>589</v>
      </c>
      <c r="H46" s="27">
        <f t="shared" si="18"/>
        <v>177.5</v>
      </c>
      <c r="I46" s="27">
        <f t="shared" si="18"/>
        <v>182.09</v>
      </c>
      <c r="J46" s="27">
        <f t="shared" si="18"/>
        <v>185.2</v>
      </c>
      <c r="K46" s="27">
        <f t="shared" si="19"/>
        <v>181.59666666666666</v>
      </c>
      <c r="L46" s="65"/>
      <c r="M46" s="67">
        <f t="shared" si="20"/>
        <v>0</v>
      </c>
      <c r="N46" s="65" t="str">
        <f t="shared" si="2"/>
        <v/>
      </c>
      <c r="O46" s="65" t="str">
        <f t="shared" si="21"/>
        <v/>
      </c>
      <c r="P46" s="65" t="str">
        <f t="shared" si="21"/>
        <v/>
      </c>
      <c r="Q46" s="38"/>
      <c r="R46" s="3" t="str">
        <f t="shared" si="22"/>
        <v>Coimbatore</v>
      </c>
      <c r="S46" s="3" t="str">
        <f t="shared" si="6"/>
        <v>Perur</v>
      </c>
      <c r="T46" s="3" t="str">
        <f t="shared" si="6"/>
        <v>Periyanaickenpalayam</v>
      </c>
      <c r="U46" s="3" t="str">
        <f t="shared" si="7"/>
        <v>Coimbatore_Perur_Periyanaickenpalayam</v>
      </c>
      <c r="V46" s="3">
        <f>IF(_xlfn.XLOOKUP($U46,GCA!$H$3:$H$593,GCA!E$3:E$593,"",0,1)="","",_xlfn.XLOOKUP($U46,GCA!$H$3:$H$593,GCA!E$3:E$593,"",0,1))</f>
        <v>177.5</v>
      </c>
      <c r="W46" s="3">
        <f>IF(_xlfn.XLOOKUP($U46,GCA!$H$3:$H$593,GCA!F$3:F$593,"",0,1)="","",_xlfn.XLOOKUP($U46,GCA!$H$3:$H$593,GCA!F$3:F$593,"",0,1))</f>
        <v>182.09</v>
      </c>
      <c r="X46" s="3">
        <f>IF(_xlfn.XLOOKUP($U46,GCA!$H$3:$H$593,GCA!G$3:G$593,"",0,1)="","",_xlfn.XLOOKUP($U46,GCA!$H$3:$H$593,GCA!G$3:G$593,"",0,1))</f>
        <v>185.2</v>
      </c>
    </row>
    <row r="47" spans="1:24" ht="13.95" customHeight="1">
      <c r="A47" s="49"/>
      <c r="B47" s="49"/>
      <c r="C47" s="48"/>
      <c r="D47" s="49"/>
      <c r="E47" s="50"/>
      <c r="F47" s="26" t="s">
        <v>596</v>
      </c>
      <c r="G47" s="26" t="s">
        <v>592</v>
      </c>
      <c r="H47" s="27">
        <f t="shared" si="18"/>
        <v>11569.581</v>
      </c>
      <c r="I47" s="27">
        <f t="shared" si="18"/>
        <v>12032.775</v>
      </c>
      <c r="J47" s="27">
        <f t="shared" si="18"/>
        <v>12448.233</v>
      </c>
      <c r="K47" s="27">
        <f t="shared" si="19"/>
        <v>12016.862999999999</v>
      </c>
      <c r="L47" s="65"/>
      <c r="M47" s="67">
        <f t="shared" si="20"/>
        <v>0</v>
      </c>
      <c r="N47" s="65" t="str">
        <f t="shared" si="2"/>
        <v/>
      </c>
      <c r="O47" s="65" t="str">
        <f t="shared" si="21"/>
        <v/>
      </c>
      <c r="P47" s="65" t="str">
        <f t="shared" si="21"/>
        <v/>
      </c>
      <c r="Q47" s="38"/>
      <c r="R47" s="3" t="str">
        <f t="shared" si="22"/>
        <v>Coimbatore</v>
      </c>
      <c r="S47" s="3" t="str">
        <f t="shared" si="6"/>
        <v>Perur</v>
      </c>
      <c r="T47" s="3" t="str">
        <f t="shared" si="6"/>
        <v>Thondamuthur</v>
      </c>
      <c r="U47" s="3" t="str">
        <f t="shared" si="7"/>
        <v>Coimbatore_Perur_Thondamuthur</v>
      </c>
      <c r="V47" s="3">
        <f>IF(_xlfn.XLOOKUP($U47,GCA!$H$3:$H$593,GCA!E$3:E$593,"",0,1)="","",_xlfn.XLOOKUP($U47,GCA!$H$3:$H$593,GCA!E$3:E$593,"",0,1))</f>
        <v>11569.581</v>
      </c>
      <c r="W47" s="3">
        <f>IF(_xlfn.XLOOKUP($U47,GCA!$H$3:$H$593,GCA!F$3:F$593,"",0,1)="","",_xlfn.XLOOKUP($U47,GCA!$H$3:$H$593,GCA!F$3:F$593,"",0,1))</f>
        <v>12032.775</v>
      </c>
      <c r="X47" s="3">
        <f>IF(_xlfn.XLOOKUP($U47,GCA!$H$3:$H$593,GCA!G$3:G$593,"",0,1)="","",_xlfn.XLOOKUP($U47,GCA!$H$3:$H$593,GCA!G$3:G$593,"",0,1))</f>
        <v>12448.233</v>
      </c>
    </row>
    <row r="48" spans="1:24" ht="13.95" customHeight="1">
      <c r="A48" s="49"/>
      <c r="B48" s="49"/>
      <c r="C48" s="48"/>
      <c r="D48" s="49"/>
      <c r="E48" s="50"/>
      <c r="F48" s="26" t="s">
        <v>597</v>
      </c>
      <c r="G48" s="26" t="s">
        <v>598</v>
      </c>
      <c r="H48" s="27">
        <f t="shared" si="18"/>
        <v>19554.060000000001</v>
      </c>
      <c r="I48" s="27">
        <f t="shared" si="18"/>
        <v>19760.62</v>
      </c>
      <c r="J48" s="27">
        <f t="shared" si="18"/>
        <v>20524.685000000001</v>
      </c>
      <c r="K48" s="27">
        <f t="shared" si="19"/>
        <v>19946.455000000002</v>
      </c>
      <c r="L48" s="65"/>
      <c r="M48" s="67">
        <f t="shared" si="20"/>
        <v>0</v>
      </c>
      <c r="N48" s="65" t="str">
        <f t="shared" si="2"/>
        <v/>
      </c>
      <c r="O48" s="65" t="str">
        <f t="shared" si="21"/>
        <v/>
      </c>
      <c r="P48" s="65" t="str">
        <f t="shared" si="21"/>
        <v/>
      </c>
      <c r="Q48" s="38"/>
      <c r="R48" s="3" t="str">
        <f t="shared" si="22"/>
        <v>Coimbatore</v>
      </c>
      <c r="S48" s="3" t="str">
        <f t="shared" si="6"/>
        <v>Pollachi</v>
      </c>
      <c r="T48" s="3" t="str">
        <f t="shared" si="6"/>
        <v>Pollachi  North</v>
      </c>
      <c r="U48" s="3" t="str">
        <f t="shared" si="7"/>
        <v>Coimbatore_Pollachi_Pollachi  North</v>
      </c>
      <c r="V48" s="3">
        <f>IF(_xlfn.XLOOKUP($U48,GCA!$H$3:$H$593,GCA!E$3:E$593,"",0,1)="","",_xlfn.XLOOKUP($U48,GCA!$H$3:$H$593,GCA!E$3:E$593,"",0,1))</f>
        <v>19554.060000000001</v>
      </c>
      <c r="W48" s="3">
        <f>IF(_xlfn.XLOOKUP($U48,GCA!$H$3:$H$593,GCA!F$3:F$593,"",0,1)="","",_xlfn.XLOOKUP($U48,GCA!$H$3:$H$593,GCA!F$3:F$593,"",0,1))</f>
        <v>19760.62</v>
      </c>
      <c r="X48" s="3">
        <f>IF(_xlfn.XLOOKUP($U48,GCA!$H$3:$H$593,GCA!G$3:G$593,"",0,1)="","",_xlfn.XLOOKUP($U48,GCA!$H$3:$H$593,GCA!G$3:G$593,"",0,1))</f>
        <v>20524.685000000001</v>
      </c>
    </row>
    <row r="49" spans="1:24" ht="13.95" customHeight="1">
      <c r="A49" s="49"/>
      <c r="B49" s="49"/>
      <c r="C49" s="48"/>
      <c r="D49" s="49"/>
      <c r="E49" s="50"/>
      <c r="F49" s="26" t="s">
        <v>597</v>
      </c>
      <c r="G49" s="26" t="s">
        <v>585</v>
      </c>
      <c r="H49" s="27">
        <f t="shared" si="18"/>
        <v>8666.9449999999997</v>
      </c>
      <c r="I49" s="27">
        <f t="shared" si="18"/>
        <v>8353.4189999999999</v>
      </c>
      <c r="J49" s="27">
        <f t="shared" si="18"/>
        <v>8694.42</v>
      </c>
      <c r="K49" s="27">
        <f t="shared" si="19"/>
        <v>8571.5946666666659</v>
      </c>
      <c r="L49" s="65"/>
      <c r="M49" s="67">
        <f t="shared" si="20"/>
        <v>0</v>
      </c>
      <c r="N49" s="65" t="str">
        <f t="shared" si="2"/>
        <v/>
      </c>
      <c r="O49" s="65" t="str">
        <f t="shared" si="21"/>
        <v/>
      </c>
      <c r="P49" s="65" t="str">
        <f t="shared" si="21"/>
        <v/>
      </c>
      <c r="Q49" s="38"/>
      <c r="R49" s="3" t="str">
        <f t="shared" si="22"/>
        <v>Coimbatore</v>
      </c>
      <c r="S49" s="3" t="str">
        <f t="shared" si="6"/>
        <v>Pollachi</v>
      </c>
      <c r="T49" s="3" t="str">
        <f t="shared" si="6"/>
        <v>Pollachi South</v>
      </c>
      <c r="U49" s="3" t="str">
        <f t="shared" si="7"/>
        <v>Coimbatore_Pollachi_Pollachi South</v>
      </c>
      <c r="V49" s="3">
        <f>IF(_xlfn.XLOOKUP($U49,GCA!$H$3:$H$593,GCA!E$3:E$593,"",0,1)="","",_xlfn.XLOOKUP($U49,GCA!$H$3:$H$593,GCA!E$3:E$593,"",0,1))</f>
        <v>8666.9449999999997</v>
      </c>
      <c r="W49" s="3">
        <f>IF(_xlfn.XLOOKUP($U49,GCA!$H$3:$H$593,GCA!F$3:F$593,"",0,1)="","",_xlfn.XLOOKUP($U49,GCA!$H$3:$H$593,GCA!F$3:F$593,"",0,1))</f>
        <v>8353.4189999999999</v>
      </c>
      <c r="X49" s="3">
        <f>IF(_xlfn.XLOOKUP($U49,GCA!$H$3:$H$593,GCA!G$3:G$593,"",0,1)="","",_xlfn.XLOOKUP($U49,GCA!$H$3:$H$593,GCA!G$3:G$593,"",0,1))</f>
        <v>8694.42</v>
      </c>
    </row>
    <row r="50" spans="1:24" ht="13.95" customHeight="1">
      <c r="A50" s="49"/>
      <c r="B50" s="49"/>
      <c r="C50" s="48"/>
      <c r="D50" s="49"/>
      <c r="E50" s="50">
        <v>4</v>
      </c>
      <c r="F50" s="26" t="s">
        <v>599</v>
      </c>
      <c r="G50" s="26" t="s">
        <v>600</v>
      </c>
      <c r="H50" s="27">
        <f t="shared" si="18"/>
        <v>13505.352999999999</v>
      </c>
      <c r="I50" s="27">
        <f t="shared" si="18"/>
        <v>13585.921</v>
      </c>
      <c r="J50" s="27">
        <f t="shared" si="18"/>
        <v>14024.445</v>
      </c>
      <c r="K50" s="27">
        <f t="shared" si="19"/>
        <v>13705.239666666666</v>
      </c>
      <c r="L50" s="65">
        <f>SUM(K50:K52)</f>
        <v>34728.384999999995</v>
      </c>
      <c r="M50" s="67">
        <f t="shared" si="20"/>
        <v>1.4576904649025839</v>
      </c>
      <c r="N50" s="65">
        <f t="shared" si="2"/>
        <v>2</v>
      </c>
      <c r="O50" s="65">
        <f t="shared" ref="O50:P52" si="23">N50</f>
        <v>2</v>
      </c>
      <c r="P50" s="65">
        <f t="shared" si="23"/>
        <v>2</v>
      </c>
      <c r="Q50" s="38"/>
      <c r="R50" s="3" t="str">
        <f t="shared" si="22"/>
        <v>Coimbatore</v>
      </c>
      <c r="S50" s="3" t="str">
        <f t="shared" si="6"/>
        <v>Sulur</v>
      </c>
      <c r="T50" s="3" t="str">
        <f t="shared" si="6"/>
        <v>Sultanpet</v>
      </c>
      <c r="U50" s="3" t="str">
        <f t="shared" si="7"/>
        <v>Coimbatore_Sulur_Sultanpet</v>
      </c>
      <c r="V50" s="3">
        <f>IF(_xlfn.XLOOKUP($U50,GCA!$H$3:$H$593,GCA!E$3:E$593,"",0,1)="","",_xlfn.XLOOKUP($U50,GCA!$H$3:$H$593,GCA!E$3:E$593,"",0,1))</f>
        <v>13505.352999999999</v>
      </c>
      <c r="W50" s="3">
        <f>IF(_xlfn.XLOOKUP($U50,GCA!$H$3:$H$593,GCA!F$3:F$593,"",0,1)="","",_xlfn.XLOOKUP($U50,GCA!$H$3:$H$593,GCA!F$3:F$593,"",0,1))</f>
        <v>13585.921</v>
      </c>
      <c r="X50" s="3">
        <f>IF(_xlfn.XLOOKUP($U50,GCA!$H$3:$H$593,GCA!G$3:G$593,"",0,1)="","",_xlfn.XLOOKUP($U50,GCA!$H$3:$H$593,GCA!G$3:G$593,"",0,1))</f>
        <v>14024.445</v>
      </c>
    </row>
    <row r="51" spans="1:24" ht="13.95" customHeight="1">
      <c r="A51" s="49"/>
      <c r="B51" s="49"/>
      <c r="C51" s="48"/>
      <c r="D51" s="49"/>
      <c r="E51" s="50"/>
      <c r="F51" s="26" t="s">
        <v>599</v>
      </c>
      <c r="G51" s="26" t="s">
        <v>599</v>
      </c>
      <c r="H51" s="27">
        <f t="shared" si="18"/>
        <v>6555.2879999999996</v>
      </c>
      <c r="I51" s="27">
        <f t="shared" si="18"/>
        <v>6482.4560000000001</v>
      </c>
      <c r="J51" s="27">
        <f t="shared" si="18"/>
        <v>6749.2489999999998</v>
      </c>
      <c r="K51" s="27">
        <f t="shared" si="19"/>
        <v>6595.6643333333332</v>
      </c>
      <c r="L51" s="65"/>
      <c r="M51" s="67">
        <f t="shared" si="20"/>
        <v>0</v>
      </c>
      <c r="N51" s="65" t="str">
        <f t="shared" si="2"/>
        <v/>
      </c>
      <c r="O51" s="65" t="str">
        <f t="shared" si="23"/>
        <v/>
      </c>
      <c r="P51" s="65" t="str">
        <f t="shared" si="23"/>
        <v/>
      </c>
      <c r="Q51" s="38"/>
      <c r="R51" s="3" t="str">
        <f t="shared" si="22"/>
        <v>Coimbatore</v>
      </c>
      <c r="S51" s="3" t="str">
        <f t="shared" si="6"/>
        <v>Sulur</v>
      </c>
      <c r="T51" s="3" t="str">
        <f t="shared" si="6"/>
        <v>Sulur</v>
      </c>
      <c r="U51" s="3" t="str">
        <f t="shared" si="7"/>
        <v>Coimbatore_Sulur_Sulur</v>
      </c>
      <c r="V51" s="3">
        <f>IF(_xlfn.XLOOKUP($U51,GCA!$H$3:$H$593,GCA!E$3:E$593,"",0,1)="","",_xlfn.XLOOKUP($U51,GCA!$H$3:$H$593,GCA!E$3:E$593,"",0,1))</f>
        <v>6555.2879999999996</v>
      </c>
      <c r="W51" s="3">
        <f>IF(_xlfn.XLOOKUP($U51,GCA!$H$3:$H$593,GCA!F$3:F$593,"",0,1)="","",_xlfn.XLOOKUP($U51,GCA!$H$3:$H$593,GCA!F$3:F$593,"",0,1))</f>
        <v>6482.4560000000001</v>
      </c>
      <c r="X51" s="3">
        <f>IF(_xlfn.XLOOKUP($U51,GCA!$H$3:$H$593,GCA!G$3:G$593,"",0,1)="","",_xlfn.XLOOKUP($U51,GCA!$H$3:$H$593,GCA!G$3:G$593,"",0,1))</f>
        <v>6749.2489999999998</v>
      </c>
    </row>
    <row r="52" spans="1:24" ht="13.95" customHeight="1">
      <c r="A52" s="49"/>
      <c r="B52" s="49"/>
      <c r="C52" s="48"/>
      <c r="D52" s="49"/>
      <c r="E52" s="50"/>
      <c r="F52" s="26" t="s">
        <v>601</v>
      </c>
      <c r="G52" s="26" t="s">
        <v>584</v>
      </c>
      <c r="H52" s="27">
        <f t="shared" si="18"/>
        <v>14427.24</v>
      </c>
      <c r="I52" s="27">
        <f t="shared" si="18"/>
        <v>14427.24</v>
      </c>
      <c r="J52" s="27">
        <f t="shared" si="18"/>
        <v>14427.963</v>
      </c>
      <c r="K52" s="27">
        <f t="shared" si="19"/>
        <v>14427.481</v>
      </c>
      <c r="L52" s="65"/>
      <c r="M52" s="67">
        <f t="shared" si="20"/>
        <v>0</v>
      </c>
      <c r="N52" s="65" t="str">
        <f t="shared" si="2"/>
        <v/>
      </c>
      <c r="O52" s="65" t="str">
        <f t="shared" si="23"/>
        <v/>
      </c>
      <c r="P52" s="65" t="str">
        <f t="shared" si="23"/>
        <v/>
      </c>
      <c r="Q52" s="38"/>
      <c r="R52" s="3" t="str">
        <f t="shared" si="22"/>
        <v>Coimbatore</v>
      </c>
      <c r="S52" s="3" t="str">
        <f t="shared" si="6"/>
        <v>Valparai</v>
      </c>
      <c r="T52" s="3" t="str">
        <f t="shared" si="6"/>
        <v>Anaimalai</v>
      </c>
      <c r="U52" s="3" t="str">
        <f t="shared" si="7"/>
        <v>Coimbatore_Valparai_Anaimalai</v>
      </c>
      <c r="V52" s="3">
        <f>IF(_xlfn.XLOOKUP($U52,GCA!$H$3:$H$593,GCA!E$3:E$593,"",0,1)="","",_xlfn.XLOOKUP($U52,GCA!$H$3:$H$593,GCA!E$3:E$593,"",0,1))</f>
        <v>14427.24</v>
      </c>
      <c r="W52" s="3">
        <f>IF(_xlfn.XLOOKUP($U52,GCA!$H$3:$H$593,GCA!F$3:F$593,"",0,1)="","",_xlfn.XLOOKUP($U52,GCA!$H$3:$H$593,GCA!F$3:F$593,"",0,1))</f>
        <v>14427.24</v>
      </c>
      <c r="X52" s="3">
        <f>IF(_xlfn.XLOOKUP($U52,GCA!$H$3:$H$593,GCA!G$3:G$593,"",0,1)="","",_xlfn.XLOOKUP($U52,GCA!$H$3:$H$593,GCA!G$3:G$593,"",0,1))</f>
        <v>14427.963</v>
      </c>
    </row>
    <row r="53" spans="1:24" s="1" customFormat="1" ht="13.2">
      <c r="A53" s="49"/>
      <c r="B53" s="49"/>
      <c r="C53" s="48"/>
      <c r="D53" s="49"/>
      <c r="E53" s="47" t="s">
        <v>564</v>
      </c>
      <c r="F53" s="47"/>
      <c r="G53" s="47"/>
      <c r="H53" s="29">
        <f t="shared" ref="H53:P53" si="24">SUM(H34:H52)</f>
        <v>167865.89300000001</v>
      </c>
      <c r="I53" s="29">
        <f t="shared" si="24"/>
        <v>167492.541</v>
      </c>
      <c r="J53" s="29">
        <f t="shared" si="24"/>
        <v>175077.071</v>
      </c>
      <c r="K53" s="29">
        <f t="shared" si="24"/>
        <v>170145.16833333331</v>
      </c>
      <c r="L53" s="29">
        <f t="shared" si="24"/>
        <v>170145.16833333333</v>
      </c>
      <c r="M53" s="30">
        <f t="shared" si="24"/>
        <v>7.141679336045863</v>
      </c>
      <c r="N53" s="31">
        <f t="shared" si="24"/>
        <v>8</v>
      </c>
      <c r="O53" s="31">
        <f t="shared" si="24"/>
        <v>8</v>
      </c>
      <c r="P53" s="31">
        <f t="shared" si="24"/>
        <v>8</v>
      </c>
      <c r="Q53" s="38"/>
      <c r="R53" s="3" t="str">
        <f t="shared" si="22"/>
        <v>Coimbatore</v>
      </c>
      <c r="S53" s="3">
        <f t="shared" si="6"/>
        <v>0</v>
      </c>
      <c r="T53" s="3">
        <f t="shared" si="6"/>
        <v>0</v>
      </c>
      <c r="U53" s="3" t="str">
        <f t="shared" si="7"/>
        <v>Coimbatore_0_0</v>
      </c>
      <c r="V53" s="3" t="str">
        <f>IF(_xlfn.XLOOKUP($U53,GCA!$H$3:$H$593,GCA!E$3:E$593,"",0,1)="","",_xlfn.XLOOKUP($U53,GCA!$H$3:$H$593,GCA!E$3:E$593,"",0,1))</f>
        <v/>
      </c>
      <c r="W53" s="3" t="str">
        <f>IF(_xlfn.XLOOKUP($U53,GCA!$H$3:$H$593,GCA!F$3:F$593,"",0,1)="","",_xlfn.XLOOKUP($U53,GCA!$H$3:$H$593,GCA!F$3:F$593,"",0,1))</f>
        <v/>
      </c>
      <c r="X53" s="3" t="str">
        <f>IF(_xlfn.XLOOKUP($U53,GCA!$H$3:$H$593,GCA!G$3:G$593,"",0,1)="","",_xlfn.XLOOKUP($U53,GCA!$H$3:$H$593,GCA!G$3:G$593,"",0,1))</f>
        <v/>
      </c>
    </row>
    <row r="54" spans="1:24" ht="13.95" customHeight="1">
      <c r="A54" s="49"/>
      <c r="B54" s="49"/>
      <c r="C54" s="48" t="s">
        <v>470</v>
      </c>
      <c r="D54" s="49" t="s">
        <v>536</v>
      </c>
      <c r="E54" s="50">
        <v>1</v>
      </c>
      <c r="F54" s="26" t="s">
        <v>602</v>
      </c>
      <c r="G54" s="26" t="s">
        <v>602</v>
      </c>
      <c r="H54" s="27">
        <f t="shared" ref="H54:J71" si="25">V54</f>
        <v>15500.834999999999</v>
      </c>
      <c r="I54" s="27">
        <f t="shared" si="25"/>
        <v>15963.215</v>
      </c>
      <c r="J54" s="27">
        <f t="shared" si="25"/>
        <v>15941.84</v>
      </c>
      <c r="K54" s="27">
        <f t="shared" ref="K54:K71" si="26">IFERROR(AVERAGE(H54:J54),"")</f>
        <v>15801.963333333333</v>
      </c>
      <c r="L54" s="65">
        <f>SUM(K54:K59)</f>
        <v>72668.191999999995</v>
      </c>
      <c r="M54" s="67">
        <f t="shared" ref="M54:M71" si="27">L54*$L$643/$L$642</f>
        <v>3.0501772708437276</v>
      </c>
      <c r="N54" s="65">
        <f t="shared" si="2"/>
        <v>3</v>
      </c>
      <c r="O54" s="65">
        <f t="shared" ref="O54:P69" si="28">N54</f>
        <v>3</v>
      </c>
      <c r="P54" s="65">
        <f t="shared" si="28"/>
        <v>3</v>
      </c>
      <c r="Q54" s="38"/>
      <c r="R54" s="3" t="str">
        <f t="shared" si="15"/>
        <v>Thiruppur</v>
      </c>
      <c r="S54" s="3" t="str">
        <f t="shared" si="6"/>
        <v>Avinashi</v>
      </c>
      <c r="T54" s="3" t="str">
        <f t="shared" si="6"/>
        <v>Avinashi</v>
      </c>
      <c r="U54" s="3" t="str">
        <f t="shared" si="7"/>
        <v>Thiruppur_Avinashi_Avinashi</v>
      </c>
      <c r="V54" s="3">
        <f>IF(_xlfn.XLOOKUP($U54,GCA!$H$3:$H$593,GCA!E$3:E$593,"",0,1)="","",_xlfn.XLOOKUP($U54,GCA!$H$3:$H$593,GCA!E$3:E$593,"",0,1))</f>
        <v>15500.834999999999</v>
      </c>
      <c r="W54" s="3">
        <f>IF(_xlfn.XLOOKUP($U54,GCA!$H$3:$H$593,GCA!F$3:F$593,"",0,1)="","",_xlfn.XLOOKUP($U54,GCA!$H$3:$H$593,GCA!F$3:F$593,"",0,1))</f>
        <v>15963.215</v>
      </c>
      <c r="X54" s="3">
        <f>IF(_xlfn.XLOOKUP($U54,GCA!$H$3:$H$593,GCA!G$3:G$593,"",0,1)="","",_xlfn.XLOOKUP($U54,GCA!$H$3:$H$593,GCA!G$3:G$593,"",0,1))</f>
        <v>15941.84</v>
      </c>
    </row>
    <row r="55" spans="1:24" ht="13.95" customHeight="1">
      <c r="A55" s="49"/>
      <c r="B55" s="49"/>
      <c r="C55" s="48"/>
      <c r="D55" s="49"/>
      <c r="E55" s="50"/>
      <c r="F55" s="26" t="s">
        <v>602</v>
      </c>
      <c r="G55" s="26" t="s">
        <v>470</v>
      </c>
      <c r="H55" s="27">
        <f t="shared" si="25"/>
        <v>2957.84</v>
      </c>
      <c r="I55" s="27">
        <f t="shared" si="25"/>
        <v>2945.9450000000002</v>
      </c>
      <c r="J55" s="27">
        <f t="shared" si="25"/>
        <v>3211.79</v>
      </c>
      <c r="K55" s="27">
        <f t="shared" si="26"/>
        <v>3038.5250000000001</v>
      </c>
      <c r="L55" s="65"/>
      <c r="M55" s="67">
        <f t="shared" si="27"/>
        <v>0</v>
      </c>
      <c r="N55" s="65" t="str">
        <f t="shared" si="2"/>
        <v/>
      </c>
      <c r="O55" s="65" t="str">
        <f t="shared" si="28"/>
        <v/>
      </c>
      <c r="P55" s="65" t="str">
        <f t="shared" si="28"/>
        <v/>
      </c>
      <c r="Q55" s="38"/>
      <c r="R55" s="3" t="str">
        <f t="shared" ref="R55:R72" si="29">R54</f>
        <v>Thiruppur</v>
      </c>
      <c r="S55" s="3" t="str">
        <f t="shared" si="6"/>
        <v>Avinashi</v>
      </c>
      <c r="T55" s="3" t="str">
        <f t="shared" si="6"/>
        <v>Thiruppur</v>
      </c>
      <c r="U55" s="3" t="str">
        <f t="shared" si="7"/>
        <v>Thiruppur_Avinashi_Thiruppur</v>
      </c>
      <c r="V55" s="3">
        <f>IF(_xlfn.XLOOKUP($U55,GCA!$H$3:$H$593,GCA!E$3:E$593,"",0,1)="","",_xlfn.XLOOKUP($U55,GCA!$H$3:$H$593,GCA!E$3:E$593,"",0,1))</f>
        <v>2957.84</v>
      </c>
      <c r="W55" s="3">
        <f>IF(_xlfn.XLOOKUP($U55,GCA!$H$3:$H$593,GCA!F$3:F$593,"",0,1)="","",_xlfn.XLOOKUP($U55,GCA!$H$3:$H$593,GCA!F$3:F$593,"",0,1))</f>
        <v>2945.9450000000002</v>
      </c>
      <c r="X55" s="3">
        <f>IF(_xlfn.XLOOKUP($U55,GCA!$H$3:$H$593,GCA!G$3:G$593,"",0,1)="","",_xlfn.XLOOKUP($U55,GCA!$H$3:$H$593,GCA!G$3:G$593,"",0,1))</f>
        <v>3211.79</v>
      </c>
    </row>
    <row r="56" spans="1:24" ht="13.95" customHeight="1">
      <c r="A56" s="49"/>
      <c r="B56" s="49"/>
      <c r="C56" s="48"/>
      <c r="D56" s="49"/>
      <c r="E56" s="50"/>
      <c r="F56" s="26" t="s">
        <v>603</v>
      </c>
      <c r="G56" s="26" t="s">
        <v>603</v>
      </c>
      <c r="H56" s="27">
        <f t="shared" si="25"/>
        <v>20431.805</v>
      </c>
      <c r="I56" s="27">
        <f t="shared" si="25"/>
        <v>19617.547999999999</v>
      </c>
      <c r="J56" s="27">
        <f t="shared" si="25"/>
        <v>20677.282999999999</v>
      </c>
      <c r="K56" s="27">
        <f t="shared" si="26"/>
        <v>20242.212</v>
      </c>
      <c r="L56" s="65"/>
      <c r="M56" s="67">
        <f t="shared" si="27"/>
        <v>0</v>
      </c>
      <c r="N56" s="65" t="str">
        <f t="shared" si="2"/>
        <v/>
      </c>
      <c r="O56" s="65" t="str">
        <f t="shared" si="28"/>
        <v/>
      </c>
      <c r="P56" s="65" t="str">
        <f t="shared" si="28"/>
        <v/>
      </c>
      <c r="Q56" s="38"/>
      <c r="R56" s="3" t="str">
        <f t="shared" si="29"/>
        <v>Thiruppur</v>
      </c>
      <c r="S56" s="3" t="str">
        <f t="shared" si="6"/>
        <v>Dharapuram</v>
      </c>
      <c r="T56" s="3" t="str">
        <f t="shared" si="6"/>
        <v>Dharapuram</v>
      </c>
      <c r="U56" s="3" t="str">
        <f t="shared" si="7"/>
        <v>Thiruppur_Dharapuram_Dharapuram</v>
      </c>
      <c r="V56" s="3">
        <f>IF(_xlfn.XLOOKUP($U56,GCA!$H$3:$H$593,GCA!E$3:E$593,"",0,1)="","",_xlfn.XLOOKUP($U56,GCA!$H$3:$H$593,GCA!E$3:E$593,"",0,1))</f>
        <v>20431.805</v>
      </c>
      <c r="W56" s="3">
        <f>IF(_xlfn.XLOOKUP($U56,GCA!$H$3:$H$593,GCA!F$3:F$593,"",0,1)="","",_xlfn.XLOOKUP($U56,GCA!$H$3:$H$593,GCA!F$3:F$593,"",0,1))</f>
        <v>19617.547999999999</v>
      </c>
      <c r="X56" s="3">
        <f>IF(_xlfn.XLOOKUP($U56,GCA!$H$3:$H$593,GCA!G$3:G$593,"",0,1)="","",_xlfn.XLOOKUP($U56,GCA!$H$3:$H$593,GCA!G$3:G$593,"",0,1))</f>
        <v>20677.282999999999</v>
      </c>
    </row>
    <row r="57" spans="1:24" ht="13.95" customHeight="1">
      <c r="A57" s="49"/>
      <c r="B57" s="49"/>
      <c r="C57" s="48"/>
      <c r="D57" s="49"/>
      <c r="E57" s="50"/>
      <c r="F57" s="26" t="s">
        <v>603</v>
      </c>
      <c r="G57" s="26" t="s">
        <v>604</v>
      </c>
      <c r="H57" s="27">
        <f t="shared" si="25"/>
        <v>17837.400000000001</v>
      </c>
      <c r="I57" s="27">
        <f t="shared" si="25"/>
        <v>18063.974999999999</v>
      </c>
      <c r="J57" s="27">
        <f t="shared" si="25"/>
        <v>17031.02</v>
      </c>
      <c r="K57" s="27">
        <f t="shared" si="26"/>
        <v>17644.131666666668</v>
      </c>
      <c r="L57" s="65"/>
      <c r="M57" s="67">
        <f t="shared" si="27"/>
        <v>0</v>
      </c>
      <c r="N57" s="65" t="str">
        <f t="shared" si="2"/>
        <v/>
      </c>
      <c r="O57" s="65" t="str">
        <f t="shared" si="28"/>
        <v/>
      </c>
      <c r="P57" s="65" t="str">
        <f t="shared" si="28"/>
        <v/>
      </c>
      <c r="Q57" s="38"/>
      <c r="R57" s="3" t="str">
        <f t="shared" si="29"/>
        <v>Thiruppur</v>
      </c>
      <c r="S57" s="3" t="str">
        <f t="shared" si="6"/>
        <v>Dharapuram</v>
      </c>
      <c r="T57" s="3" t="str">
        <f t="shared" si="6"/>
        <v>Kundadam</v>
      </c>
      <c r="U57" s="3" t="str">
        <f t="shared" si="7"/>
        <v>Thiruppur_Dharapuram_Kundadam</v>
      </c>
      <c r="V57" s="3">
        <f>IF(_xlfn.XLOOKUP($U57,GCA!$H$3:$H$593,GCA!E$3:E$593,"",0,1)="","",_xlfn.XLOOKUP($U57,GCA!$H$3:$H$593,GCA!E$3:E$593,"",0,1))</f>
        <v>17837.400000000001</v>
      </c>
      <c r="W57" s="3">
        <f>IF(_xlfn.XLOOKUP($U57,GCA!$H$3:$H$593,GCA!F$3:F$593,"",0,1)="","",_xlfn.XLOOKUP($U57,GCA!$H$3:$H$593,GCA!F$3:F$593,"",0,1))</f>
        <v>18063.974999999999</v>
      </c>
      <c r="X57" s="3">
        <f>IF(_xlfn.XLOOKUP($U57,GCA!$H$3:$H$593,GCA!G$3:G$593,"",0,1)="","",_xlfn.XLOOKUP($U57,GCA!$H$3:$H$593,GCA!G$3:G$593,"",0,1))</f>
        <v>17031.02</v>
      </c>
    </row>
    <row r="58" spans="1:24" ht="13.95" customHeight="1">
      <c r="A58" s="49"/>
      <c r="B58" s="49"/>
      <c r="C58" s="48"/>
      <c r="D58" s="49"/>
      <c r="E58" s="50"/>
      <c r="F58" s="26" t="s">
        <v>603</v>
      </c>
      <c r="G58" s="26" t="s">
        <v>605</v>
      </c>
      <c r="H58" s="27">
        <f t="shared" si="25"/>
        <v>15770.22</v>
      </c>
      <c r="I58" s="27">
        <f t="shared" si="25"/>
        <v>15358.53</v>
      </c>
      <c r="J58" s="27">
        <f t="shared" si="25"/>
        <v>15312.92</v>
      </c>
      <c r="K58" s="27">
        <f t="shared" si="26"/>
        <v>15480.556666666665</v>
      </c>
      <c r="L58" s="65"/>
      <c r="M58" s="67">
        <f t="shared" si="27"/>
        <v>0</v>
      </c>
      <c r="N58" s="65" t="str">
        <f t="shared" si="2"/>
        <v/>
      </c>
      <c r="O58" s="65" t="str">
        <f t="shared" si="28"/>
        <v/>
      </c>
      <c r="P58" s="65" t="str">
        <f t="shared" si="28"/>
        <v/>
      </c>
      <c r="Q58" s="38"/>
      <c r="R58" s="3" t="str">
        <f t="shared" si="29"/>
        <v>Thiruppur</v>
      </c>
      <c r="S58" s="3" t="str">
        <f t="shared" si="6"/>
        <v>Dharapuram</v>
      </c>
      <c r="T58" s="3" t="str">
        <f t="shared" si="6"/>
        <v>Mulanur</v>
      </c>
      <c r="U58" s="3" t="str">
        <f t="shared" si="7"/>
        <v>Thiruppur_Dharapuram_Mulanur</v>
      </c>
      <c r="V58" s="3">
        <f>IF(_xlfn.XLOOKUP($U58,GCA!$H$3:$H$593,GCA!E$3:E$593,"",0,1)="","",_xlfn.XLOOKUP($U58,GCA!$H$3:$H$593,GCA!E$3:E$593,"",0,1))</f>
        <v>15770.22</v>
      </c>
      <c r="W58" s="3">
        <f>IF(_xlfn.XLOOKUP($U58,GCA!$H$3:$H$593,GCA!F$3:F$593,"",0,1)="","",_xlfn.XLOOKUP($U58,GCA!$H$3:$H$593,GCA!F$3:F$593,"",0,1))</f>
        <v>15358.53</v>
      </c>
      <c r="X58" s="3">
        <f>IF(_xlfn.XLOOKUP($U58,GCA!$H$3:$H$593,GCA!G$3:G$593,"",0,1)="","",_xlfn.XLOOKUP($U58,GCA!$H$3:$H$593,GCA!G$3:G$593,"",0,1))</f>
        <v>15312.92</v>
      </c>
    </row>
    <row r="59" spans="1:24" ht="13.95" customHeight="1">
      <c r="A59" s="49"/>
      <c r="B59" s="49"/>
      <c r="C59" s="48"/>
      <c r="D59" s="49"/>
      <c r="E59" s="50"/>
      <c r="F59" s="26" t="s">
        <v>603</v>
      </c>
      <c r="G59" s="26" t="s">
        <v>606</v>
      </c>
      <c r="H59" s="27">
        <f t="shared" si="25"/>
        <v>451.4</v>
      </c>
      <c r="I59" s="27">
        <f t="shared" si="25"/>
        <v>442.76</v>
      </c>
      <c r="J59" s="27">
        <f t="shared" si="25"/>
        <v>488.25</v>
      </c>
      <c r="K59" s="27">
        <f t="shared" si="26"/>
        <v>460.80333333333328</v>
      </c>
      <c r="L59" s="65"/>
      <c r="M59" s="67">
        <f t="shared" si="27"/>
        <v>0</v>
      </c>
      <c r="N59" s="65" t="str">
        <f t="shared" si="2"/>
        <v/>
      </c>
      <c r="O59" s="65" t="str">
        <f t="shared" si="28"/>
        <v/>
      </c>
      <c r="P59" s="65" t="str">
        <f t="shared" si="28"/>
        <v/>
      </c>
      <c r="Q59" s="38"/>
      <c r="R59" s="3" t="str">
        <f t="shared" si="29"/>
        <v>Thiruppur</v>
      </c>
      <c r="S59" s="3" t="str">
        <f t="shared" si="6"/>
        <v>Dharapuram</v>
      </c>
      <c r="T59" s="3" t="str">
        <f t="shared" si="6"/>
        <v>Vellakoil</v>
      </c>
      <c r="U59" s="3" t="str">
        <f t="shared" si="7"/>
        <v>Thiruppur_Dharapuram_Vellakoil</v>
      </c>
      <c r="V59" s="3">
        <f>IF(_xlfn.XLOOKUP($U59,GCA!$H$3:$H$593,GCA!E$3:E$593,"",0,1)="","",_xlfn.XLOOKUP($U59,GCA!$H$3:$H$593,GCA!E$3:E$593,"",0,1))</f>
        <v>451.4</v>
      </c>
      <c r="W59" s="3">
        <f>IF(_xlfn.XLOOKUP($U59,GCA!$H$3:$H$593,GCA!F$3:F$593,"",0,1)="","",_xlfn.XLOOKUP($U59,GCA!$H$3:$H$593,GCA!F$3:F$593,"",0,1))</f>
        <v>442.76</v>
      </c>
      <c r="X59" s="3">
        <f>IF(_xlfn.XLOOKUP($U59,GCA!$H$3:$H$593,GCA!G$3:G$593,"",0,1)="","",_xlfn.XLOOKUP($U59,GCA!$H$3:$H$593,GCA!G$3:G$593,"",0,1))</f>
        <v>488.25</v>
      </c>
    </row>
    <row r="60" spans="1:24" ht="13.95" customHeight="1">
      <c r="A60" s="49"/>
      <c r="B60" s="49"/>
      <c r="C60" s="48"/>
      <c r="D60" s="49"/>
      <c r="E60" s="50">
        <v>2</v>
      </c>
      <c r="F60" s="26" t="s">
        <v>607</v>
      </c>
      <c r="G60" s="26" t="s">
        <v>608</v>
      </c>
      <c r="H60" s="27">
        <f t="shared" si="25"/>
        <v>9086.7860000000001</v>
      </c>
      <c r="I60" s="27">
        <f t="shared" si="25"/>
        <v>9192.67</v>
      </c>
      <c r="J60" s="27">
        <f t="shared" si="25"/>
        <v>8977.3150000000005</v>
      </c>
      <c r="K60" s="27">
        <f t="shared" si="26"/>
        <v>9085.5903333333335</v>
      </c>
      <c r="L60" s="65">
        <f>SUM(K60:K65)</f>
        <v>52592.395333333334</v>
      </c>
      <c r="M60" s="67">
        <f t="shared" si="27"/>
        <v>2.2075150688345331</v>
      </c>
      <c r="N60" s="65">
        <f t="shared" si="2"/>
        <v>2</v>
      </c>
      <c r="O60" s="65">
        <f t="shared" si="28"/>
        <v>2</v>
      </c>
      <c r="P60" s="65">
        <f t="shared" si="28"/>
        <v>2</v>
      </c>
      <c r="Q60" s="38"/>
      <c r="R60" s="3" t="str">
        <f t="shared" si="29"/>
        <v>Thiruppur</v>
      </c>
      <c r="S60" s="3" t="str">
        <f t="shared" si="6"/>
        <v>Kangayam</v>
      </c>
      <c r="T60" s="3" t="str">
        <f t="shared" si="6"/>
        <v>Kangeyam</v>
      </c>
      <c r="U60" s="3" t="str">
        <f t="shared" si="7"/>
        <v>Thiruppur_Kangayam_Kangeyam</v>
      </c>
      <c r="V60" s="3">
        <f>IF(_xlfn.XLOOKUP($U60,GCA!$H$3:$H$593,GCA!E$3:E$593,"",0,1)="","",_xlfn.XLOOKUP($U60,GCA!$H$3:$H$593,GCA!E$3:E$593,"",0,1))</f>
        <v>9086.7860000000001</v>
      </c>
      <c r="W60" s="3">
        <f>IF(_xlfn.XLOOKUP($U60,GCA!$H$3:$H$593,GCA!F$3:F$593,"",0,1)="","",_xlfn.XLOOKUP($U60,GCA!$H$3:$H$593,GCA!F$3:F$593,"",0,1))</f>
        <v>9192.67</v>
      </c>
      <c r="X60" s="3">
        <f>IF(_xlfn.XLOOKUP($U60,GCA!$H$3:$H$593,GCA!G$3:G$593,"",0,1)="","",_xlfn.XLOOKUP($U60,GCA!$H$3:$H$593,GCA!G$3:G$593,"",0,1))</f>
        <v>8977.3150000000005</v>
      </c>
    </row>
    <row r="61" spans="1:24" ht="13.95" customHeight="1">
      <c r="A61" s="49"/>
      <c r="B61" s="49"/>
      <c r="C61" s="48"/>
      <c r="D61" s="49"/>
      <c r="E61" s="50"/>
      <c r="F61" s="26" t="s">
        <v>607</v>
      </c>
      <c r="G61" s="26" t="s">
        <v>604</v>
      </c>
      <c r="H61" s="27">
        <f t="shared" si="25"/>
        <v>3946.61</v>
      </c>
      <c r="I61" s="27">
        <f t="shared" si="25"/>
        <v>4001.835</v>
      </c>
      <c r="J61" s="27">
        <f t="shared" si="25"/>
        <v>3872.36</v>
      </c>
      <c r="K61" s="27">
        <f t="shared" si="26"/>
        <v>3940.2683333333334</v>
      </c>
      <c r="L61" s="65"/>
      <c r="M61" s="67">
        <f t="shared" si="27"/>
        <v>0</v>
      </c>
      <c r="N61" s="65" t="str">
        <f t="shared" si="2"/>
        <v/>
      </c>
      <c r="O61" s="65" t="str">
        <f t="shared" si="28"/>
        <v/>
      </c>
      <c r="P61" s="65" t="str">
        <f t="shared" si="28"/>
        <v/>
      </c>
      <c r="Q61" s="38"/>
      <c r="R61" s="3" t="str">
        <f t="shared" si="29"/>
        <v>Thiruppur</v>
      </c>
      <c r="S61" s="3" t="str">
        <f t="shared" si="6"/>
        <v>Kangayam</v>
      </c>
      <c r="T61" s="3" t="str">
        <f t="shared" si="6"/>
        <v>Kundadam</v>
      </c>
      <c r="U61" s="3" t="str">
        <f t="shared" si="7"/>
        <v>Thiruppur_Kangayam_Kundadam</v>
      </c>
      <c r="V61" s="3">
        <f>IF(_xlfn.XLOOKUP($U61,GCA!$H$3:$H$593,GCA!E$3:E$593,"",0,1)="","",_xlfn.XLOOKUP($U61,GCA!$H$3:$H$593,GCA!E$3:E$593,"",0,1))</f>
        <v>3946.61</v>
      </c>
      <c r="W61" s="3">
        <f>IF(_xlfn.XLOOKUP($U61,GCA!$H$3:$H$593,GCA!F$3:F$593,"",0,1)="","",_xlfn.XLOOKUP($U61,GCA!$H$3:$H$593,GCA!F$3:F$593,"",0,1))</f>
        <v>4001.835</v>
      </c>
      <c r="X61" s="3">
        <f>IF(_xlfn.XLOOKUP($U61,GCA!$H$3:$H$593,GCA!G$3:G$593,"",0,1)="","",_xlfn.XLOOKUP($U61,GCA!$H$3:$H$593,GCA!G$3:G$593,"",0,1))</f>
        <v>3872.36</v>
      </c>
    </row>
    <row r="62" spans="1:24" ht="13.95" customHeight="1">
      <c r="A62" s="49"/>
      <c r="B62" s="49"/>
      <c r="C62" s="48"/>
      <c r="D62" s="49"/>
      <c r="E62" s="50"/>
      <c r="F62" s="26" t="s">
        <v>607</v>
      </c>
      <c r="G62" s="26" t="s">
        <v>606</v>
      </c>
      <c r="H62" s="27">
        <f t="shared" si="25"/>
        <v>9618.31</v>
      </c>
      <c r="I62" s="27">
        <f t="shared" si="25"/>
        <v>9360.1049999999996</v>
      </c>
      <c r="J62" s="27">
        <f t="shared" si="25"/>
        <v>8438.0849999999991</v>
      </c>
      <c r="K62" s="27">
        <f t="shared" si="26"/>
        <v>9138.8333333333339</v>
      </c>
      <c r="L62" s="65"/>
      <c r="M62" s="67">
        <f t="shared" si="27"/>
        <v>0</v>
      </c>
      <c r="N62" s="65" t="str">
        <f t="shared" si="2"/>
        <v/>
      </c>
      <c r="O62" s="65" t="str">
        <f t="shared" si="28"/>
        <v/>
      </c>
      <c r="P62" s="65" t="str">
        <f t="shared" si="28"/>
        <v/>
      </c>
      <c r="Q62" s="38"/>
      <c r="R62" s="3" t="str">
        <f t="shared" si="29"/>
        <v>Thiruppur</v>
      </c>
      <c r="S62" s="3" t="str">
        <f t="shared" si="6"/>
        <v>Kangayam</v>
      </c>
      <c r="T62" s="3" t="str">
        <f t="shared" si="6"/>
        <v>Vellakoil</v>
      </c>
      <c r="U62" s="3" t="str">
        <f t="shared" si="7"/>
        <v>Thiruppur_Kangayam_Vellakoil</v>
      </c>
      <c r="V62" s="3">
        <f>IF(_xlfn.XLOOKUP($U62,GCA!$H$3:$H$593,GCA!E$3:E$593,"",0,1)="","",_xlfn.XLOOKUP($U62,GCA!$H$3:$H$593,GCA!E$3:E$593,"",0,1))</f>
        <v>9618.31</v>
      </c>
      <c r="W62" s="3">
        <f>IF(_xlfn.XLOOKUP($U62,GCA!$H$3:$H$593,GCA!F$3:F$593,"",0,1)="","",_xlfn.XLOOKUP($U62,GCA!$H$3:$H$593,GCA!F$3:F$593,"",0,1))</f>
        <v>9360.1049999999996</v>
      </c>
      <c r="X62" s="3">
        <f>IF(_xlfn.XLOOKUP($U62,GCA!$H$3:$H$593,GCA!G$3:G$593,"",0,1)="","",_xlfn.XLOOKUP($U62,GCA!$H$3:$H$593,GCA!G$3:G$593,"",0,1))</f>
        <v>8438.0849999999991</v>
      </c>
    </row>
    <row r="63" spans="1:24" ht="13.95" customHeight="1">
      <c r="A63" s="49"/>
      <c r="B63" s="49"/>
      <c r="C63" s="48"/>
      <c r="D63" s="49"/>
      <c r="E63" s="50"/>
      <c r="F63" s="26" t="s">
        <v>609</v>
      </c>
      <c r="G63" s="26" t="s">
        <v>609</v>
      </c>
      <c r="H63" s="27">
        <f t="shared" si="25"/>
        <v>14813.525</v>
      </c>
      <c r="I63" s="27">
        <f t="shared" si="25"/>
        <v>14374.36</v>
      </c>
      <c r="J63" s="27">
        <f t="shared" si="25"/>
        <v>14691.315000000001</v>
      </c>
      <c r="K63" s="27">
        <f t="shared" si="26"/>
        <v>14626.400000000001</v>
      </c>
      <c r="L63" s="65"/>
      <c r="M63" s="67">
        <f t="shared" si="27"/>
        <v>0</v>
      </c>
      <c r="N63" s="65" t="str">
        <f t="shared" si="2"/>
        <v/>
      </c>
      <c r="O63" s="65" t="str">
        <f t="shared" si="28"/>
        <v/>
      </c>
      <c r="P63" s="65" t="str">
        <f t="shared" si="28"/>
        <v/>
      </c>
      <c r="Q63" s="38"/>
      <c r="R63" s="3" t="str">
        <f t="shared" si="29"/>
        <v>Thiruppur</v>
      </c>
      <c r="S63" s="3" t="str">
        <f t="shared" si="6"/>
        <v>Madathukulam</v>
      </c>
      <c r="T63" s="3" t="str">
        <f t="shared" si="6"/>
        <v>Madathukulam</v>
      </c>
      <c r="U63" s="3" t="str">
        <f t="shared" si="7"/>
        <v>Thiruppur_Madathukulam_Madathukulam</v>
      </c>
      <c r="V63" s="3">
        <f>IF(_xlfn.XLOOKUP($U63,GCA!$H$3:$H$593,GCA!E$3:E$593,"",0,1)="","",_xlfn.XLOOKUP($U63,GCA!$H$3:$H$593,GCA!E$3:E$593,"",0,1))</f>
        <v>14813.525</v>
      </c>
      <c r="W63" s="3">
        <f>IF(_xlfn.XLOOKUP($U63,GCA!$H$3:$H$593,GCA!F$3:F$593,"",0,1)="","",_xlfn.XLOOKUP($U63,GCA!$H$3:$H$593,GCA!F$3:F$593,"",0,1))</f>
        <v>14374.36</v>
      </c>
      <c r="X63" s="3">
        <f>IF(_xlfn.XLOOKUP($U63,GCA!$H$3:$H$593,GCA!G$3:G$593,"",0,1)="","",_xlfn.XLOOKUP($U63,GCA!$H$3:$H$593,GCA!G$3:G$593,"",0,1))</f>
        <v>14691.315000000001</v>
      </c>
    </row>
    <row r="64" spans="1:24" ht="13.95" customHeight="1">
      <c r="A64" s="49"/>
      <c r="B64" s="49"/>
      <c r="C64" s="48"/>
      <c r="D64" s="49"/>
      <c r="E64" s="50"/>
      <c r="F64" s="26" t="s">
        <v>610</v>
      </c>
      <c r="G64" s="26" t="s">
        <v>610</v>
      </c>
      <c r="H64" s="27">
        <f t="shared" si="25"/>
        <v>8234.4</v>
      </c>
      <c r="I64" s="27">
        <f t="shared" si="25"/>
        <v>8070.79</v>
      </c>
      <c r="J64" s="27">
        <f t="shared" si="25"/>
        <v>8197.07</v>
      </c>
      <c r="K64" s="27">
        <f t="shared" si="26"/>
        <v>8167.4199999999992</v>
      </c>
      <c r="L64" s="65"/>
      <c r="M64" s="67">
        <f t="shared" si="27"/>
        <v>0</v>
      </c>
      <c r="N64" s="65" t="str">
        <f t="shared" si="2"/>
        <v/>
      </c>
      <c r="O64" s="65" t="str">
        <f t="shared" si="28"/>
        <v/>
      </c>
      <c r="P64" s="65" t="str">
        <f t="shared" si="28"/>
        <v/>
      </c>
      <c r="Q64" s="38"/>
      <c r="R64" s="3" t="str">
        <f t="shared" si="29"/>
        <v>Thiruppur</v>
      </c>
      <c r="S64" s="3" t="str">
        <f t="shared" si="6"/>
        <v>Palladam</v>
      </c>
      <c r="T64" s="3" t="str">
        <f t="shared" si="6"/>
        <v>Palladam</v>
      </c>
      <c r="U64" s="3" t="str">
        <f t="shared" si="7"/>
        <v>Thiruppur_Palladam_Palladam</v>
      </c>
      <c r="V64" s="3">
        <f>IF(_xlfn.XLOOKUP($U64,GCA!$H$3:$H$593,GCA!E$3:E$593,"",0,1)="","",_xlfn.XLOOKUP($U64,GCA!$H$3:$H$593,GCA!E$3:E$593,"",0,1))</f>
        <v>8234.4</v>
      </c>
      <c r="W64" s="3">
        <f>IF(_xlfn.XLOOKUP($U64,GCA!$H$3:$H$593,GCA!F$3:F$593,"",0,1)="","",_xlfn.XLOOKUP($U64,GCA!$H$3:$H$593,GCA!F$3:F$593,"",0,1))</f>
        <v>8070.79</v>
      </c>
      <c r="X64" s="3">
        <f>IF(_xlfn.XLOOKUP($U64,GCA!$H$3:$H$593,GCA!G$3:G$593,"",0,1)="","",_xlfn.XLOOKUP($U64,GCA!$H$3:$H$593,GCA!G$3:G$593,"",0,1))</f>
        <v>8197.07</v>
      </c>
    </row>
    <row r="65" spans="1:24" ht="13.95" customHeight="1">
      <c r="A65" s="49"/>
      <c r="B65" s="49"/>
      <c r="C65" s="48"/>
      <c r="D65" s="49"/>
      <c r="E65" s="50"/>
      <c r="F65" s="26" t="s">
        <v>610</v>
      </c>
      <c r="G65" s="26" t="s">
        <v>611</v>
      </c>
      <c r="H65" s="27">
        <f t="shared" si="25"/>
        <v>8104.18</v>
      </c>
      <c r="I65" s="27">
        <f t="shared" si="25"/>
        <v>7607.6450000000004</v>
      </c>
      <c r="J65" s="27">
        <f t="shared" si="25"/>
        <v>7189.8249999999998</v>
      </c>
      <c r="K65" s="27">
        <f t="shared" si="26"/>
        <v>7633.8833333333341</v>
      </c>
      <c r="L65" s="65"/>
      <c r="M65" s="67">
        <f t="shared" si="27"/>
        <v>0</v>
      </c>
      <c r="N65" s="65" t="str">
        <f t="shared" si="2"/>
        <v/>
      </c>
      <c r="O65" s="65" t="str">
        <f t="shared" si="28"/>
        <v/>
      </c>
      <c r="P65" s="65" t="str">
        <f t="shared" si="28"/>
        <v/>
      </c>
      <c r="Q65" s="38"/>
      <c r="R65" s="3" t="str">
        <f t="shared" si="29"/>
        <v>Thiruppur</v>
      </c>
      <c r="S65" s="3" t="str">
        <f t="shared" si="6"/>
        <v>Palladam</v>
      </c>
      <c r="T65" s="3" t="str">
        <f t="shared" si="6"/>
        <v>Pongalur</v>
      </c>
      <c r="U65" s="3" t="str">
        <f t="shared" si="7"/>
        <v>Thiruppur_Palladam_Pongalur</v>
      </c>
      <c r="V65" s="3">
        <f>IF(_xlfn.XLOOKUP($U65,GCA!$H$3:$H$593,GCA!E$3:E$593,"",0,1)="","",_xlfn.XLOOKUP($U65,GCA!$H$3:$H$593,GCA!E$3:E$593,"",0,1))</f>
        <v>8104.18</v>
      </c>
      <c r="W65" s="3">
        <f>IF(_xlfn.XLOOKUP($U65,GCA!$H$3:$H$593,GCA!F$3:F$593,"",0,1)="","",_xlfn.XLOOKUP($U65,GCA!$H$3:$H$593,GCA!F$3:F$593,"",0,1))</f>
        <v>7607.6450000000004</v>
      </c>
      <c r="X65" s="3">
        <f>IF(_xlfn.XLOOKUP($U65,GCA!$H$3:$H$593,GCA!G$3:G$593,"",0,1)="","",_xlfn.XLOOKUP($U65,GCA!$H$3:$H$593,GCA!G$3:G$593,"",0,1))</f>
        <v>7189.8249999999998</v>
      </c>
    </row>
    <row r="66" spans="1:24" ht="13.95" customHeight="1">
      <c r="A66" s="49"/>
      <c r="B66" s="49"/>
      <c r="C66" s="48"/>
      <c r="D66" s="49"/>
      <c r="E66" s="50">
        <v>3</v>
      </c>
      <c r="F66" s="26" t="s">
        <v>612</v>
      </c>
      <c r="G66" s="26" t="s">
        <v>470</v>
      </c>
      <c r="H66" s="27">
        <f t="shared" si="25"/>
        <v>1077.0450000000001</v>
      </c>
      <c r="I66" s="27">
        <f t="shared" si="25"/>
        <v>1095.855</v>
      </c>
      <c r="J66" s="27">
        <f t="shared" si="25"/>
        <v>1092.78</v>
      </c>
      <c r="K66" s="27">
        <f t="shared" si="26"/>
        <v>1088.5600000000002</v>
      </c>
      <c r="L66" s="65">
        <f>SUM(K66:K71)</f>
        <v>67791.972666666668</v>
      </c>
      <c r="M66" s="67">
        <f t="shared" si="27"/>
        <v>2.8455026674328976</v>
      </c>
      <c r="N66" s="65">
        <f t="shared" si="2"/>
        <v>3</v>
      </c>
      <c r="O66" s="65">
        <f t="shared" si="28"/>
        <v>3</v>
      </c>
      <c r="P66" s="65">
        <f t="shared" si="28"/>
        <v>3</v>
      </c>
      <c r="Q66" s="38"/>
      <c r="R66" s="3" t="str">
        <f t="shared" si="29"/>
        <v>Thiruppur</v>
      </c>
      <c r="S66" s="3" t="str">
        <f t="shared" si="6"/>
        <v>Thiruppur North</v>
      </c>
      <c r="T66" s="3" t="str">
        <f t="shared" si="6"/>
        <v>Thiruppur</v>
      </c>
      <c r="U66" s="3" t="str">
        <f t="shared" si="7"/>
        <v>Thiruppur_Thiruppur North_Thiruppur</v>
      </c>
      <c r="V66" s="3">
        <f>IF(_xlfn.XLOOKUP($U66,GCA!$H$3:$H$593,GCA!E$3:E$593,"",0,1)="","",_xlfn.XLOOKUP($U66,GCA!$H$3:$H$593,GCA!E$3:E$593,"",0,1))</f>
        <v>1077.0450000000001</v>
      </c>
      <c r="W66" s="3">
        <f>IF(_xlfn.XLOOKUP($U66,GCA!$H$3:$H$593,GCA!F$3:F$593,"",0,1)="","",_xlfn.XLOOKUP($U66,GCA!$H$3:$H$593,GCA!F$3:F$593,"",0,1))</f>
        <v>1095.855</v>
      </c>
      <c r="X66" s="3">
        <f>IF(_xlfn.XLOOKUP($U66,GCA!$H$3:$H$593,GCA!G$3:G$593,"",0,1)="","",_xlfn.XLOOKUP($U66,GCA!$H$3:$H$593,GCA!G$3:G$593,"",0,1))</f>
        <v>1092.78</v>
      </c>
    </row>
    <row r="67" spans="1:24" ht="13.95" customHeight="1">
      <c r="A67" s="49"/>
      <c r="B67" s="49"/>
      <c r="C67" s="48"/>
      <c r="D67" s="49"/>
      <c r="E67" s="50"/>
      <c r="F67" s="26" t="s">
        <v>613</v>
      </c>
      <c r="G67" s="26" t="s">
        <v>611</v>
      </c>
      <c r="H67" s="27">
        <f t="shared" si="25"/>
        <v>5806.88</v>
      </c>
      <c r="I67" s="27">
        <f t="shared" si="25"/>
        <v>5769.01</v>
      </c>
      <c r="J67" s="27">
        <f t="shared" si="25"/>
        <v>5766.6750000000002</v>
      </c>
      <c r="K67" s="27">
        <f t="shared" si="26"/>
        <v>5780.8549999999996</v>
      </c>
      <c r="L67" s="65"/>
      <c r="M67" s="67">
        <f t="shared" si="27"/>
        <v>0</v>
      </c>
      <c r="N67" s="65" t="str">
        <f t="shared" si="2"/>
        <v/>
      </c>
      <c r="O67" s="65" t="str">
        <f t="shared" si="28"/>
        <v/>
      </c>
      <c r="P67" s="65" t="str">
        <f t="shared" si="28"/>
        <v/>
      </c>
      <c r="Q67" s="38"/>
      <c r="R67" s="3" t="str">
        <f t="shared" si="29"/>
        <v>Thiruppur</v>
      </c>
      <c r="S67" s="3" t="str">
        <f t="shared" si="6"/>
        <v>Thiruppur South</v>
      </c>
      <c r="T67" s="3" t="str">
        <f t="shared" si="6"/>
        <v>Pongalur</v>
      </c>
      <c r="U67" s="3" t="str">
        <f t="shared" si="7"/>
        <v>Thiruppur_Thiruppur South_Pongalur</v>
      </c>
      <c r="V67" s="3">
        <f>IF(_xlfn.XLOOKUP($U67,GCA!$H$3:$H$593,GCA!E$3:E$593,"",0,1)="","",_xlfn.XLOOKUP($U67,GCA!$H$3:$H$593,GCA!E$3:E$593,"",0,1))</f>
        <v>5806.88</v>
      </c>
      <c r="W67" s="3">
        <f>IF(_xlfn.XLOOKUP($U67,GCA!$H$3:$H$593,GCA!F$3:F$593,"",0,1)="","",_xlfn.XLOOKUP($U67,GCA!$H$3:$H$593,GCA!F$3:F$593,"",0,1))</f>
        <v>5769.01</v>
      </c>
      <c r="X67" s="3">
        <f>IF(_xlfn.XLOOKUP($U67,GCA!$H$3:$H$593,GCA!G$3:G$593,"",0,1)="","",_xlfn.XLOOKUP($U67,GCA!$H$3:$H$593,GCA!G$3:G$593,"",0,1))</f>
        <v>5766.6750000000002</v>
      </c>
    </row>
    <row r="68" spans="1:24" ht="13.95" customHeight="1">
      <c r="A68" s="49"/>
      <c r="B68" s="49"/>
      <c r="C68" s="48"/>
      <c r="D68" s="49"/>
      <c r="E68" s="50"/>
      <c r="F68" s="26" t="s">
        <v>613</v>
      </c>
      <c r="G68" s="26" t="s">
        <v>470</v>
      </c>
      <c r="H68" s="27">
        <f t="shared" si="25"/>
        <v>1878.11</v>
      </c>
      <c r="I68" s="27">
        <f t="shared" si="25"/>
        <v>1824.9849999999999</v>
      </c>
      <c r="J68" s="27">
        <f t="shared" si="25"/>
        <v>1875.7249999999999</v>
      </c>
      <c r="K68" s="27">
        <f t="shared" si="26"/>
        <v>1859.6066666666666</v>
      </c>
      <c r="L68" s="65"/>
      <c r="M68" s="67">
        <f t="shared" si="27"/>
        <v>0</v>
      </c>
      <c r="N68" s="65" t="str">
        <f t="shared" si="2"/>
        <v/>
      </c>
      <c r="O68" s="65" t="str">
        <f t="shared" si="28"/>
        <v/>
      </c>
      <c r="P68" s="65" t="str">
        <f t="shared" si="28"/>
        <v/>
      </c>
      <c r="Q68" s="38"/>
      <c r="R68" s="3" t="str">
        <f t="shared" si="29"/>
        <v>Thiruppur</v>
      </c>
      <c r="S68" s="3" t="str">
        <f t="shared" si="6"/>
        <v>Thiruppur South</v>
      </c>
      <c r="T68" s="3" t="str">
        <f t="shared" si="6"/>
        <v>Thiruppur</v>
      </c>
      <c r="U68" s="3" t="str">
        <f t="shared" si="7"/>
        <v>Thiruppur_Thiruppur South_Thiruppur</v>
      </c>
      <c r="V68" s="3">
        <f>IF(_xlfn.XLOOKUP($U68,GCA!$H$3:$H$593,GCA!E$3:E$593,"",0,1)="","",_xlfn.XLOOKUP($U68,GCA!$H$3:$H$593,GCA!E$3:E$593,"",0,1))</f>
        <v>1878.11</v>
      </c>
      <c r="W68" s="3">
        <f>IF(_xlfn.XLOOKUP($U68,GCA!$H$3:$H$593,GCA!F$3:F$593,"",0,1)="","",_xlfn.XLOOKUP($U68,GCA!$H$3:$H$593,GCA!F$3:F$593,"",0,1))</f>
        <v>1824.9849999999999</v>
      </c>
      <c r="X68" s="3">
        <f>IF(_xlfn.XLOOKUP($U68,GCA!$H$3:$H$593,GCA!G$3:G$593,"",0,1)="","",_xlfn.XLOOKUP($U68,GCA!$H$3:$H$593,GCA!G$3:G$593,"",0,1))</f>
        <v>1875.7249999999999</v>
      </c>
    </row>
    <row r="69" spans="1:24" ht="13.95" customHeight="1">
      <c r="A69" s="49"/>
      <c r="B69" s="49"/>
      <c r="C69" s="48"/>
      <c r="D69" s="49"/>
      <c r="E69" s="50"/>
      <c r="F69" s="26" t="s">
        <v>614</v>
      </c>
      <c r="G69" s="26" t="s">
        <v>615</v>
      </c>
      <c r="H69" s="27">
        <f t="shared" si="25"/>
        <v>20445.187000000002</v>
      </c>
      <c r="I69" s="27">
        <f t="shared" si="25"/>
        <v>20028.045999999998</v>
      </c>
      <c r="J69" s="27">
        <f t="shared" si="25"/>
        <v>20324.891</v>
      </c>
      <c r="K69" s="27">
        <f t="shared" si="26"/>
        <v>20266.041333333331</v>
      </c>
      <c r="L69" s="65"/>
      <c r="M69" s="67">
        <f t="shared" si="27"/>
        <v>0</v>
      </c>
      <c r="N69" s="65" t="str">
        <f t="shared" si="2"/>
        <v/>
      </c>
      <c r="O69" s="65" t="str">
        <f t="shared" si="28"/>
        <v/>
      </c>
      <c r="P69" s="65" t="str">
        <f t="shared" si="28"/>
        <v/>
      </c>
      <c r="Q69" s="38"/>
      <c r="R69" s="3" t="str">
        <f t="shared" si="29"/>
        <v>Thiruppur</v>
      </c>
      <c r="S69" s="3" t="str">
        <f t="shared" si="6"/>
        <v>Udumalpettai</v>
      </c>
      <c r="T69" s="3" t="str">
        <f t="shared" si="6"/>
        <v>Gudimangalam</v>
      </c>
      <c r="U69" s="3" t="str">
        <f t="shared" si="7"/>
        <v>Thiruppur_Udumalpettai_Gudimangalam</v>
      </c>
      <c r="V69" s="3">
        <f>IF(_xlfn.XLOOKUP($U69,GCA!$H$3:$H$593,GCA!E$3:E$593,"",0,1)="","",_xlfn.XLOOKUP($U69,GCA!$H$3:$H$593,GCA!E$3:E$593,"",0,1))</f>
        <v>20445.187000000002</v>
      </c>
      <c r="W69" s="3">
        <f>IF(_xlfn.XLOOKUP($U69,GCA!$H$3:$H$593,GCA!F$3:F$593,"",0,1)="","",_xlfn.XLOOKUP($U69,GCA!$H$3:$H$593,GCA!F$3:F$593,"",0,1))</f>
        <v>20028.045999999998</v>
      </c>
      <c r="X69" s="3">
        <f>IF(_xlfn.XLOOKUP($U69,GCA!$H$3:$H$593,GCA!G$3:G$593,"",0,1)="","",_xlfn.XLOOKUP($U69,GCA!$H$3:$H$593,GCA!G$3:G$593,"",0,1))</f>
        <v>20324.891</v>
      </c>
    </row>
    <row r="70" spans="1:24" ht="13.95" customHeight="1">
      <c r="A70" s="49"/>
      <c r="B70" s="49"/>
      <c r="C70" s="48"/>
      <c r="D70" s="49"/>
      <c r="E70" s="50"/>
      <c r="F70" s="26" t="s">
        <v>614</v>
      </c>
      <c r="G70" s="26" t="s">
        <v>614</v>
      </c>
      <c r="H70" s="27">
        <f t="shared" si="25"/>
        <v>28521.531999999999</v>
      </c>
      <c r="I70" s="27">
        <f t="shared" si="25"/>
        <v>28300.472000000002</v>
      </c>
      <c r="J70" s="27">
        <f t="shared" si="25"/>
        <v>27646.87</v>
      </c>
      <c r="K70" s="27">
        <f t="shared" si="26"/>
        <v>28156.291333333331</v>
      </c>
      <c r="L70" s="65"/>
      <c r="M70" s="67">
        <f t="shared" si="27"/>
        <v>0</v>
      </c>
      <c r="N70" s="65" t="str">
        <f t="shared" ref="N70:N144" si="30">IF(M70&gt;=2, ROUND(M70,0), IF(M70&gt;1.1,2,""))</f>
        <v/>
      </c>
      <c r="O70" s="65" t="str">
        <f t="shared" ref="O70:P71" si="31">N70</f>
        <v/>
      </c>
      <c r="P70" s="65" t="str">
        <f t="shared" si="31"/>
        <v/>
      </c>
      <c r="Q70" s="38"/>
      <c r="R70" s="3" t="str">
        <f t="shared" si="29"/>
        <v>Thiruppur</v>
      </c>
      <c r="S70" s="3" t="str">
        <f t="shared" si="6"/>
        <v>Udumalpettai</v>
      </c>
      <c r="T70" s="3" t="str">
        <f t="shared" si="6"/>
        <v>Udumalpettai</v>
      </c>
      <c r="U70" s="3" t="str">
        <f t="shared" si="7"/>
        <v>Thiruppur_Udumalpettai_Udumalpettai</v>
      </c>
      <c r="V70" s="3">
        <f>IF(_xlfn.XLOOKUP($U70,GCA!$H$3:$H$593,GCA!E$3:E$593,"",0,1)="","",_xlfn.XLOOKUP($U70,GCA!$H$3:$H$593,GCA!E$3:E$593,"",0,1))</f>
        <v>28521.531999999999</v>
      </c>
      <c r="W70" s="3">
        <f>IF(_xlfn.XLOOKUP($U70,GCA!$H$3:$H$593,GCA!F$3:F$593,"",0,1)="","",_xlfn.XLOOKUP($U70,GCA!$H$3:$H$593,GCA!F$3:F$593,"",0,1))</f>
        <v>28300.472000000002</v>
      </c>
      <c r="X70" s="3">
        <f>IF(_xlfn.XLOOKUP($U70,GCA!$H$3:$H$593,GCA!G$3:G$593,"",0,1)="","",_xlfn.XLOOKUP($U70,GCA!$H$3:$H$593,GCA!G$3:G$593,"",0,1))</f>
        <v>27646.87</v>
      </c>
    </row>
    <row r="71" spans="1:24" ht="13.95" customHeight="1">
      <c r="A71" s="49"/>
      <c r="B71" s="49"/>
      <c r="C71" s="48"/>
      <c r="D71" s="49"/>
      <c r="E71" s="50"/>
      <c r="F71" s="26" t="s">
        <v>616</v>
      </c>
      <c r="G71" s="26" t="s">
        <v>616</v>
      </c>
      <c r="H71" s="27">
        <f t="shared" si="25"/>
        <v>10490.02</v>
      </c>
      <c r="I71" s="27">
        <f t="shared" si="25"/>
        <v>10921.514999999999</v>
      </c>
      <c r="J71" s="27">
        <f t="shared" si="25"/>
        <v>10510.32</v>
      </c>
      <c r="K71" s="27">
        <f t="shared" si="26"/>
        <v>10640.618333333334</v>
      </c>
      <c r="L71" s="65"/>
      <c r="M71" s="67">
        <f t="shared" si="27"/>
        <v>0</v>
      </c>
      <c r="N71" s="65" t="str">
        <f t="shared" si="30"/>
        <v/>
      </c>
      <c r="O71" s="65" t="str">
        <f t="shared" si="31"/>
        <v/>
      </c>
      <c r="P71" s="65" t="str">
        <f t="shared" si="31"/>
        <v/>
      </c>
      <c r="Q71" s="38"/>
      <c r="R71" s="3" t="str">
        <f t="shared" si="29"/>
        <v>Thiruppur</v>
      </c>
      <c r="S71" s="3" t="str">
        <f t="shared" ref="S71:T145" si="32">F71</f>
        <v>Uthukuli</v>
      </c>
      <c r="T71" s="3" t="str">
        <f t="shared" si="32"/>
        <v>Uthukuli</v>
      </c>
      <c r="U71" s="3" t="str">
        <f t="shared" ref="U71:U145" si="33">CONCATENATE(R71,"_",S71,"_",T71)</f>
        <v>Thiruppur_Uthukuli_Uthukuli</v>
      </c>
      <c r="V71" s="3">
        <f>IF(_xlfn.XLOOKUP($U71,GCA!$H$3:$H$593,GCA!E$3:E$593,"",0,1)="","",_xlfn.XLOOKUP($U71,GCA!$H$3:$H$593,GCA!E$3:E$593,"",0,1))</f>
        <v>10490.02</v>
      </c>
      <c r="W71" s="3">
        <f>IF(_xlfn.XLOOKUP($U71,GCA!$H$3:$H$593,GCA!F$3:F$593,"",0,1)="","",_xlfn.XLOOKUP($U71,GCA!$H$3:$H$593,GCA!F$3:F$593,"",0,1))</f>
        <v>10921.514999999999</v>
      </c>
      <c r="X71" s="3">
        <f>IF(_xlfn.XLOOKUP($U71,GCA!$H$3:$H$593,GCA!G$3:G$593,"",0,1)="","",_xlfn.XLOOKUP($U71,GCA!$H$3:$H$593,GCA!G$3:G$593,"",0,1))</f>
        <v>10510.32</v>
      </c>
    </row>
    <row r="72" spans="1:24" ht="13.2">
      <c r="A72" s="49"/>
      <c r="B72" s="49"/>
      <c r="C72" s="48"/>
      <c r="D72" s="49"/>
      <c r="E72" s="47" t="s">
        <v>564</v>
      </c>
      <c r="F72" s="47"/>
      <c r="G72" s="47"/>
      <c r="H72" s="29">
        <f t="shared" ref="H72:P72" si="34">SUM(H54:H71)</f>
        <v>194972.08499999996</v>
      </c>
      <c r="I72" s="29">
        <f t="shared" si="34"/>
        <v>192939.261</v>
      </c>
      <c r="J72" s="29">
        <f t="shared" si="34"/>
        <v>191246.33400000003</v>
      </c>
      <c r="K72" s="29">
        <f t="shared" si="34"/>
        <v>193052.56</v>
      </c>
      <c r="L72" s="29">
        <f t="shared" si="34"/>
        <v>193052.56</v>
      </c>
      <c r="M72" s="30">
        <f t="shared" si="34"/>
        <v>8.1031950071111591</v>
      </c>
      <c r="N72" s="31">
        <f t="shared" si="34"/>
        <v>8</v>
      </c>
      <c r="O72" s="31">
        <f t="shared" si="34"/>
        <v>8</v>
      </c>
      <c r="P72" s="31">
        <f t="shared" si="34"/>
        <v>8</v>
      </c>
      <c r="Q72" s="38"/>
      <c r="R72" s="3" t="str">
        <f t="shared" si="29"/>
        <v>Thiruppur</v>
      </c>
      <c r="S72" s="3">
        <f t="shared" si="32"/>
        <v>0</v>
      </c>
      <c r="T72" s="3">
        <f t="shared" si="32"/>
        <v>0</v>
      </c>
      <c r="U72" s="3" t="str">
        <f t="shared" si="33"/>
        <v>Thiruppur_0_0</v>
      </c>
      <c r="V72" s="3" t="str">
        <f>IF(_xlfn.XLOOKUP($U72,GCA!$H$3:$H$593,GCA!E$3:E$593,"",0,1)="","",_xlfn.XLOOKUP($U72,GCA!$H$3:$H$593,GCA!E$3:E$593,"",0,1))</f>
        <v/>
      </c>
      <c r="W72" s="3" t="str">
        <f>IF(_xlfn.XLOOKUP($U72,GCA!$H$3:$H$593,GCA!F$3:F$593,"",0,1)="","",_xlfn.XLOOKUP($U72,GCA!$H$3:$H$593,GCA!F$3:F$593,"",0,1))</f>
        <v/>
      </c>
      <c r="X72" s="3" t="str">
        <f>IF(_xlfn.XLOOKUP($U72,GCA!$H$3:$H$593,GCA!G$3:G$593,"",0,1)="","",_xlfn.XLOOKUP($U72,GCA!$H$3:$H$593,GCA!G$3:G$593,"",0,1))</f>
        <v/>
      </c>
    </row>
    <row r="73" spans="1:24" ht="13.2">
      <c r="A73" s="49"/>
      <c r="B73" s="49"/>
      <c r="C73" s="54" t="s">
        <v>521</v>
      </c>
      <c r="D73" s="54"/>
      <c r="E73" s="54"/>
      <c r="F73" s="54"/>
      <c r="G73" s="54"/>
      <c r="H73" s="32">
        <f t="shared" ref="H73:P73" si="35">SUM(H72,H53,H33,H24)</f>
        <v>615038.43200000003</v>
      </c>
      <c r="I73" s="32">
        <f t="shared" si="35"/>
        <v>601624.91100000008</v>
      </c>
      <c r="J73" s="32">
        <f t="shared" si="35"/>
        <v>618961.60100000002</v>
      </c>
      <c r="K73" s="32">
        <f t="shared" si="35"/>
        <v>611874.9813333333</v>
      </c>
      <c r="L73" s="32">
        <f t="shared" si="35"/>
        <v>611874.9813333333</v>
      </c>
      <c r="M73" s="33">
        <f t="shared" si="35"/>
        <v>25.682862189014742</v>
      </c>
      <c r="N73" s="34">
        <f t="shared" si="35"/>
        <v>27</v>
      </c>
      <c r="O73" s="34">
        <f t="shared" si="35"/>
        <v>27</v>
      </c>
      <c r="P73" s="34">
        <f t="shared" si="35"/>
        <v>27</v>
      </c>
      <c r="Q73" s="38"/>
      <c r="R73" s="3" t="str">
        <f t="shared" ref="R73:R119" si="36">C73</f>
        <v>SRO TOTAL</v>
      </c>
      <c r="S73" s="3">
        <f t="shared" si="32"/>
        <v>0</v>
      </c>
      <c r="T73" s="3">
        <f t="shared" si="32"/>
        <v>0</v>
      </c>
      <c r="U73" s="3" t="str">
        <f t="shared" si="33"/>
        <v>SRO TOTAL_0_0</v>
      </c>
      <c r="V73" s="3" t="str">
        <f>IF(_xlfn.XLOOKUP($U73,GCA!$H$3:$H$593,GCA!E$3:E$593,"",0,1)="","",_xlfn.XLOOKUP($U73,GCA!$H$3:$H$593,GCA!E$3:E$593,"",0,1))</f>
        <v/>
      </c>
      <c r="W73" s="3" t="str">
        <f>IF(_xlfn.XLOOKUP($U73,GCA!$H$3:$H$593,GCA!F$3:F$593,"",0,1)="","",_xlfn.XLOOKUP($U73,GCA!$H$3:$H$593,GCA!F$3:F$593,"",0,1))</f>
        <v/>
      </c>
      <c r="X73" s="3" t="str">
        <f>IF(_xlfn.XLOOKUP($U73,GCA!$H$3:$H$593,GCA!G$3:G$593,"",0,1)="","",_xlfn.XLOOKUP($U73,GCA!$H$3:$H$593,GCA!G$3:G$593,"",0,1))</f>
        <v/>
      </c>
    </row>
    <row r="74" spans="1:24" ht="13.2">
      <c r="A74" s="49"/>
      <c r="B74" s="49" t="s">
        <v>231</v>
      </c>
      <c r="C74" s="48" t="s">
        <v>231</v>
      </c>
      <c r="D74" s="49" t="s">
        <v>524</v>
      </c>
      <c r="E74" s="50">
        <v>1</v>
      </c>
      <c r="F74" s="26" t="s">
        <v>231</v>
      </c>
      <c r="G74" s="26" t="s">
        <v>231</v>
      </c>
      <c r="H74" s="27">
        <f t="shared" ref="H74:J88" si="37">V74</f>
        <v>23861</v>
      </c>
      <c r="I74" s="27">
        <f t="shared" si="37"/>
        <v>22863.3</v>
      </c>
      <c r="J74" s="27">
        <f t="shared" si="37"/>
        <v>21136.2</v>
      </c>
      <c r="K74" s="27">
        <f t="shared" ref="K74:K88" si="38">IFERROR(AVERAGE(H74:J74),"")</f>
        <v>22620.166666666668</v>
      </c>
      <c r="L74" s="65">
        <f>SUM(K74:K77)</f>
        <v>69760.846666666665</v>
      </c>
      <c r="M74" s="67">
        <f t="shared" ref="M74:M88" si="39">L74*$L$643/$L$642</f>
        <v>2.9281442546070378</v>
      </c>
      <c r="N74" s="65">
        <f t="shared" si="30"/>
        <v>3</v>
      </c>
      <c r="O74" s="65">
        <f t="shared" ref="O74:P88" si="40">N74</f>
        <v>3</v>
      </c>
      <c r="P74" s="65">
        <f t="shared" si="40"/>
        <v>3</v>
      </c>
      <c r="Q74" s="38"/>
      <c r="R74" s="3" t="str">
        <f t="shared" si="36"/>
        <v>Dharmapuri</v>
      </c>
      <c r="S74" s="3" t="str">
        <f t="shared" si="32"/>
        <v>Dharmapuri</v>
      </c>
      <c r="T74" s="3" t="str">
        <f t="shared" si="32"/>
        <v>Dharmapuri</v>
      </c>
      <c r="U74" s="3" t="str">
        <f t="shared" si="33"/>
        <v>Dharmapuri_Dharmapuri_Dharmapuri</v>
      </c>
      <c r="V74" s="3">
        <f>IF(_xlfn.XLOOKUP($U74,GCA!$H$3:$H$593,GCA!E$3:E$593,"",0,1)="","",_xlfn.XLOOKUP($U74,GCA!$H$3:$H$593,GCA!E$3:E$593,"",0,1))</f>
        <v>23861</v>
      </c>
      <c r="W74" s="3">
        <f>IF(_xlfn.XLOOKUP($U74,GCA!$H$3:$H$593,GCA!F$3:F$593,"",0,1)="","",_xlfn.XLOOKUP($U74,GCA!$H$3:$H$593,GCA!F$3:F$593,"",0,1))</f>
        <v>22863.3</v>
      </c>
      <c r="X74" s="3">
        <f>IF(_xlfn.XLOOKUP($U74,GCA!$H$3:$H$593,GCA!G$3:G$593,"",0,1)="","",_xlfn.XLOOKUP($U74,GCA!$H$3:$H$593,GCA!G$3:G$593,"",0,1))</f>
        <v>21136.2</v>
      </c>
    </row>
    <row r="75" spans="1:24" ht="13.2">
      <c r="A75" s="49"/>
      <c r="B75" s="49"/>
      <c r="C75" s="48"/>
      <c r="D75" s="49"/>
      <c r="E75" s="50"/>
      <c r="F75" s="26" t="s">
        <v>617</v>
      </c>
      <c r="G75" s="26" t="s">
        <v>617</v>
      </c>
      <c r="H75" s="27">
        <f t="shared" si="37"/>
        <v>36126</v>
      </c>
      <c r="I75" s="27">
        <f t="shared" si="37"/>
        <v>35476.5</v>
      </c>
      <c r="J75" s="27">
        <f t="shared" si="37"/>
        <v>33374.019999999997</v>
      </c>
      <c r="K75" s="27">
        <f t="shared" si="38"/>
        <v>34992.173333333332</v>
      </c>
      <c r="L75" s="65"/>
      <c r="M75" s="67">
        <f t="shared" si="39"/>
        <v>0</v>
      </c>
      <c r="N75" s="65" t="str">
        <f t="shared" si="30"/>
        <v/>
      </c>
      <c r="O75" s="65" t="str">
        <f t="shared" si="40"/>
        <v/>
      </c>
      <c r="P75" s="65" t="str">
        <f t="shared" si="40"/>
        <v/>
      </c>
      <c r="Q75" s="38"/>
      <c r="R75" s="3" t="str">
        <f t="shared" ref="R75:R89" si="41">R74</f>
        <v>Dharmapuri</v>
      </c>
      <c r="S75" s="3" t="str">
        <f t="shared" si="32"/>
        <v>Harur</v>
      </c>
      <c r="T75" s="3" t="str">
        <f t="shared" si="32"/>
        <v>Harur</v>
      </c>
      <c r="U75" s="3" t="str">
        <f t="shared" si="33"/>
        <v>Dharmapuri_Harur_Harur</v>
      </c>
      <c r="V75" s="3">
        <f>IF(_xlfn.XLOOKUP($U75,GCA!$H$3:$H$593,GCA!E$3:E$593,"",0,1)="","",_xlfn.XLOOKUP($U75,GCA!$H$3:$H$593,GCA!E$3:E$593,"",0,1))</f>
        <v>36126</v>
      </c>
      <c r="W75" s="3">
        <f>IF(_xlfn.XLOOKUP($U75,GCA!$H$3:$H$593,GCA!F$3:F$593,"",0,1)="","",_xlfn.XLOOKUP($U75,GCA!$H$3:$H$593,GCA!F$3:F$593,"",0,1))</f>
        <v>35476.5</v>
      </c>
      <c r="X75" s="3">
        <f>IF(_xlfn.XLOOKUP($U75,GCA!$H$3:$H$593,GCA!G$3:G$593,"",0,1)="","",_xlfn.XLOOKUP($U75,GCA!$H$3:$H$593,GCA!G$3:G$593,"",0,1))</f>
        <v>33374.019999999997</v>
      </c>
    </row>
    <row r="76" spans="1:24" ht="13.2">
      <c r="A76" s="49"/>
      <c r="B76" s="49"/>
      <c r="C76" s="48"/>
      <c r="D76" s="49"/>
      <c r="E76" s="50"/>
      <c r="F76" s="26" t="s">
        <v>617</v>
      </c>
      <c r="G76" s="26" t="s">
        <v>618</v>
      </c>
      <c r="H76" s="27">
        <f t="shared" si="37"/>
        <v>1734.4</v>
      </c>
      <c r="I76" s="27">
        <f t="shared" si="37"/>
        <v>1902.5</v>
      </c>
      <c r="J76" s="27">
        <f t="shared" si="37"/>
        <v>1680</v>
      </c>
      <c r="K76" s="27">
        <f t="shared" si="38"/>
        <v>1772.3</v>
      </c>
      <c r="L76" s="65"/>
      <c r="M76" s="67">
        <f t="shared" si="39"/>
        <v>0</v>
      </c>
      <c r="N76" s="65" t="str">
        <f t="shared" si="30"/>
        <v/>
      </c>
      <c r="O76" s="65" t="str">
        <f t="shared" si="40"/>
        <v/>
      </c>
      <c r="P76" s="65" t="str">
        <f t="shared" si="40"/>
        <v/>
      </c>
      <c r="Q76" s="38"/>
      <c r="R76" s="3" t="str">
        <f t="shared" si="41"/>
        <v>Dharmapuri</v>
      </c>
      <c r="S76" s="3" t="str">
        <f t="shared" si="32"/>
        <v>Harur</v>
      </c>
      <c r="T76" s="3" t="str">
        <f t="shared" si="32"/>
        <v>Kadathur</v>
      </c>
      <c r="U76" s="3" t="str">
        <f t="shared" si="33"/>
        <v>Dharmapuri_Harur_Kadathur</v>
      </c>
      <c r="V76" s="3">
        <f>IF(_xlfn.XLOOKUP($U76,GCA!$H$3:$H$593,GCA!E$3:E$593,"",0,1)="","",_xlfn.XLOOKUP($U76,GCA!$H$3:$H$593,GCA!E$3:E$593,"",0,1))</f>
        <v>1734.4</v>
      </c>
      <c r="W76" s="3">
        <f>IF(_xlfn.XLOOKUP($U76,GCA!$H$3:$H$593,GCA!F$3:F$593,"",0,1)="","",_xlfn.XLOOKUP($U76,GCA!$H$3:$H$593,GCA!F$3:F$593,"",0,1))</f>
        <v>1902.5</v>
      </c>
      <c r="X76" s="3">
        <f>IF(_xlfn.XLOOKUP($U76,GCA!$H$3:$H$593,GCA!G$3:G$593,"",0,1)="","",_xlfn.XLOOKUP($U76,GCA!$H$3:$H$593,GCA!G$3:G$593,"",0,1))</f>
        <v>1680</v>
      </c>
    </row>
    <row r="77" spans="1:24" ht="13.2">
      <c r="A77" s="49"/>
      <c r="B77" s="49"/>
      <c r="C77" s="48"/>
      <c r="D77" s="49"/>
      <c r="E77" s="50"/>
      <c r="F77" s="26" t="s">
        <v>617</v>
      </c>
      <c r="G77" s="26" t="s">
        <v>620</v>
      </c>
      <c r="H77" s="27">
        <f t="shared" si="37"/>
        <v>10910.2</v>
      </c>
      <c r="I77" s="27">
        <f t="shared" si="37"/>
        <v>9896</v>
      </c>
      <c r="J77" s="27">
        <f t="shared" si="37"/>
        <v>10322.42</v>
      </c>
      <c r="K77" s="27">
        <f t="shared" si="38"/>
        <v>10376.206666666667</v>
      </c>
      <c r="L77" s="65"/>
      <c r="M77" s="67">
        <f t="shared" si="39"/>
        <v>0</v>
      </c>
      <c r="N77" s="65" t="str">
        <f t="shared" si="30"/>
        <v/>
      </c>
      <c r="O77" s="65" t="str">
        <f t="shared" si="40"/>
        <v/>
      </c>
      <c r="P77" s="65" t="str">
        <f t="shared" si="40"/>
        <v/>
      </c>
      <c r="Q77" s="38"/>
      <c r="R77" s="3" t="str">
        <f t="shared" si="41"/>
        <v>Dharmapuri</v>
      </c>
      <c r="S77" s="3" t="str">
        <f t="shared" si="32"/>
        <v>Harur</v>
      </c>
      <c r="T77" s="3" t="str">
        <f t="shared" si="32"/>
        <v>Morappur</v>
      </c>
      <c r="U77" s="3" t="str">
        <f t="shared" si="33"/>
        <v>Dharmapuri_Harur_Morappur</v>
      </c>
      <c r="V77" s="3">
        <f>IF(_xlfn.XLOOKUP($U77,GCA!$H$3:$H$593,GCA!E$3:E$593,"",0,1)="","",_xlfn.XLOOKUP($U77,GCA!$H$3:$H$593,GCA!E$3:E$593,"",0,1))</f>
        <v>10910.2</v>
      </c>
      <c r="W77" s="3">
        <f>IF(_xlfn.XLOOKUP($U77,GCA!$H$3:$H$593,GCA!F$3:F$593,"",0,1)="","",_xlfn.XLOOKUP($U77,GCA!$H$3:$H$593,GCA!F$3:F$593,"",0,1))</f>
        <v>9896</v>
      </c>
      <c r="X77" s="3">
        <f>IF(_xlfn.XLOOKUP($U77,GCA!$H$3:$H$593,GCA!G$3:G$593,"",0,1)="","",_xlfn.XLOOKUP($U77,GCA!$H$3:$H$593,GCA!G$3:G$593,"",0,1))</f>
        <v>10322.42</v>
      </c>
    </row>
    <row r="78" spans="1:24" ht="13.2">
      <c r="A78" s="49"/>
      <c r="B78" s="49"/>
      <c r="C78" s="48"/>
      <c r="D78" s="49"/>
      <c r="E78" s="50">
        <v>2</v>
      </c>
      <c r="F78" s="26" t="s">
        <v>619</v>
      </c>
      <c r="G78" s="26" t="s">
        <v>620</v>
      </c>
      <c r="H78" s="27">
        <f t="shared" si="37"/>
        <v>10549</v>
      </c>
      <c r="I78" s="27">
        <f t="shared" si="37"/>
        <v>9354</v>
      </c>
      <c r="J78" s="27">
        <f t="shared" si="37"/>
        <v>9127</v>
      </c>
      <c r="K78" s="27">
        <f t="shared" si="38"/>
        <v>9676.6666666666661</v>
      </c>
      <c r="L78" s="65">
        <f>SUM(K78:K80)</f>
        <v>58380.485000000001</v>
      </c>
      <c r="M78" s="67">
        <f t="shared" si="39"/>
        <v>2.4504645499895359</v>
      </c>
      <c r="N78" s="65">
        <f t="shared" si="30"/>
        <v>2</v>
      </c>
      <c r="O78" s="65">
        <f t="shared" si="40"/>
        <v>2</v>
      </c>
      <c r="P78" s="65">
        <f t="shared" si="40"/>
        <v>2</v>
      </c>
      <c r="Q78" s="38"/>
      <c r="R78" s="3" t="str">
        <f t="shared" si="41"/>
        <v>Dharmapuri</v>
      </c>
      <c r="S78" s="3" t="str">
        <f t="shared" si="32"/>
        <v>Karimangalam</v>
      </c>
      <c r="T78" s="3" t="str">
        <f t="shared" si="32"/>
        <v>Morappur</v>
      </c>
      <c r="U78" s="3" t="str">
        <f t="shared" si="33"/>
        <v>Dharmapuri_Karimangalam_Morappur</v>
      </c>
      <c r="V78" s="3">
        <f>IF(_xlfn.XLOOKUP($U78,GCA!$H$3:$H$593,GCA!E$3:E$593,"",0,1)="","",_xlfn.XLOOKUP($U78,GCA!$H$3:$H$593,GCA!E$3:E$593,"",0,1))</f>
        <v>10549</v>
      </c>
      <c r="W78" s="3">
        <f>IF(_xlfn.XLOOKUP($U78,GCA!$H$3:$H$593,GCA!F$3:F$593,"",0,1)="","",_xlfn.XLOOKUP($U78,GCA!$H$3:$H$593,GCA!F$3:F$593,"",0,1))</f>
        <v>9354</v>
      </c>
      <c r="X78" s="3">
        <f>IF(_xlfn.XLOOKUP($U78,GCA!$H$3:$H$593,GCA!G$3:G$593,"",0,1)="","",_xlfn.XLOOKUP($U78,GCA!$H$3:$H$593,GCA!G$3:G$593,"",0,1))</f>
        <v>9127</v>
      </c>
    </row>
    <row r="79" spans="1:24" ht="13.2">
      <c r="A79" s="49"/>
      <c r="B79" s="49"/>
      <c r="C79" s="48"/>
      <c r="D79" s="49"/>
      <c r="E79" s="50"/>
      <c r="F79" s="26" t="s">
        <v>619</v>
      </c>
      <c r="G79" s="26" t="s">
        <v>619</v>
      </c>
      <c r="H79" s="27">
        <f t="shared" si="37"/>
        <v>22656.5</v>
      </c>
      <c r="I79" s="27">
        <f t="shared" si="37"/>
        <v>22249</v>
      </c>
      <c r="J79" s="27">
        <f t="shared" si="37"/>
        <v>25022</v>
      </c>
      <c r="K79" s="27">
        <f t="shared" si="38"/>
        <v>23309.166666666668</v>
      </c>
      <c r="L79" s="65"/>
      <c r="M79" s="67">
        <f t="shared" si="39"/>
        <v>0</v>
      </c>
      <c r="N79" s="65" t="str">
        <f t="shared" si="30"/>
        <v/>
      </c>
      <c r="O79" s="65" t="str">
        <f t="shared" si="40"/>
        <v/>
      </c>
      <c r="P79" s="65" t="str">
        <f t="shared" si="40"/>
        <v/>
      </c>
      <c r="Q79" s="38"/>
      <c r="R79" s="3" t="str">
        <f t="shared" si="41"/>
        <v>Dharmapuri</v>
      </c>
      <c r="S79" s="3" t="str">
        <f t="shared" si="32"/>
        <v>Karimangalam</v>
      </c>
      <c r="T79" s="3" t="str">
        <f t="shared" si="32"/>
        <v>Karimangalam</v>
      </c>
      <c r="U79" s="3" t="str">
        <f t="shared" si="33"/>
        <v>Dharmapuri_Karimangalam_Karimangalam</v>
      </c>
      <c r="V79" s="3">
        <f>IF(_xlfn.XLOOKUP($U79,GCA!$H$3:$H$593,GCA!E$3:E$593,"",0,1)="","",_xlfn.XLOOKUP($U79,GCA!$H$3:$H$593,GCA!E$3:E$593,"",0,1))</f>
        <v>22656.5</v>
      </c>
      <c r="W79" s="3">
        <f>IF(_xlfn.XLOOKUP($U79,GCA!$H$3:$H$593,GCA!F$3:F$593,"",0,1)="","",_xlfn.XLOOKUP($U79,GCA!$H$3:$H$593,GCA!F$3:F$593,"",0,1))</f>
        <v>22249</v>
      </c>
      <c r="X79" s="3">
        <f>IF(_xlfn.XLOOKUP($U79,GCA!$H$3:$H$593,GCA!G$3:G$593,"",0,1)="","",_xlfn.XLOOKUP($U79,GCA!$H$3:$H$593,GCA!G$3:G$593,"",0,1))</f>
        <v>25022</v>
      </c>
    </row>
    <row r="80" spans="1:24" ht="13.2">
      <c r="A80" s="49"/>
      <c r="B80" s="49"/>
      <c r="C80" s="48"/>
      <c r="D80" s="49"/>
      <c r="E80" s="50"/>
      <c r="F80" s="26" t="s">
        <v>1008</v>
      </c>
      <c r="G80" s="26" t="s">
        <v>1008</v>
      </c>
      <c r="H80" s="27">
        <f t="shared" si="37"/>
        <v>26100.255000000001</v>
      </c>
      <c r="I80" s="27">
        <f t="shared" si="37"/>
        <v>24538.7</v>
      </c>
      <c r="J80" s="27">
        <f t="shared" si="37"/>
        <v>25545</v>
      </c>
      <c r="K80" s="27">
        <f t="shared" si="38"/>
        <v>25394.651666666668</v>
      </c>
      <c r="L80" s="65"/>
      <c r="M80" s="67">
        <f t="shared" si="39"/>
        <v>0</v>
      </c>
      <c r="N80" s="65" t="str">
        <f t="shared" si="30"/>
        <v/>
      </c>
      <c r="O80" s="65" t="str">
        <f t="shared" si="40"/>
        <v/>
      </c>
      <c r="P80" s="65" t="str">
        <f t="shared" si="40"/>
        <v/>
      </c>
      <c r="Q80" s="38"/>
      <c r="R80" s="3" t="str">
        <f t="shared" si="41"/>
        <v>Dharmapuri</v>
      </c>
      <c r="S80" s="3" t="str">
        <f t="shared" si="32"/>
        <v>Nallampalli</v>
      </c>
      <c r="T80" s="3" t="str">
        <f t="shared" si="32"/>
        <v>Nallampalli</v>
      </c>
      <c r="U80" s="3" t="str">
        <f t="shared" si="33"/>
        <v>Dharmapuri_Nallampalli_Nallampalli</v>
      </c>
      <c r="V80" s="3">
        <f>IF(_xlfn.XLOOKUP($U80,GCA!$H$3:$H$593,GCA!E$3:E$593,"",0,1)="","",_xlfn.XLOOKUP($U80,GCA!$H$3:$H$593,GCA!E$3:E$593,"",0,1))</f>
        <v>26100.255000000001</v>
      </c>
      <c r="W80" s="3">
        <f>IF(_xlfn.XLOOKUP($U80,GCA!$H$3:$H$593,GCA!F$3:F$593,"",0,1)="","",_xlfn.XLOOKUP($U80,GCA!$H$3:$H$593,GCA!F$3:F$593,"",0,1))</f>
        <v>24538.7</v>
      </c>
      <c r="X80" s="3">
        <f>IF(_xlfn.XLOOKUP($U80,GCA!$H$3:$H$593,GCA!G$3:G$593,"",0,1)="","",_xlfn.XLOOKUP($U80,GCA!$H$3:$H$593,GCA!G$3:G$593,"",0,1))</f>
        <v>25545</v>
      </c>
    </row>
    <row r="81" spans="1:24" ht="13.2">
      <c r="A81" s="49"/>
      <c r="B81" s="49"/>
      <c r="C81" s="48"/>
      <c r="D81" s="49"/>
      <c r="E81" s="50">
        <v>3</v>
      </c>
      <c r="F81" s="26" t="s">
        <v>621</v>
      </c>
      <c r="G81" s="26" t="s">
        <v>619</v>
      </c>
      <c r="H81" s="27">
        <f t="shared" si="37"/>
        <v>9854</v>
      </c>
      <c r="I81" s="27">
        <f t="shared" si="37"/>
        <v>9481.7999999999993</v>
      </c>
      <c r="J81" s="27">
        <f t="shared" si="37"/>
        <v>8505</v>
      </c>
      <c r="K81" s="27">
        <f t="shared" si="38"/>
        <v>9280.2666666666664</v>
      </c>
      <c r="L81" s="65">
        <f>SUM(K81:K82)</f>
        <v>43399</v>
      </c>
      <c r="M81" s="67">
        <f t="shared" si="39"/>
        <v>1.8216311667331277</v>
      </c>
      <c r="N81" s="65">
        <f t="shared" si="30"/>
        <v>2</v>
      </c>
      <c r="O81" s="65">
        <f t="shared" si="40"/>
        <v>2</v>
      </c>
      <c r="P81" s="65">
        <f t="shared" si="40"/>
        <v>2</v>
      </c>
      <c r="Q81" s="38"/>
      <c r="R81" s="3" t="str">
        <f t="shared" si="41"/>
        <v>Dharmapuri</v>
      </c>
      <c r="S81" s="3" t="str">
        <f t="shared" si="32"/>
        <v>Palacode</v>
      </c>
      <c r="T81" s="3" t="str">
        <f t="shared" si="32"/>
        <v>Karimangalam</v>
      </c>
      <c r="U81" s="3" t="str">
        <f t="shared" si="33"/>
        <v>Dharmapuri_Palacode_Karimangalam</v>
      </c>
      <c r="V81" s="3">
        <f>IF(_xlfn.XLOOKUP($U81,GCA!$H$3:$H$593,GCA!E$3:E$593,"",0,1)="","",_xlfn.XLOOKUP($U81,GCA!$H$3:$H$593,GCA!E$3:E$593,"",0,1))</f>
        <v>9854</v>
      </c>
      <c r="W81" s="3">
        <f>IF(_xlfn.XLOOKUP($U81,GCA!$H$3:$H$593,GCA!F$3:F$593,"",0,1)="","",_xlfn.XLOOKUP($U81,GCA!$H$3:$H$593,GCA!F$3:F$593,"",0,1))</f>
        <v>9481.7999999999993</v>
      </c>
      <c r="X81" s="3">
        <f>IF(_xlfn.XLOOKUP($U81,GCA!$H$3:$H$593,GCA!G$3:G$593,"",0,1)="","",_xlfn.XLOOKUP($U81,GCA!$H$3:$H$593,GCA!G$3:G$593,"",0,1))</f>
        <v>8505</v>
      </c>
    </row>
    <row r="82" spans="1:24" ht="13.2">
      <c r="A82" s="49"/>
      <c r="B82" s="49"/>
      <c r="C82" s="48"/>
      <c r="D82" s="49"/>
      <c r="E82" s="50"/>
      <c r="F82" s="26" t="s">
        <v>621</v>
      </c>
      <c r="G82" s="26" t="s">
        <v>621</v>
      </c>
      <c r="H82" s="27">
        <f t="shared" si="37"/>
        <v>34830</v>
      </c>
      <c r="I82" s="27">
        <f t="shared" si="37"/>
        <v>33624.199999999997</v>
      </c>
      <c r="J82" s="27">
        <f t="shared" si="37"/>
        <v>33902</v>
      </c>
      <c r="K82" s="27">
        <f t="shared" si="38"/>
        <v>34118.73333333333</v>
      </c>
      <c r="L82" s="65"/>
      <c r="M82" s="67">
        <f t="shared" si="39"/>
        <v>0</v>
      </c>
      <c r="N82" s="65" t="str">
        <f t="shared" si="30"/>
        <v/>
      </c>
      <c r="O82" s="65" t="str">
        <f t="shared" si="40"/>
        <v/>
      </c>
      <c r="P82" s="65" t="str">
        <f t="shared" si="40"/>
        <v/>
      </c>
      <c r="Q82" s="38"/>
      <c r="R82" s="3" t="str">
        <f t="shared" si="41"/>
        <v>Dharmapuri</v>
      </c>
      <c r="S82" s="3" t="str">
        <f t="shared" si="32"/>
        <v>Palacode</v>
      </c>
      <c r="T82" s="3" t="str">
        <f t="shared" si="32"/>
        <v>Palacode</v>
      </c>
      <c r="U82" s="3" t="str">
        <f t="shared" si="33"/>
        <v>Dharmapuri_Palacode_Palacode</v>
      </c>
      <c r="V82" s="3">
        <f>IF(_xlfn.XLOOKUP($U82,GCA!$H$3:$H$593,GCA!E$3:E$593,"",0,1)="","",_xlfn.XLOOKUP($U82,GCA!$H$3:$H$593,GCA!E$3:E$593,"",0,1))</f>
        <v>34830</v>
      </c>
      <c r="W82" s="3">
        <f>IF(_xlfn.XLOOKUP($U82,GCA!$H$3:$H$593,GCA!F$3:F$593,"",0,1)="","",_xlfn.XLOOKUP($U82,GCA!$H$3:$H$593,GCA!F$3:F$593,"",0,1))</f>
        <v>33624.199999999997</v>
      </c>
      <c r="X82" s="3">
        <f>IF(_xlfn.XLOOKUP($U82,GCA!$H$3:$H$593,GCA!G$3:G$593,"",0,1)="","",_xlfn.XLOOKUP($U82,GCA!$H$3:$H$593,GCA!G$3:G$593,"",0,1))</f>
        <v>33902</v>
      </c>
    </row>
    <row r="83" spans="1:24" ht="13.2">
      <c r="A83" s="49"/>
      <c r="B83" s="49"/>
      <c r="C83" s="48"/>
      <c r="D83" s="49"/>
      <c r="E83" s="50">
        <v>4</v>
      </c>
      <c r="F83" s="26" t="s">
        <v>622</v>
      </c>
      <c r="G83" s="26" t="s">
        <v>617</v>
      </c>
      <c r="H83" s="27">
        <f t="shared" si="37"/>
        <v>5281.1</v>
      </c>
      <c r="I83" s="27">
        <f t="shared" si="37"/>
        <v>5647.4</v>
      </c>
      <c r="J83" s="27">
        <f t="shared" si="37"/>
        <v>6412.1</v>
      </c>
      <c r="K83" s="27">
        <f t="shared" si="38"/>
        <v>5780.2</v>
      </c>
      <c r="L83" s="65">
        <f>SUM(K83:K88)</f>
        <v>83175.17333333334</v>
      </c>
      <c r="M83" s="67">
        <f t="shared" si="39"/>
        <v>3.4911976783435139</v>
      </c>
      <c r="N83" s="65">
        <f t="shared" si="30"/>
        <v>3</v>
      </c>
      <c r="O83" s="65">
        <f t="shared" si="40"/>
        <v>3</v>
      </c>
      <c r="P83" s="65">
        <f t="shared" si="40"/>
        <v>3</v>
      </c>
      <c r="Q83" s="38"/>
      <c r="R83" s="3" t="str">
        <f t="shared" si="41"/>
        <v>Dharmapuri</v>
      </c>
      <c r="S83" s="3" t="str">
        <f t="shared" si="32"/>
        <v>Pappireddipatty</v>
      </c>
      <c r="T83" s="3" t="str">
        <f t="shared" si="32"/>
        <v>Harur</v>
      </c>
      <c r="U83" s="3" t="str">
        <f t="shared" si="33"/>
        <v>Dharmapuri_Pappireddipatty_Harur</v>
      </c>
      <c r="V83" s="3">
        <f>IF(_xlfn.XLOOKUP($U83,GCA!$H$3:$H$593,GCA!E$3:E$593,"",0,1)="","",_xlfn.XLOOKUP($U83,GCA!$H$3:$H$593,GCA!E$3:E$593,"",0,1))</f>
        <v>5281.1</v>
      </c>
      <c r="W83" s="3">
        <f>IF(_xlfn.XLOOKUP($U83,GCA!$H$3:$H$593,GCA!F$3:F$593,"",0,1)="","",_xlfn.XLOOKUP($U83,GCA!$H$3:$H$593,GCA!F$3:F$593,"",0,1))</f>
        <v>5647.4</v>
      </c>
      <c r="X83" s="3">
        <f>IF(_xlfn.XLOOKUP($U83,GCA!$H$3:$H$593,GCA!G$3:G$593,"",0,1)="","",_xlfn.XLOOKUP($U83,GCA!$H$3:$H$593,GCA!G$3:G$593,"",0,1))</f>
        <v>6412.1</v>
      </c>
    </row>
    <row r="84" spans="1:24" ht="13.2">
      <c r="A84" s="49"/>
      <c r="B84" s="49"/>
      <c r="C84" s="48"/>
      <c r="D84" s="49"/>
      <c r="E84" s="50"/>
      <c r="F84" s="26" t="s">
        <v>622</v>
      </c>
      <c r="G84" s="26" t="s">
        <v>618</v>
      </c>
      <c r="H84" s="27">
        <f t="shared" si="37"/>
        <v>17433.099999999999</v>
      </c>
      <c r="I84" s="27">
        <f t="shared" si="37"/>
        <v>17528</v>
      </c>
      <c r="J84" s="27">
        <f t="shared" si="37"/>
        <v>19823</v>
      </c>
      <c r="K84" s="27">
        <f t="shared" si="38"/>
        <v>18261.366666666665</v>
      </c>
      <c r="L84" s="65"/>
      <c r="M84" s="67">
        <f t="shared" si="39"/>
        <v>0</v>
      </c>
      <c r="N84" s="65" t="str">
        <f t="shared" si="30"/>
        <v/>
      </c>
      <c r="O84" s="65" t="str">
        <f t="shared" si="40"/>
        <v/>
      </c>
      <c r="P84" s="65" t="str">
        <f t="shared" si="40"/>
        <v/>
      </c>
      <c r="Q84" s="38"/>
      <c r="R84" s="3" t="str">
        <f t="shared" si="41"/>
        <v>Dharmapuri</v>
      </c>
      <c r="S84" s="3" t="str">
        <f t="shared" si="32"/>
        <v>Pappireddipatty</v>
      </c>
      <c r="T84" s="3" t="str">
        <f t="shared" si="32"/>
        <v>Kadathur</v>
      </c>
      <c r="U84" s="3" t="str">
        <f t="shared" si="33"/>
        <v>Dharmapuri_Pappireddipatty_Kadathur</v>
      </c>
      <c r="V84" s="3">
        <f>IF(_xlfn.XLOOKUP($U84,GCA!$H$3:$H$593,GCA!E$3:E$593,"",0,1)="","",_xlfn.XLOOKUP($U84,GCA!$H$3:$H$593,GCA!E$3:E$593,"",0,1))</f>
        <v>17433.099999999999</v>
      </c>
      <c r="W84" s="3">
        <f>IF(_xlfn.XLOOKUP($U84,GCA!$H$3:$H$593,GCA!F$3:F$593,"",0,1)="","",_xlfn.XLOOKUP($U84,GCA!$H$3:$H$593,GCA!F$3:F$593,"",0,1))</f>
        <v>17528</v>
      </c>
      <c r="X84" s="3">
        <f>IF(_xlfn.XLOOKUP($U84,GCA!$H$3:$H$593,GCA!G$3:G$593,"",0,1)="","",_xlfn.XLOOKUP($U84,GCA!$H$3:$H$593,GCA!G$3:G$593,"",0,1))</f>
        <v>19823</v>
      </c>
    </row>
    <row r="85" spans="1:24" ht="13.2">
      <c r="A85" s="49"/>
      <c r="B85" s="49"/>
      <c r="C85" s="48"/>
      <c r="D85" s="49"/>
      <c r="E85" s="50"/>
      <c r="F85" s="26" t="s">
        <v>622</v>
      </c>
      <c r="G85" s="26" t="s">
        <v>620</v>
      </c>
      <c r="H85" s="27">
        <f t="shared" si="37"/>
        <v>1141.5</v>
      </c>
      <c r="I85" s="27">
        <f t="shared" si="37"/>
        <v>1005</v>
      </c>
      <c r="J85" s="27">
        <f t="shared" si="37"/>
        <v>693</v>
      </c>
      <c r="K85" s="27">
        <f t="shared" si="38"/>
        <v>946.5</v>
      </c>
      <c r="L85" s="65"/>
      <c r="M85" s="67">
        <f t="shared" si="39"/>
        <v>0</v>
      </c>
      <c r="N85" s="65" t="str">
        <f t="shared" si="30"/>
        <v/>
      </c>
      <c r="O85" s="65" t="str">
        <f t="shared" si="40"/>
        <v/>
      </c>
      <c r="P85" s="65" t="str">
        <f t="shared" si="40"/>
        <v/>
      </c>
      <c r="Q85" s="38"/>
      <c r="R85" s="3" t="str">
        <f t="shared" si="41"/>
        <v>Dharmapuri</v>
      </c>
      <c r="S85" s="3" t="str">
        <f t="shared" si="32"/>
        <v>Pappireddipatty</v>
      </c>
      <c r="T85" s="3" t="str">
        <f t="shared" si="32"/>
        <v>Morappur</v>
      </c>
      <c r="U85" s="3" t="str">
        <f t="shared" si="33"/>
        <v>Dharmapuri_Pappireddipatty_Morappur</v>
      </c>
      <c r="V85" s="3">
        <f>IF(_xlfn.XLOOKUP($U85,GCA!$H$3:$H$593,GCA!E$3:E$593,"",0,1)="","",_xlfn.XLOOKUP($U85,GCA!$H$3:$H$593,GCA!E$3:E$593,"",0,1))</f>
        <v>1141.5</v>
      </c>
      <c r="W85" s="3">
        <f>IF(_xlfn.XLOOKUP($U85,GCA!$H$3:$H$593,GCA!F$3:F$593,"",0,1)="","",_xlfn.XLOOKUP($U85,GCA!$H$3:$H$593,GCA!F$3:F$593,"",0,1))</f>
        <v>1005</v>
      </c>
      <c r="X85" s="3">
        <f>IF(_xlfn.XLOOKUP($U85,GCA!$H$3:$H$593,GCA!G$3:G$593,"",0,1)="","",_xlfn.XLOOKUP($U85,GCA!$H$3:$H$593,GCA!G$3:G$593,"",0,1))</f>
        <v>693</v>
      </c>
    </row>
    <row r="86" spans="1:24" ht="13.2">
      <c r="A86" s="49"/>
      <c r="B86" s="49"/>
      <c r="C86" s="48"/>
      <c r="D86" s="49"/>
      <c r="E86" s="50"/>
      <c r="F86" s="26" t="s">
        <v>622</v>
      </c>
      <c r="G86" s="26" t="s">
        <v>622</v>
      </c>
      <c r="H86" s="27">
        <f t="shared" si="37"/>
        <v>31622.6</v>
      </c>
      <c r="I86" s="27">
        <f t="shared" si="37"/>
        <v>26836</v>
      </c>
      <c r="J86" s="27">
        <f t="shared" si="37"/>
        <v>26231.72</v>
      </c>
      <c r="K86" s="27">
        <f t="shared" si="38"/>
        <v>28230.10666666667</v>
      </c>
      <c r="L86" s="65"/>
      <c r="M86" s="67">
        <f t="shared" si="39"/>
        <v>0</v>
      </c>
      <c r="N86" s="65" t="str">
        <f t="shared" si="30"/>
        <v/>
      </c>
      <c r="O86" s="65" t="str">
        <f t="shared" si="40"/>
        <v/>
      </c>
      <c r="P86" s="65" t="str">
        <f t="shared" si="40"/>
        <v/>
      </c>
      <c r="Q86" s="38"/>
      <c r="R86" s="3" t="str">
        <f t="shared" si="41"/>
        <v>Dharmapuri</v>
      </c>
      <c r="S86" s="3" t="str">
        <f t="shared" si="32"/>
        <v>Pappireddipatty</v>
      </c>
      <c r="T86" s="3" t="str">
        <f t="shared" si="32"/>
        <v>Pappireddipatty</v>
      </c>
      <c r="U86" s="3" t="str">
        <f t="shared" si="33"/>
        <v>Dharmapuri_Pappireddipatty_Pappireddipatty</v>
      </c>
      <c r="V86" s="3">
        <f>IF(_xlfn.XLOOKUP($U86,GCA!$H$3:$H$593,GCA!E$3:E$593,"",0,1)="","",_xlfn.XLOOKUP($U86,GCA!$H$3:$H$593,GCA!E$3:E$593,"",0,1))</f>
        <v>31622.6</v>
      </c>
      <c r="W86" s="3">
        <f>IF(_xlfn.XLOOKUP($U86,GCA!$H$3:$H$593,GCA!F$3:F$593,"",0,1)="","",_xlfn.XLOOKUP($U86,GCA!$H$3:$H$593,GCA!F$3:F$593,"",0,1))</f>
        <v>26836</v>
      </c>
      <c r="X86" s="3">
        <f>IF(_xlfn.XLOOKUP($U86,GCA!$H$3:$H$593,GCA!G$3:G$593,"",0,1)="","",_xlfn.XLOOKUP($U86,GCA!$H$3:$H$593,GCA!G$3:G$593,"",0,1))</f>
        <v>26231.72</v>
      </c>
    </row>
    <row r="87" spans="1:24" ht="13.2">
      <c r="A87" s="49"/>
      <c r="B87" s="49"/>
      <c r="C87" s="48"/>
      <c r="D87" s="49"/>
      <c r="E87" s="50"/>
      <c r="F87" s="26" t="s">
        <v>623</v>
      </c>
      <c r="G87" s="26" t="s">
        <v>624</v>
      </c>
      <c r="H87" s="27">
        <f t="shared" si="37"/>
        <v>9552</v>
      </c>
      <c r="I87" s="27">
        <f t="shared" si="37"/>
        <v>10197.5</v>
      </c>
      <c r="J87" s="27">
        <f t="shared" si="37"/>
        <v>8946.3700000000008</v>
      </c>
      <c r="K87" s="27">
        <f t="shared" si="38"/>
        <v>9565.2900000000009</v>
      </c>
      <c r="L87" s="65"/>
      <c r="M87" s="67">
        <f t="shared" si="39"/>
        <v>0</v>
      </c>
      <c r="N87" s="65" t="str">
        <f t="shared" si="30"/>
        <v/>
      </c>
      <c r="O87" s="65" t="str">
        <f t="shared" si="40"/>
        <v/>
      </c>
      <c r="P87" s="65" t="str">
        <f t="shared" si="40"/>
        <v/>
      </c>
      <c r="Q87" s="38"/>
      <c r="R87" s="3" t="str">
        <f t="shared" si="41"/>
        <v>Dharmapuri</v>
      </c>
      <c r="S87" s="3" t="str">
        <f t="shared" si="32"/>
        <v>Pennagaram</v>
      </c>
      <c r="T87" s="3" t="str">
        <f t="shared" si="32"/>
        <v>Eriyur</v>
      </c>
      <c r="U87" s="3" t="str">
        <f t="shared" si="33"/>
        <v>Dharmapuri_Pennagaram_Eriyur</v>
      </c>
      <c r="V87" s="3">
        <f>IF(_xlfn.XLOOKUP($U87,GCA!$H$3:$H$593,GCA!E$3:E$593,"",0,1)="","",_xlfn.XLOOKUP($U87,GCA!$H$3:$H$593,GCA!E$3:E$593,"",0,1))</f>
        <v>9552</v>
      </c>
      <c r="W87" s="3">
        <f>IF(_xlfn.XLOOKUP($U87,GCA!$H$3:$H$593,GCA!F$3:F$593,"",0,1)="","",_xlfn.XLOOKUP($U87,GCA!$H$3:$H$593,GCA!F$3:F$593,"",0,1))</f>
        <v>10197.5</v>
      </c>
      <c r="X87" s="3">
        <f>IF(_xlfn.XLOOKUP($U87,GCA!$H$3:$H$593,GCA!G$3:G$593,"",0,1)="","",_xlfn.XLOOKUP($U87,GCA!$H$3:$H$593,GCA!G$3:G$593,"",0,1))</f>
        <v>8946.3700000000008</v>
      </c>
    </row>
    <row r="88" spans="1:24" ht="13.2">
      <c r="A88" s="49"/>
      <c r="B88" s="49"/>
      <c r="C88" s="48"/>
      <c r="D88" s="49"/>
      <c r="E88" s="50"/>
      <c r="F88" s="26" t="s">
        <v>623</v>
      </c>
      <c r="G88" s="26" t="s">
        <v>623</v>
      </c>
      <c r="H88" s="27">
        <f t="shared" si="37"/>
        <v>20899</v>
      </c>
      <c r="I88" s="27">
        <f t="shared" si="37"/>
        <v>20635.5</v>
      </c>
      <c r="J88" s="27">
        <f t="shared" si="37"/>
        <v>19640.63</v>
      </c>
      <c r="K88" s="27">
        <f t="shared" si="38"/>
        <v>20391.710000000003</v>
      </c>
      <c r="L88" s="65"/>
      <c r="M88" s="67">
        <f t="shared" si="39"/>
        <v>0</v>
      </c>
      <c r="N88" s="65" t="str">
        <f t="shared" si="30"/>
        <v/>
      </c>
      <c r="O88" s="65" t="str">
        <f t="shared" si="40"/>
        <v/>
      </c>
      <c r="P88" s="65" t="str">
        <f t="shared" si="40"/>
        <v/>
      </c>
      <c r="Q88" s="38"/>
      <c r="R88" s="3" t="str">
        <f t="shared" si="41"/>
        <v>Dharmapuri</v>
      </c>
      <c r="S88" s="3" t="str">
        <f t="shared" si="32"/>
        <v>Pennagaram</v>
      </c>
      <c r="T88" s="3" t="str">
        <f t="shared" si="32"/>
        <v>Pennagaram</v>
      </c>
      <c r="U88" s="3" t="str">
        <f t="shared" si="33"/>
        <v>Dharmapuri_Pennagaram_Pennagaram</v>
      </c>
      <c r="V88" s="3">
        <f>IF(_xlfn.XLOOKUP($U88,GCA!$H$3:$H$593,GCA!E$3:E$593,"",0,1)="","",_xlfn.XLOOKUP($U88,GCA!$H$3:$H$593,GCA!E$3:E$593,"",0,1))</f>
        <v>20899</v>
      </c>
      <c r="W88" s="3">
        <f>IF(_xlfn.XLOOKUP($U88,GCA!$H$3:$H$593,GCA!F$3:F$593,"",0,1)="","",_xlfn.XLOOKUP($U88,GCA!$H$3:$H$593,GCA!F$3:F$593,"",0,1))</f>
        <v>20635.5</v>
      </c>
      <c r="X88" s="3">
        <f>IF(_xlfn.XLOOKUP($U88,GCA!$H$3:$H$593,GCA!G$3:G$593,"",0,1)="","",_xlfn.XLOOKUP($U88,GCA!$H$3:$H$593,GCA!G$3:G$593,"",0,1))</f>
        <v>19640.63</v>
      </c>
    </row>
    <row r="89" spans="1:24" ht="13.2">
      <c r="A89" s="49"/>
      <c r="B89" s="49"/>
      <c r="C89" s="48"/>
      <c r="D89" s="49"/>
      <c r="E89" s="47" t="s">
        <v>564</v>
      </c>
      <c r="F89" s="47"/>
      <c r="G89" s="47"/>
      <c r="H89" s="29">
        <f t="shared" ref="H89:P89" si="42">SUM(H74:H88)</f>
        <v>262550.65500000003</v>
      </c>
      <c r="I89" s="29">
        <f t="shared" si="42"/>
        <v>251235.4</v>
      </c>
      <c r="J89" s="29">
        <f t="shared" si="42"/>
        <v>250360.46000000002</v>
      </c>
      <c r="K89" s="29">
        <f t="shared" si="42"/>
        <v>254715.50500000003</v>
      </c>
      <c r="L89" s="29">
        <f t="shared" si="42"/>
        <v>254715.505</v>
      </c>
      <c r="M89" s="30">
        <f t="shared" si="42"/>
        <v>10.691437649673215</v>
      </c>
      <c r="N89" s="31">
        <f t="shared" si="42"/>
        <v>10</v>
      </c>
      <c r="O89" s="31">
        <f t="shared" si="42"/>
        <v>10</v>
      </c>
      <c r="P89" s="31">
        <f t="shared" si="42"/>
        <v>10</v>
      </c>
      <c r="Q89" s="38"/>
      <c r="R89" s="3" t="str">
        <f t="shared" si="41"/>
        <v>Dharmapuri</v>
      </c>
      <c r="S89" s="3">
        <f t="shared" si="32"/>
        <v>0</v>
      </c>
      <c r="T89" s="3">
        <f t="shared" si="32"/>
        <v>0</v>
      </c>
      <c r="U89" s="3" t="str">
        <f t="shared" si="33"/>
        <v>Dharmapuri_0_0</v>
      </c>
      <c r="V89" s="3" t="str">
        <f>IF(_xlfn.XLOOKUP($U89,GCA!$H$3:$H$593,GCA!E$3:E$593,"",0,1)="","",_xlfn.XLOOKUP($U89,GCA!$H$3:$H$593,GCA!E$3:E$593,"",0,1))</f>
        <v/>
      </c>
      <c r="W89" s="3" t="str">
        <f>IF(_xlfn.XLOOKUP($U89,GCA!$H$3:$H$593,GCA!F$3:F$593,"",0,1)="","",_xlfn.XLOOKUP($U89,GCA!$H$3:$H$593,GCA!F$3:F$593,"",0,1))</f>
        <v/>
      </c>
      <c r="X89" s="3" t="str">
        <f>IF(_xlfn.XLOOKUP($U89,GCA!$H$3:$H$593,GCA!G$3:G$593,"",0,1)="","",_xlfn.XLOOKUP($U89,GCA!$H$3:$H$593,GCA!G$3:G$593,"",0,1))</f>
        <v/>
      </c>
    </row>
    <row r="90" spans="1:24" ht="13.2">
      <c r="A90" s="49"/>
      <c r="B90" s="49"/>
      <c r="C90" s="48" t="s">
        <v>232</v>
      </c>
      <c r="D90" s="49" t="s">
        <v>535</v>
      </c>
      <c r="E90" s="50">
        <v>1</v>
      </c>
      <c r="F90" s="26" t="s">
        <v>625</v>
      </c>
      <c r="G90" s="26" t="s">
        <v>626</v>
      </c>
      <c r="H90" s="27">
        <f t="shared" ref="H90:J105" si="43">V90</f>
        <v>25690.35</v>
      </c>
      <c r="I90" s="27">
        <f t="shared" si="43"/>
        <v>26935.59</v>
      </c>
      <c r="J90" s="27">
        <f t="shared" si="43"/>
        <v>26881.66</v>
      </c>
      <c r="K90" s="27">
        <f t="shared" ref="K90:K105" si="44">IFERROR(AVERAGE(H90:J90),"")</f>
        <v>26502.533333333336</v>
      </c>
      <c r="L90" s="65">
        <f>SUM(K90:K91)</f>
        <v>61992.668333333335</v>
      </c>
      <c r="M90" s="67">
        <f t="shared" ref="M90:M105" si="45">L90*$L$643/$L$642</f>
        <v>2.6020824614610896</v>
      </c>
      <c r="N90" s="65">
        <v>2</v>
      </c>
      <c r="O90" s="65">
        <f t="shared" ref="O90:P105" si="46">N90</f>
        <v>2</v>
      </c>
      <c r="P90" s="65">
        <f t="shared" si="46"/>
        <v>2</v>
      </c>
      <c r="Q90" s="38"/>
      <c r="R90" s="3" t="str">
        <f t="shared" si="36"/>
        <v>Krishnagiri</v>
      </c>
      <c r="S90" s="3" t="str">
        <f t="shared" si="32"/>
        <v>Denkanikotta</v>
      </c>
      <c r="T90" s="3" t="str">
        <f t="shared" si="32"/>
        <v>Kelamangalam</v>
      </c>
      <c r="U90" s="3" t="str">
        <f t="shared" si="33"/>
        <v>Krishnagiri_Denkanikotta_Kelamangalam</v>
      </c>
      <c r="V90" s="3">
        <f>IF(_xlfn.XLOOKUP($U90,GCA!$H$3:$H$593,GCA!E$3:E$593,"",0,1)="","",_xlfn.XLOOKUP($U90,GCA!$H$3:$H$593,GCA!E$3:E$593,"",0,1))</f>
        <v>25690.35</v>
      </c>
      <c r="W90" s="3">
        <f>IF(_xlfn.XLOOKUP($U90,GCA!$H$3:$H$593,GCA!F$3:F$593,"",0,1)="","",_xlfn.XLOOKUP($U90,GCA!$H$3:$H$593,GCA!F$3:F$593,"",0,1))</f>
        <v>26935.59</v>
      </c>
      <c r="X90" s="3">
        <f>IF(_xlfn.XLOOKUP($U90,GCA!$H$3:$H$593,GCA!G$3:G$593,"",0,1)="","",_xlfn.XLOOKUP($U90,GCA!$H$3:$H$593,GCA!G$3:G$593,"",0,1))</f>
        <v>26881.66</v>
      </c>
    </row>
    <row r="91" spans="1:24" ht="13.2">
      <c r="A91" s="49"/>
      <c r="B91" s="49"/>
      <c r="C91" s="48"/>
      <c r="D91" s="49"/>
      <c r="E91" s="50"/>
      <c r="F91" s="26" t="s">
        <v>625</v>
      </c>
      <c r="G91" s="26" t="s">
        <v>627</v>
      </c>
      <c r="H91" s="27">
        <f t="shared" si="43"/>
        <v>37020</v>
      </c>
      <c r="I91" s="27">
        <f t="shared" si="43"/>
        <v>35579.144999999997</v>
      </c>
      <c r="J91" s="27">
        <f t="shared" si="43"/>
        <v>33871.26</v>
      </c>
      <c r="K91" s="27">
        <f t="shared" si="44"/>
        <v>35490.135000000002</v>
      </c>
      <c r="L91" s="65"/>
      <c r="M91" s="67">
        <f t="shared" si="45"/>
        <v>0</v>
      </c>
      <c r="N91" s="65" t="str">
        <f t="shared" si="30"/>
        <v/>
      </c>
      <c r="O91" s="65" t="str">
        <f t="shared" si="46"/>
        <v/>
      </c>
      <c r="P91" s="65" t="str">
        <f t="shared" si="46"/>
        <v/>
      </c>
      <c r="Q91" s="38"/>
      <c r="R91" s="3" t="str">
        <f t="shared" ref="R91:R106" si="47">R90</f>
        <v>Krishnagiri</v>
      </c>
      <c r="S91" s="3" t="str">
        <f t="shared" si="32"/>
        <v>Denkanikotta</v>
      </c>
      <c r="T91" s="3" t="str">
        <f t="shared" si="32"/>
        <v>Thally</v>
      </c>
      <c r="U91" s="3" t="str">
        <f t="shared" si="33"/>
        <v>Krishnagiri_Denkanikotta_Thally</v>
      </c>
      <c r="V91" s="3">
        <f>IF(_xlfn.XLOOKUP($U91,GCA!$H$3:$H$593,GCA!E$3:E$593,"",0,1)="","",_xlfn.XLOOKUP($U91,GCA!$H$3:$H$593,GCA!E$3:E$593,"",0,1))</f>
        <v>37020</v>
      </c>
      <c r="W91" s="3">
        <f>IF(_xlfn.XLOOKUP($U91,GCA!$H$3:$H$593,GCA!F$3:F$593,"",0,1)="","",_xlfn.XLOOKUP($U91,GCA!$H$3:$H$593,GCA!F$3:F$593,"",0,1))</f>
        <v>35579.144999999997</v>
      </c>
      <c r="X91" s="3">
        <f>IF(_xlfn.XLOOKUP($U91,GCA!$H$3:$H$593,GCA!G$3:G$593,"",0,1)="","",_xlfn.XLOOKUP($U91,GCA!$H$3:$H$593,GCA!G$3:G$593,"",0,1))</f>
        <v>33871.26</v>
      </c>
    </row>
    <row r="92" spans="1:24" ht="13.2">
      <c r="A92" s="49"/>
      <c r="B92" s="49"/>
      <c r="C92" s="48"/>
      <c r="D92" s="49"/>
      <c r="E92" s="50">
        <v>2</v>
      </c>
      <c r="F92" s="26" t="s">
        <v>628</v>
      </c>
      <c r="G92" s="26" t="s">
        <v>627</v>
      </c>
      <c r="H92" s="27">
        <f t="shared" si="43"/>
        <v>11893</v>
      </c>
      <c r="I92" s="27">
        <f t="shared" si="43"/>
        <v>10510.2</v>
      </c>
      <c r="J92" s="27">
        <f t="shared" si="43"/>
        <v>12344.7</v>
      </c>
      <c r="K92" s="27">
        <f t="shared" si="44"/>
        <v>11582.633333333333</v>
      </c>
      <c r="L92" s="65">
        <f>SUM(K92:K96)</f>
        <v>55040.965000000004</v>
      </c>
      <c r="M92" s="67">
        <f t="shared" si="45"/>
        <v>2.3102914189512949</v>
      </c>
      <c r="N92" s="65">
        <f t="shared" si="30"/>
        <v>2</v>
      </c>
      <c r="O92" s="65">
        <f t="shared" si="46"/>
        <v>2</v>
      </c>
      <c r="P92" s="65">
        <f t="shared" si="46"/>
        <v>2</v>
      </c>
      <c r="Q92" s="38"/>
      <c r="R92" s="3" t="str">
        <f t="shared" si="47"/>
        <v>Krishnagiri</v>
      </c>
      <c r="S92" s="3" t="str">
        <f t="shared" si="32"/>
        <v>Anchetti</v>
      </c>
      <c r="T92" s="3" t="str">
        <f t="shared" si="32"/>
        <v>Thally</v>
      </c>
      <c r="U92" s="3" t="str">
        <f t="shared" si="33"/>
        <v>Krishnagiri_Anchetti_Thally</v>
      </c>
      <c r="V92" s="3">
        <f>IF(_xlfn.XLOOKUP($U92,GCA!$H$3:$H$593,GCA!E$3:E$593,"",0,1)="","",_xlfn.XLOOKUP($U92,GCA!$H$3:$H$593,GCA!E$3:E$593,"",0,1))</f>
        <v>11893</v>
      </c>
      <c r="W92" s="3">
        <f>IF(_xlfn.XLOOKUP($U92,GCA!$H$3:$H$593,GCA!F$3:F$593,"",0,1)="","",_xlfn.XLOOKUP($U92,GCA!$H$3:$H$593,GCA!F$3:F$593,"",0,1))</f>
        <v>10510.2</v>
      </c>
      <c r="X92" s="3">
        <f>IF(_xlfn.XLOOKUP($U92,GCA!$H$3:$H$593,GCA!G$3:G$593,"",0,1)="","",_xlfn.XLOOKUP($U92,GCA!$H$3:$H$593,GCA!G$3:G$593,"",0,1))</f>
        <v>12344.7</v>
      </c>
    </row>
    <row r="93" spans="1:24" ht="13.2">
      <c r="A93" s="49"/>
      <c r="B93" s="49"/>
      <c r="C93" s="48"/>
      <c r="D93" s="49"/>
      <c r="E93" s="50"/>
      <c r="F93" s="26" t="s">
        <v>629</v>
      </c>
      <c r="G93" s="26" t="s">
        <v>629</v>
      </c>
      <c r="H93" s="27">
        <f t="shared" si="43"/>
        <v>18883.305</v>
      </c>
      <c r="I93" s="27">
        <f t="shared" si="43"/>
        <v>19343.11</v>
      </c>
      <c r="J93" s="27">
        <f t="shared" si="43"/>
        <v>19621.924999999999</v>
      </c>
      <c r="K93" s="27">
        <f t="shared" si="44"/>
        <v>19282.78</v>
      </c>
      <c r="L93" s="65"/>
      <c r="M93" s="67">
        <f t="shared" si="45"/>
        <v>0</v>
      </c>
      <c r="N93" s="65" t="str">
        <f t="shared" si="30"/>
        <v/>
      </c>
      <c r="O93" s="65" t="str">
        <f t="shared" si="46"/>
        <v/>
      </c>
      <c r="P93" s="65" t="str">
        <f t="shared" si="46"/>
        <v/>
      </c>
      <c r="Q93" s="38"/>
      <c r="R93" s="3" t="str">
        <f t="shared" si="47"/>
        <v>Krishnagiri</v>
      </c>
      <c r="S93" s="3" t="str">
        <f t="shared" si="32"/>
        <v>Bargur</v>
      </c>
      <c r="T93" s="3" t="str">
        <f t="shared" si="32"/>
        <v>Bargur</v>
      </c>
      <c r="U93" s="3" t="str">
        <f t="shared" si="33"/>
        <v>Krishnagiri_Bargur_Bargur</v>
      </c>
      <c r="V93" s="3">
        <f>IF(_xlfn.XLOOKUP($U93,GCA!$H$3:$H$593,GCA!E$3:E$593,"",0,1)="","",_xlfn.XLOOKUP($U93,GCA!$H$3:$H$593,GCA!E$3:E$593,"",0,1))</f>
        <v>18883.305</v>
      </c>
      <c r="W93" s="3">
        <f>IF(_xlfn.XLOOKUP($U93,GCA!$H$3:$H$593,GCA!F$3:F$593,"",0,1)="","",_xlfn.XLOOKUP($U93,GCA!$H$3:$H$593,GCA!F$3:F$593,"",0,1))</f>
        <v>19343.11</v>
      </c>
      <c r="X93" s="3">
        <f>IF(_xlfn.XLOOKUP($U93,GCA!$H$3:$H$593,GCA!G$3:G$593,"",0,1)="","",_xlfn.XLOOKUP($U93,GCA!$H$3:$H$593,GCA!G$3:G$593,"",0,1))</f>
        <v>19621.924999999999</v>
      </c>
    </row>
    <row r="94" spans="1:24" ht="13.2">
      <c r="A94" s="49"/>
      <c r="B94" s="49"/>
      <c r="C94" s="48"/>
      <c r="D94" s="49"/>
      <c r="E94" s="50"/>
      <c r="F94" s="26" t="s">
        <v>629</v>
      </c>
      <c r="G94" s="26" t="s">
        <v>630</v>
      </c>
      <c r="H94" s="27">
        <f t="shared" si="43"/>
        <v>4180.03</v>
      </c>
      <c r="I94" s="27">
        <f t="shared" si="43"/>
        <v>4360.125</v>
      </c>
      <c r="J94" s="27">
        <f t="shared" si="43"/>
        <v>3895.44</v>
      </c>
      <c r="K94" s="27">
        <f t="shared" si="44"/>
        <v>4145.1983333333328</v>
      </c>
      <c r="L94" s="65"/>
      <c r="M94" s="67">
        <f t="shared" si="45"/>
        <v>0</v>
      </c>
      <c r="N94" s="65" t="str">
        <f t="shared" si="30"/>
        <v/>
      </c>
      <c r="O94" s="65" t="str">
        <f t="shared" si="46"/>
        <v/>
      </c>
      <c r="P94" s="65" t="str">
        <f t="shared" si="46"/>
        <v/>
      </c>
      <c r="Q94" s="38"/>
      <c r="R94" s="3" t="str">
        <f t="shared" si="47"/>
        <v>Krishnagiri</v>
      </c>
      <c r="S94" s="3" t="str">
        <f t="shared" si="32"/>
        <v>Bargur</v>
      </c>
      <c r="T94" s="3" t="str">
        <f t="shared" si="32"/>
        <v>Mathur</v>
      </c>
      <c r="U94" s="3" t="str">
        <f t="shared" si="33"/>
        <v>Krishnagiri_Bargur_Mathur</v>
      </c>
      <c r="V94" s="3">
        <f>IF(_xlfn.XLOOKUP($U94,GCA!$H$3:$H$593,GCA!E$3:E$593,"",0,1)="","",_xlfn.XLOOKUP($U94,GCA!$H$3:$H$593,GCA!E$3:E$593,"",0,1))</f>
        <v>4180.03</v>
      </c>
      <c r="W94" s="3">
        <f>IF(_xlfn.XLOOKUP($U94,GCA!$H$3:$H$593,GCA!F$3:F$593,"",0,1)="","",_xlfn.XLOOKUP($U94,GCA!$H$3:$H$593,GCA!F$3:F$593,"",0,1))</f>
        <v>4360.125</v>
      </c>
      <c r="X94" s="3">
        <f>IF(_xlfn.XLOOKUP($U94,GCA!$H$3:$H$593,GCA!G$3:G$593,"",0,1)="","",_xlfn.XLOOKUP($U94,GCA!$H$3:$H$593,GCA!G$3:G$593,"",0,1))</f>
        <v>3895.44</v>
      </c>
    </row>
    <row r="95" spans="1:24" ht="13.2">
      <c r="A95" s="49"/>
      <c r="B95" s="49"/>
      <c r="C95" s="48"/>
      <c r="D95" s="49"/>
      <c r="E95" s="50"/>
      <c r="F95" s="26" t="s">
        <v>631</v>
      </c>
      <c r="G95" s="26" t="s">
        <v>631</v>
      </c>
      <c r="H95" s="27">
        <f t="shared" si="43"/>
        <v>24338.936000000002</v>
      </c>
      <c r="I95" s="27">
        <f t="shared" si="43"/>
        <v>17166.02</v>
      </c>
      <c r="J95" s="27">
        <f t="shared" si="43"/>
        <v>17369.349999999999</v>
      </c>
      <c r="K95" s="27">
        <f t="shared" si="44"/>
        <v>19624.768666666667</v>
      </c>
      <c r="L95" s="65"/>
      <c r="M95" s="67">
        <f t="shared" si="45"/>
        <v>0</v>
      </c>
      <c r="N95" s="65" t="str">
        <f t="shared" si="30"/>
        <v/>
      </c>
      <c r="O95" s="65" t="str">
        <f t="shared" si="46"/>
        <v/>
      </c>
      <c r="P95" s="65" t="str">
        <f t="shared" si="46"/>
        <v/>
      </c>
      <c r="Q95" s="38"/>
      <c r="R95" s="3" t="str">
        <f t="shared" si="47"/>
        <v>Krishnagiri</v>
      </c>
      <c r="S95" s="3" t="str">
        <f t="shared" si="32"/>
        <v>Hosur</v>
      </c>
      <c r="T95" s="3" t="str">
        <f t="shared" si="32"/>
        <v>Hosur</v>
      </c>
      <c r="U95" s="3" t="str">
        <f t="shared" si="33"/>
        <v>Krishnagiri_Hosur_Hosur</v>
      </c>
      <c r="V95" s="3">
        <f>IF(_xlfn.XLOOKUP($U95,GCA!$H$3:$H$593,GCA!E$3:E$593,"",0,1)="","",_xlfn.XLOOKUP($U95,GCA!$H$3:$H$593,GCA!E$3:E$593,"",0,1))</f>
        <v>24338.936000000002</v>
      </c>
      <c r="W95" s="3">
        <f>IF(_xlfn.XLOOKUP($U95,GCA!$H$3:$H$593,GCA!F$3:F$593,"",0,1)="","",_xlfn.XLOOKUP($U95,GCA!$H$3:$H$593,GCA!F$3:F$593,"",0,1))</f>
        <v>17166.02</v>
      </c>
      <c r="X95" s="3">
        <f>IF(_xlfn.XLOOKUP($U95,GCA!$H$3:$H$593,GCA!G$3:G$593,"",0,1)="","",_xlfn.XLOOKUP($U95,GCA!$H$3:$H$593,GCA!G$3:G$593,"",0,1))</f>
        <v>17369.349999999999</v>
      </c>
    </row>
    <row r="96" spans="1:24" ht="13.2">
      <c r="A96" s="49"/>
      <c r="B96" s="49"/>
      <c r="C96" s="48"/>
      <c r="D96" s="49"/>
      <c r="E96" s="50"/>
      <c r="F96" s="26" t="s">
        <v>631</v>
      </c>
      <c r="G96" s="26" t="s">
        <v>632</v>
      </c>
      <c r="H96" s="27">
        <f t="shared" si="43"/>
        <v>268.60000000000002</v>
      </c>
      <c r="I96" s="27">
        <f t="shared" si="43"/>
        <v>290.82499999999999</v>
      </c>
      <c r="J96" s="27">
        <f t="shared" si="43"/>
        <v>657.32899999999995</v>
      </c>
      <c r="K96" s="27">
        <f t="shared" si="44"/>
        <v>405.58466666666664</v>
      </c>
      <c r="L96" s="65"/>
      <c r="M96" s="67">
        <f t="shared" si="45"/>
        <v>0</v>
      </c>
      <c r="N96" s="65" t="str">
        <f t="shared" si="30"/>
        <v/>
      </c>
      <c r="O96" s="65" t="str">
        <f t="shared" si="46"/>
        <v/>
      </c>
      <c r="P96" s="65" t="str">
        <f t="shared" si="46"/>
        <v/>
      </c>
      <c r="Q96" s="38"/>
      <c r="R96" s="3" t="str">
        <f t="shared" si="47"/>
        <v>Krishnagiri</v>
      </c>
      <c r="S96" s="3" t="str">
        <f t="shared" si="32"/>
        <v>Hosur</v>
      </c>
      <c r="T96" s="3" t="str">
        <f t="shared" si="32"/>
        <v>Shoolagiri</v>
      </c>
      <c r="U96" s="3" t="str">
        <f t="shared" si="33"/>
        <v>Krishnagiri_Hosur_Shoolagiri</v>
      </c>
      <c r="V96" s="3">
        <f>IF(_xlfn.XLOOKUP($U96,GCA!$H$3:$H$593,GCA!E$3:E$593,"",0,1)="","",_xlfn.XLOOKUP($U96,GCA!$H$3:$H$593,GCA!E$3:E$593,"",0,1))</f>
        <v>268.60000000000002</v>
      </c>
      <c r="W96" s="3">
        <f>IF(_xlfn.XLOOKUP($U96,GCA!$H$3:$H$593,GCA!F$3:F$593,"",0,1)="","",_xlfn.XLOOKUP($U96,GCA!$H$3:$H$593,GCA!F$3:F$593,"",0,1))</f>
        <v>290.82499999999999</v>
      </c>
      <c r="X96" s="3">
        <f>IF(_xlfn.XLOOKUP($U96,GCA!$H$3:$H$593,GCA!G$3:G$593,"",0,1)="","",_xlfn.XLOOKUP($U96,GCA!$H$3:$H$593,GCA!G$3:G$593,"",0,1))</f>
        <v>657.32899999999995</v>
      </c>
    </row>
    <row r="97" spans="1:24" ht="13.2">
      <c r="A97" s="49"/>
      <c r="B97" s="49"/>
      <c r="C97" s="48"/>
      <c r="D97" s="49"/>
      <c r="E97" s="50">
        <v>3</v>
      </c>
      <c r="F97" s="26" t="s">
        <v>232</v>
      </c>
      <c r="G97" s="26" t="s">
        <v>633</v>
      </c>
      <c r="H97" s="27">
        <f t="shared" si="43"/>
        <v>15995.665000000001</v>
      </c>
      <c r="I97" s="27">
        <f t="shared" si="43"/>
        <v>16103.234</v>
      </c>
      <c r="J97" s="27">
        <f t="shared" si="43"/>
        <v>19386.294000000002</v>
      </c>
      <c r="K97" s="27">
        <f t="shared" si="44"/>
        <v>17161.731</v>
      </c>
      <c r="L97" s="65">
        <f>SUM(K97:K99)</f>
        <v>42283.75233333333</v>
      </c>
      <c r="M97" s="67">
        <f t="shared" si="45"/>
        <v>1.7748197215794053</v>
      </c>
      <c r="N97" s="65">
        <f t="shared" si="30"/>
        <v>2</v>
      </c>
      <c r="O97" s="65">
        <f t="shared" si="46"/>
        <v>2</v>
      </c>
      <c r="P97" s="65">
        <f t="shared" si="46"/>
        <v>2</v>
      </c>
      <c r="Q97" s="38"/>
      <c r="R97" s="3" t="str">
        <f t="shared" si="47"/>
        <v>Krishnagiri</v>
      </c>
      <c r="S97" s="3" t="str">
        <f t="shared" si="32"/>
        <v>Krishnagiri</v>
      </c>
      <c r="T97" s="3" t="str">
        <f t="shared" si="32"/>
        <v>Kaveripattinam</v>
      </c>
      <c r="U97" s="3" t="str">
        <f t="shared" si="33"/>
        <v>Krishnagiri_Krishnagiri_Kaveripattinam</v>
      </c>
      <c r="V97" s="3">
        <f>IF(_xlfn.XLOOKUP($U97,GCA!$H$3:$H$593,GCA!E$3:E$593,"",0,1)="","",_xlfn.XLOOKUP($U97,GCA!$H$3:$H$593,GCA!E$3:E$593,"",0,1))</f>
        <v>15995.665000000001</v>
      </c>
      <c r="W97" s="3">
        <f>IF(_xlfn.XLOOKUP($U97,GCA!$H$3:$H$593,GCA!F$3:F$593,"",0,1)="","",_xlfn.XLOOKUP($U97,GCA!$H$3:$H$593,GCA!F$3:F$593,"",0,1))</f>
        <v>16103.234</v>
      </c>
      <c r="X97" s="3">
        <f>IF(_xlfn.XLOOKUP($U97,GCA!$H$3:$H$593,GCA!G$3:G$593,"",0,1)="","",_xlfn.XLOOKUP($U97,GCA!$H$3:$H$593,GCA!G$3:G$593,"",0,1))</f>
        <v>19386.294000000002</v>
      </c>
    </row>
    <row r="98" spans="1:24" ht="13.2">
      <c r="A98" s="49"/>
      <c r="B98" s="49"/>
      <c r="C98" s="48"/>
      <c r="D98" s="49"/>
      <c r="E98" s="50"/>
      <c r="F98" s="26" t="s">
        <v>232</v>
      </c>
      <c r="G98" s="26" t="s">
        <v>232</v>
      </c>
      <c r="H98" s="27">
        <f t="shared" si="43"/>
        <v>14503.638999999999</v>
      </c>
      <c r="I98" s="27">
        <f t="shared" si="43"/>
        <v>14115.800999999999</v>
      </c>
      <c r="J98" s="27">
        <f t="shared" si="43"/>
        <v>14261.161</v>
      </c>
      <c r="K98" s="27">
        <f t="shared" si="44"/>
        <v>14293.533666666664</v>
      </c>
      <c r="L98" s="65"/>
      <c r="M98" s="67">
        <f t="shared" si="45"/>
        <v>0</v>
      </c>
      <c r="N98" s="65" t="str">
        <f t="shared" si="30"/>
        <v/>
      </c>
      <c r="O98" s="65" t="str">
        <f t="shared" si="46"/>
        <v/>
      </c>
      <c r="P98" s="65" t="str">
        <f t="shared" si="46"/>
        <v/>
      </c>
      <c r="Q98" s="38"/>
      <c r="R98" s="3" t="str">
        <f t="shared" si="47"/>
        <v>Krishnagiri</v>
      </c>
      <c r="S98" s="3" t="str">
        <f t="shared" si="32"/>
        <v>Krishnagiri</v>
      </c>
      <c r="T98" s="3" t="str">
        <f t="shared" si="32"/>
        <v>Krishnagiri</v>
      </c>
      <c r="U98" s="3" t="str">
        <f t="shared" si="33"/>
        <v>Krishnagiri_Krishnagiri_Krishnagiri</v>
      </c>
      <c r="V98" s="3">
        <f>IF(_xlfn.XLOOKUP($U98,GCA!$H$3:$H$593,GCA!E$3:E$593,"",0,1)="","",_xlfn.XLOOKUP($U98,GCA!$H$3:$H$593,GCA!E$3:E$593,"",0,1))</f>
        <v>14503.638999999999</v>
      </c>
      <c r="W98" s="3">
        <f>IF(_xlfn.XLOOKUP($U98,GCA!$H$3:$H$593,GCA!F$3:F$593,"",0,1)="","",_xlfn.XLOOKUP($U98,GCA!$H$3:$H$593,GCA!F$3:F$593,"",0,1))</f>
        <v>14115.800999999999</v>
      </c>
      <c r="X98" s="3">
        <f>IF(_xlfn.XLOOKUP($U98,GCA!$H$3:$H$593,GCA!G$3:G$593,"",0,1)="","",_xlfn.XLOOKUP($U98,GCA!$H$3:$H$593,GCA!G$3:G$593,"",0,1))</f>
        <v>14261.161</v>
      </c>
    </row>
    <row r="99" spans="1:24" ht="13.2">
      <c r="A99" s="49"/>
      <c r="B99" s="49"/>
      <c r="C99" s="48"/>
      <c r="D99" s="49"/>
      <c r="E99" s="50"/>
      <c r="F99" s="26" t="s">
        <v>232</v>
      </c>
      <c r="G99" s="26" t="s">
        <v>634</v>
      </c>
      <c r="H99" s="27">
        <f t="shared" si="43"/>
        <v>11004.11</v>
      </c>
      <c r="I99" s="27">
        <f t="shared" si="43"/>
        <v>10954.931</v>
      </c>
      <c r="J99" s="27">
        <f t="shared" si="43"/>
        <v>10526.422</v>
      </c>
      <c r="K99" s="27">
        <f t="shared" si="44"/>
        <v>10828.487666666668</v>
      </c>
      <c r="L99" s="65"/>
      <c r="M99" s="67">
        <f t="shared" si="45"/>
        <v>0</v>
      </c>
      <c r="N99" s="65" t="str">
        <f t="shared" si="30"/>
        <v/>
      </c>
      <c r="O99" s="65" t="str">
        <f t="shared" si="46"/>
        <v/>
      </c>
      <c r="P99" s="65" t="str">
        <f t="shared" si="46"/>
        <v/>
      </c>
      <c r="Q99" s="38"/>
      <c r="R99" s="3" t="str">
        <f t="shared" si="47"/>
        <v>Krishnagiri</v>
      </c>
      <c r="S99" s="3" t="str">
        <f t="shared" si="32"/>
        <v>Krishnagiri</v>
      </c>
      <c r="T99" s="3" t="str">
        <f t="shared" si="32"/>
        <v>Veppanapalli</v>
      </c>
      <c r="U99" s="3" t="str">
        <f t="shared" si="33"/>
        <v>Krishnagiri_Krishnagiri_Veppanapalli</v>
      </c>
      <c r="V99" s="3">
        <f>IF(_xlfn.XLOOKUP($U99,GCA!$H$3:$H$593,GCA!E$3:E$593,"",0,1)="","",_xlfn.XLOOKUP($U99,GCA!$H$3:$H$593,GCA!E$3:E$593,"",0,1))</f>
        <v>11004.11</v>
      </c>
      <c r="W99" s="3">
        <f>IF(_xlfn.XLOOKUP($U99,GCA!$H$3:$H$593,GCA!F$3:F$593,"",0,1)="","",_xlfn.XLOOKUP($U99,GCA!$H$3:$H$593,GCA!F$3:F$593,"",0,1))</f>
        <v>10954.931</v>
      </c>
      <c r="X99" s="3">
        <f>IF(_xlfn.XLOOKUP($U99,GCA!$H$3:$H$593,GCA!G$3:G$593,"",0,1)="","",_xlfn.XLOOKUP($U99,GCA!$H$3:$H$593,GCA!G$3:G$593,"",0,1))</f>
        <v>10526.422</v>
      </c>
    </row>
    <row r="100" spans="1:24" ht="13.2">
      <c r="A100" s="49"/>
      <c r="B100" s="49"/>
      <c r="C100" s="48"/>
      <c r="D100" s="49"/>
      <c r="E100" s="50">
        <v>4</v>
      </c>
      <c r="F100" s="26" t="s">
        <v>635</v>
      </c>
      <c r="G100" s="26" t="s">
        <v>629</v>
      </c>
      <c r="H100" s="27">
        <f t="shared" si="43"/>
        <v>10042.094999999999</v>
      </c>
      <c r="I100" s="27">
        <f t="shared" si="43"/>
        <v>10064.67</v>
      </c>
      <c r="J100" s="27">
        <f t="shared" si="43"/>
        <v>10302.305</v>
      </c>
      <c r="K100" s="27">
        <f t="shared" si="44"/>
        <v>10136.356666666667</v>
      </c>
      <c r="L100" s="65">
        <f>SUM(K100:K103)</f>
        <v>49773.162333333326</v>
      </c>
      <c r="M100" s="67">
        <f t="shared" si="45"/>
        <v>2.0891804828053036</v>
      </c>
      <c r="N100" s="65">
        <f t="shared" si="30"/>
        <v>2</v>
      </c>
      <c r="O100" s="65">
        <f t="shared" si="46"/>
        <v>2</v>
      </c>
      <c r="P100" s="65">
        <f t="shared" si="46"/>
        <v>2</v>
      </c>
      <c r="Q100" s="38"/>
      <c r="R100" s="3" t="str">
        <f t="shared" si="47"/>
        <v>Krishnagiri</v>
      </c>
      <c r="S100" s="3" t="str">
        <f t="shared" si="32"/>
        <v>Pochampalli</v>
      </c>
      <c r="T100" s="3" t="str">
        <f t="shared" si="32"/>
        <v>Bargur</v>
      </c>
      <c r="U100" s="3" t="str">
        <f t="shared" si="33"/>
        <v>Krishnagiri_Pochampalli_Bargur</v>
      </c>
      <c r="V100" s="3">
        <f>IF(_xlfn.XLOOKUP($U100,GCA!$H$3:$H$593,GCA!E$3:E$593,"",0,1)="","",_xlfn.XLOOKUP($U100,GCA!$H$3:$H$593,GCA!E$3:E$593,"",0,1))</f>
        <v>10042.094999999999</v>
      </c>
      <c r="W100" s="3">
        <f>IF(_xlfn.XLOOKUP($U100,GCA!$H$3:$H$593,GCA!F$3:F$593,"",0,1)="","",_xlfn.XLOOKUP($U100,GCA!$H$3:$H$593,GCA!F$3:F$593,"",0,1))</f>
        <v>10064.67</v>
      </c>
      <c r="X100" s="3">
        <f>IF(_xlfn.XLOOKUP($U100,GCA!$H$3:$H$593,GCA!G$3:G$593,"",0,1)="","",_xlfn.XLOOKUP($U100,GCA!$H$3:$H$593,GCA!G$3:G$593,"",0,1))</f>
        <v>10302.305</v>
      </c>
    </row>
    <row r="101" spans="1:24" ht="13.2">
      <c r="A101" s="49"/>
      <c r="B101" s="49"/>
      <c r="C101" s="48"/>
      <c r="D101" s="49"/>
      <c r="E101" s="50"/>
      <c r="F101" s="26" t="s">
        <v>635</v>
      </c>
      <c r="G101" s="26" t="s">
        <v>633</v>
      </c>
      <c r="H101" s="27">
        <f t="shared" si="43"/>
        <v>11053.485000000001</v>
      </c>
      <c r="I101" s="27">
        <f t="shared" si="43"/>
        <v>10886.550999999999</v>
      </c>
      <c r="J101" s="27">
        <f t="shared" si="43"/>
        <v>11720.215</v>
      </c>
      <c r="K101" s="27">
        <f t="shared" si="44"/>
        <v>11220.083666666667</v>
      </c>
      <c r="L101" s="65"/>
      <c r="M101" s="67">
        <f t="shared" si="45"/>
        <v>0</v>
      </c>
      <c r="N101" s="65" t="str">
        <f t="shared" si="30"/>
        <v/>
      </c>
      <c r="O101" s="65" t="str">
        <f t="shared" si="46"/>
        <v/>
      </c>
      <c r="P101" s="65" t="str">
        <f t="shared" si="46"/>
        <v/>
      </c>
      <c r="Q101" s="38"/>
      <c r="R101" s="3" t="str">
        <f t="shared" si="47"/>
        <v>Krishnagiri</v>
      </c>
      <c r="S101" s="3" t="str">
        <f t="shared" si="32"/>
        <v>Pochampalli</v>
      </c>
      <c r="T101" s="3" t="str">
        <f t="shared" si="32"/>
        <v>Kaveripattinam</v>
      </c>
      <c r="U101" s="3" t="str">
        <f t="shared" si="33"/>
        <v>Krishnagiri_Pochampalli_Kaveripattinam</v>
      </c>
      <c r="V101" s="3">
        <f>IF(_xlfn.XLOOKUP($U101,GCA!$H$3:$H$593,GCA!E$3:E$593,"",0,1)="","",_xlfn.XLOOKUP($U101,GCA!$H$3:$H$593,GCA!E$3:E$593,"",0,1))</f>
        <v>11053.485000000001</v>
      </c>
      <c r="W101" s="3">
        <f>IF(_xlfn.XLOOKUP($U101,GCA!$H$3:$H$593,GCA!F$3:F$593,"",0,1)="","",_xlfn.XLOOKUP($U101,GCA!$H$3:$H$593,GCA!F$3:F$593,"",0,1))</f>
        <v>10886.550999999999</v>
      </c>
      <c r="X101" s="3">
        <f>IF(_xlfn.XLOOKUP($U101,GCA!$H$3:$H$593,GCA!G$3:G$593,"",0,1)="","",_xlfn.XLOOKUP($U101,GCA!$H$3:$H$593,GCA!G$3:G$593,"",0,1))</f>
        <v>11720.215</v>
      </c>
    </row>
    <row r="102" spans="1:24" ht="13.2">
      <c r="A102" s="49"/>
      <c r="B102" s="49"/>
      <c r="C102" s="48"/>
      <c r="D102" s="49"/>
      <c r="E102" s="50"/>
      <c r="F102" s="26" t="s">
        <v>635</v>
      </c>
      <c r="G102" s="26" t="s">
        <v>630</v>
      </c>
      <c r="H102" s="27">
        <f t="shared" si="43"/>
        <v>6853.3950000000004</v>
      </c>
      <c r="I102" s="27">
        <f t="shared" si="43"/>
        <v>6976.75</v>
      </c>
      <c r="J102" s="27">
        <f t="shared" si="43"/>
        <v>6735.375</v>
      </c>
      <c r="K102" s="27">
        <f t="shared" si="44"/>
        <v>6855.1733333333332</v>
      </c>
      <c r="L102" s="65"/>
      <c r="M102" s="67">
        <f t="shared" si="45"/>
        <v>0</v>
      </c>
      <c r="N102" s="65" t="str">
        <f t="shared" si="30"/>
        <v/>
      </c>
      <c r="O102" s="65" t="str">
        <f t="shared" si="46"/>
        <v/>
      </c>
      <c r="P102" s="65" t="str">
        <f t="shared" si="46"/>
        <v/>
      </c>
      <c r="Q102" s="38"/>
      <c r="R102" s="3" t="str">
        <f t="shared" si="47"/>
        <v>Krishnagiri</v>
      </c>
      <c r="S102" s="3" t="str">
        <f t="shared" si="32"/>
        <v>Pochampalli</v>
      </c>
      <c r="T102" s="3" t="str">
        <f t="shared" si="32"/>
        <v>Mathur</v>
      </c>
      <c r="U102" s="3" t="str">
        <f t="shared" si="33"/>
        <v>Krishnagiri_Pochampalli_Mathur</v>
      </c>
      <c r="V102" s="3">
        <f>IF(_xlfn.XLOOKUP($U102,GCA!$H$3:$H$593,GCA!E$3:E$593,"",0,1)="","",_xlfn.XLOOKUP($U102,GCA!$H$3:$H$593,GCA!E$3:E$593,"",0,1))</f>
        <v>6853.3950000000004</v>
      </c>
      <c r="W102" s="3">
        <f>IF(_xlfn.XLOOKUP($U102,GCA!$H$3:$H$593,GCA!F$3:F$593,"",0,1)="","",_xlfn.XLOOKUP($U102,GCA!$H$3:$H$593,GCA!F$3:F$593,"",0,1))</f>
        <v>6976.75</v>
      </c>
      <c r="X102" s="3">
        <f>IF(_xlfn.XLOOKUP($U102,GCA!$H$3:$H$593,GCA!G$3:G$593,"",0,1)="","",_xlfn.XLOOKUP($U102,GCA!$H$3:$H$593,GCA!G$3:G$593,"",0,1))</f>
        <v>6735.375</v>
      </c>
    </row>
    <row r="103" spans="1:24" ht="13.2">
      <c r="A103" s="49"/>
      <c r="B103" s="49"/>
      <c r="C103" s="48"/>
      <c r="D103" s="49"/>
      <c r="E103" s="50"/>
      <c r="F103" s="26" t="s">
        <v>632</v>
      </c>
      <c r="G103" s="26" t="s">
        <v>632</v>
      </c>
      <c r="H103" s="27">
        <f t="shared" si="43"/>
        <v>21542.55</v>
      </c>
      <c r="I103" s="27">
        <f t="shared" si="43"/>
        <v>22528.005000000001</v>
      </c>
      <c r="J103" s="27">
        <f t="shared" si="43"/>
        <v>20614.091</v>
      </c>
      <c r="K103" s="27">
        <f t="shared" si="44"/>
        <v>21561.548666666666</v>
      </c>
      <c r="L103" s="65"/>
      <c r="M103" s="67">
        <f t="shared" si="45"/>
        <v>0</v>
      </c>
      <c r="N103" s="65" t="str">
        <f t="shared" si="30"/>
        <v/>
      </c>
      <c r="O103" s="65" t="str">
        <f t="shared" si="46"/>
        <v/>
      </c>
      <c r="P103" s="65" t="str">
        <f t="shared" si="46"/>
        <v/>
      </c>
      <c r="Q103" s="38"/>
      <c r="R103" s="3" t="str">
        <f t="shared" si="47"/>
        <v>Krishnagiri</v>
      </c>
      <c r="S103" s="3" t="str">
        <f t="shared" si="32"/>
        <v>Shoolagiri</v>
      </c>
      <c r="T103" s="3" t="str">
        <f t="shared" si="32"/>
        <v>Shoolagiri</v>
      </c>
      <c r="U103" s="3" t="str">
        <f t="shared" si="33"/>
        <v>Krishnagiri_Shoolagiri_Shoolagiri</v>
      </c>
      <c r="V103" s="3">
        <f>IF(_xlfn.XLOOKUP($U103,GCA!$H$3:$H$593,GCA!E$3:E$593,"",0,1)="","",_xlfn.XLOOKUP($U103,GCA!$H$3:$H$593,GCA!E$3:E$593,"",0,1))</f>
        <v>21542.55</v>
      </c>
      <c r="W103" s="3">
        <f>IF(_xlfn.XLOOKUP($U103,GCA!$H$3:$H$593,GCA!F$3:F$593,"",0,1)="","",_xlfn.XLOOKUP($U103,GCA!$H$3:$H$593,GCA!F$3:F$593,"",0,1))</f>
        <v>22528.005000000001</v>
      </c>
      <c r="X103" s="3">
        <f>IF(_xlfn.XLOOKUP($U103,GCA!$H$3:$H$593,GCA!G$3:G$593,"",0,1)="","",_xlfn.XLOOKUP($U103,GCA!$H$3:$H$593,GCA!G$3:G$593,"",0,1))</f>
        <v>20614.091</v>
      </c>
    </row>
    <row r="104" spans="1:24" ht="13.2">
      <c r="A104" s="49"/>
      <c r="B104" s="49"/>
      <c r="C104" s="48"/>
      <c r="D104" s="49"/>
      <c r="E104" s="50">
        <v>5</v>
      </c>
      <c r="F104" s="26" t="s">
        <v>636</v>
      </c>
      <c r="G104" s="26" t="s">
        <v>630</v>
      </c>
      <c r="H104" s="27">
        <f t="shared" si="43"/>
        <v>11365.424999999999</v>
      </c>
      <c r="I104" s="27">
        <f t="shared" si="43"/>
        <v>11053.83</v>
      </c>
      <c r="J104" s="27">
        <f t="shared" si="43"/>
        <v>10297.594999999999</v>
      </c>
      <c r="K104" s="27">
        <f t="shared" si="44"/>
        <v>10905.616666666667</v>
      </c>
      <c r="L104" s="65">
        <f>SUM(K104:K105)</f>
        <v>34441.781999999999</v>
      </c>
      <c r="M104" s="67">
        <f t="shared" si="45"/>
        <v>1.4456605804057245</v>
      </c>
      <c r="N104" s="65">
        <f t="shared" si="30"/>
        <v>2</v>
      </c>
      <c r="O104" s="65">
        <f t="shared" si="46"/>
        <v>2</v>
      </c>
      <c r="P104" s="65">
        <f t="shared" si="46"/>
        <v>2</v>
      </c>
      <c r="Q104" s="38"/>
      <c r="R104" s="3" t="str">
        <f t="shared" si="47"/>
        <v>Krishnagiri</v>
      </c>
      <c r="S104" s="3" t="str">
        <f t="shared" si="32"/>
        <v>Uthangarai</v>
      </c>
      <c r="T104" s="3" t="str">
        <f t="shared" si="32"/>
        <v>Mathur</v>
      </c>
      <c r="U104" s="3" t="str">
        <f t="shared" si="33"/>
        <v>Krishnagiri_Uthangarai_Mathur</v>
      </c>
      <c r="V104" s="3">
        <f>IF(_xlfn.XLOOKUP($U104,GCA!$H$3:$H$593,GCA!E$3:E$593,"",0,1)="","",_xlfn.XLOOKUP($U104,GCA!$H$3:$H$593,GCA!E$3:E$593,"",0,1))</f>
        <v>11365.424999999999</v>
      </c>
      <c r="W104" s="3">
        <f>IF(_xlfn.XLOOKUP($U104,GCA!$H$3:$H$593,GCA!F$3:F$593,"",0,1)="","",_xlfn.XLOOKUP($U104,GCA!$H$3:$H$593,GCA!F$3:F$593,"",0,1))</f>
        <v>11053.83</v>
      </c>
      <c r="X104" s="3">
        <f>IF(_xlfn.XLOOKUP($U104,GCA!$H$3:$H$593,GCA!G$3:G$593,"",0,1)="","",_xlfn.XLOOKUP($U104,GCA!$H$3:$H$593,GCA!G$3:G$593,"",0,1))</f>
        <v>10297.594999999999</v>
      </c>
    </row>
    <row r="105" spans="1:24" ht="13.2">
      <c r="A105" s="49"/>
      <c r="B105" s="49"/>
      <c r="C105" s="48"/>
      <c r="D105" s="49"/>
      <c r="E105" s="50"/>
      <c r="F105" s="26" t="s">
        <v>636</v>
      </c>
      <c r="G105" s="26" t="s">
        <v>636</v>
      </c>
      <c r="H105" s="27">
        <f t="shared" si="43"/>
        <v>24616.79</v>
      </c>
      <c r="I105" s="27">
        <f t="shared" si="43"/>
        <v>23288.861000000001</v>
      </c>
      <c r="J105" s="27">
        <f t="shared" si="43"/>
        <v>22702.845000000001</v>
      </c>
      <c r="K105" s="27">
        <f t="shared" si="44"/>
        <v>23536.165333333334</v>
      </c>
      <c r="L105" s="65"/>
      <c r="M105" s="67">
        <f t="shared" si="45"/>
        <v>0</v>
      </c>
      <c r="N105" s="65" t="str">
        <f t="shared" si="30"/>
        <v/>
      </c>
      <c r="O105" s="65" t="str">
        <f t="shared" si="46"/>
        <v/>
      </c>
      <c r="P105" s="65" t="str">
        <f t="shared" si="46"/>
        <v/>
      </c>
      <c r="Q105" s="38"/>
      <c r="R105" s="3" t="str">
        <f t="shared" si="47"/>
        <v>Krishnagiri</v>
      </c>
      <c r="S105" s="3" t="str">
        <f t="shared" si="32"/>
        <v>Uthangarai</v>
      </c>
      <c r="T105" s="3" t="str">
        <f t="shared" si="32"/>
        <v>Uthangarai</v>
      </c>
      <c r="U105" s="3" t="str">
        <f t="shared" si="33"/>
        <v>Krishnagiri_Uthangarai_Uthangarai</v>
      </c>
      <c r="V105" s="3">
        <f>IF(_xlfn.XLOOKUP($U105,GCA!$H$3:$H$593,GCA!E$3:E$593,"",0,1)="","",_xlfn.XLOOKUP($U105,GCA!$H$3:$H$593,GCA!E$3:E$593,"",0,1))</f>
        <v>24616.79</v>
      </c>
      <c r="W105" s="3">
        <f>IF(_xlfn.XLOOKUP($U105,GCA!$H$3:$H$593,GCA!F$3:F$593,"",0,1)="","",_xlfn.XLOOKUP($U105,GCA!$H$3:$H$593,GCA!F$3:F$593,"",0,1))</f>
        <v>23288.861000000001</v>
      </c>
      <c r="X105" s="3">
        <f>IF(_xlfn.XLOOKUP($U105,GCA!$H$3:$H$593,GCA!G$3:G$593,"",0,1)="","",_xlfn.XLOOKUP($U105,GCA!$H$3:$H$593,GCA!G$3:G$593,"",0,1))</f>
        <v>22702.845000000001</v>
      </c>
    </row>
    <row r="106" spans="1:24" ht="13.2">
      <c r="A106" s="49"/>
      <c r="B106" s="49"/>
      <c r="C106" s="48"/>
      <c r="D106" s="49"/>
      <c r="E106" s="47" t="s">
        <v>564</v>
      </c>
      <c r="F106" s="47"/>
      <c r="G106" s="47"/>
      <c r="H106" s="29">
        <f t="shared" ref="H106:P106" si="48">SUM(H90:H105)</f>
        <v>249251.375</v>
      </c>
      <c r="I106" s="29">
        <f t="shared" si="48"/>
        <v>240157.64800000002</v>
      </c>
      <c r="J106" s="29">
        <f t="shared" si="48"/>
        <v>241187.96699999995</v>
      </c>
      <c r="K106" s="29">
        <f t="shared" si="48"/>
        <v>243532.33000000002</v>
      </c>
      <c r="L106" s="29">
        <f t="shared" si="48"/>
        <v>243532.33000000002</v>
      </c>
      <c r="M106" s="30">
        <f t="shared" si="48"/>
        <v>10.222034665202816</v>
      </c>
      <c r="N106" s="31">
        <f t="shared" si="48"/>
        <v>10</v>
      </c>
      <c r="O106" s="31">
        <f t="shared" si="48"/>
        <v>10</v>
      </c>
      <c r="P106" s="31">
        <f t="shared" si="48"/>
        <v>10</v>
      </c>
      <c r="Q106" s="38"/>
      <c r="R106" s="3" t="str">
        <f t="shared" si="47"/>
        <v>Krishnagiri</v>
      </c>
      <c r="S106" s="3">
        <f t="shared" si="32"/>
        <v>0</v>
      </c>
      <c r="T106" s="3">
        <f t="shared" si="32"/>
        <v>0</v>
      </c>
      <c r="U106" s="3" t="str">
        <f t="shared" si="33"/>
        <v>Krishnagiri_0_0</v>
      </c>
      <c r="V106" s="3" t="str">
        <f>IF(_xlfn.XLOOKUP($U106,GCA!$H$3:$H$593,GCA!E$3:E$593,"",0,1)="","",_xlfn.XLOOKUP($U106,GCA!$H$3:$H$593,GCA!E$3:E$593,"",0,1))</f>
        <v/>
      </c>
      <c r="W106" s="3" t="str">
        <f>IF(_xlfn.XLOOKUP($U106,GCA!$H$3:$H$593,GCA!F$3:F$593,"",0,1)="","",_xlfn.XLOOKUP($U106,GCA!$H$3:$H$593,GCA!F$3:F$593,"",0,1))</f>
        <v/>
      </c>
      <c r="X106" s="3" t="str">
        <f>IF(_xlfn.XLOOKUP($U106,GCA!$H$3:$H$593,GCA!G$3:G$593,"",0,1)="","",_xlfn.XLOOKUP($U106,GCA!$H$3:$H$593,GCA!G$3:G$593,"",0,1))</f>
        <v/>
      </c>
    </row>
    <row r="107" spans="1:24" ht="13.2">
      <c r="A107" s="49"/>
      <c r="B107" s="49"/>
      <c r="C107" s="48" t="s">
        <v>497</v>
      </c>
      <c r="D107" s="49" t="s">
        <v>546</v>
      </c>
      <c r="E107" s="50">
        <v>1</v>
      </c>
      <c r="F107" s="26" t="s">
        <v>833</v>
      </c>
      <c r="G107" s="26" t="s">
        <v>834</v>
      </c>
      <c r="H107" s="27">
        <f t="shared" ref="H107:J116" si="49">V107</f>
        <v>9637.5550000000003</v>
      </c>
      <c r="I107" s="27">
        <f t="shared" si="49"/>
        <v>9848.92</v>
      </c>
      <c r="J107" s="27">
        <f t="shared" si="49"/>
        <v>9089.52</v>
      </c>
      <c r="K107" s="27">
        <f t="shared" ref="K107:K116" si="50">IFERROR(AVERAGE(H107:J107),"")</f>
        <v>9525.3316666666669</v>
      </c>
      <c r="L107" s="65">
        <f>SUM(K107:K116)</f>
        <v>81615.142333333337</v>
      </c>
      <c r="M107" s="67">
        <f t="shared" ref="M107:M116" si="51">L107*$L$643/$L$642</f>
        <v>3.425716881765946</v>
      </c>
      <c r="N107" s="65">
        <f t="shared" ref="N107:N116" si="52">IF(M107&gt;=2, ROUND(M107,0), IF(M107&gt;1.1,2,""))</f>
        <v>3</v>
      </c>
      <c r="O107" s="65">
        <f t="shared" ref="O107:P116" si="53">N107</f>
        <v>3</v>
      </c>
      <c r="P107" s="65">
        <f t="shared" si="53"/>
        <v>3</v>
      </c>
      <c r="Q107" s="38"/>
      <c r="R107" s="3" t="str">
        <f t="shared" ref="R107" si="54">C107</f>
        <v>Tirupathur</v>
      </c>
      <c r="S107" s="3" t="str">
        <f t="shared" si="32"/>
        <v>Ambur</v>
      </c>
      <c r="T107" s="3" t="str">
        <f t="shared" si="32"/>
        <v>Madhanur</v>
      </c>
      <c r="U107" s="3" t="str">
        <f t="shared" si="33"/>
        <v>Tirupathur_Ambur_Madhanur</v>
      </c>
      <c r="V107" s="3">
        <f>IF(_xlfn.XLOOKUP($U107,GCA!$H$3:$H$593,GCA!E$3:E$593,"",0,1)="","",_xlfn.XLOOKUP($U107,GCA!$H$3:$H$593,GCA!E$3:E$593,"",0,1))</f>
        <v>9637.5550000000003</v>
      </c>
      <c r="W107" s="3">
        <f>IF(_xlfn.XLOOKUP($U107,GCA!$H$3:$H$593,GCA!F$3:F$593,"",0,1)="","",_xlfn.XLOOKUP($U107,GCA!$H$3:$H$593,GCA!F$3:F$593,"",0,1))</f>
        <v>9848.92</v>
      </c>
      <c r="X107" s="3">
        <f>IF(_xlfn.XLOOKUP($U107,GCA!$H$3:$H$593,GCA!G$3:G$593,"",0,1)="","",_xlfn.XLOOKUP($U107,GCA!$H$3:$H$593,GCA!G$3:G$593,"",0,1))</f>
        <v>9089.52</v>
      </c>
    </row>
    <row r="108" spans="1:24" ht="13.2">
      <c r="A108" s="49"/>
      <c r="B108" s="49"/>
      <c r="C108" s="48"/>
      <c r="D108" s="49"/>
      <c r="E108" s="50"/>
      <c r="F108" s="26" t="s">
        <v>835</v>
      </c>
      <c r="G108" s="26" t="s">
        <v>836</v>
      </c>
      <c r="H108" s="27">
        <f t="shared" si="49"/>
        <v>8250.2450000000008</v>
      </c>
      <c r="I108" s="27">
        <f t="shared" si="49"/>
        <v>7264.2449999999999</v>
      </c>
      <c r="J108" s="27">
        <f t="shared" si="49"/>
        <v>7556.77</v>
      </c>
      <c r="K108" s="27">
        <f t="shared" si="50"/>
        <v>7690.420000000001</v>
      </c>
      <c r="L108" s="65"/>
      <c r="M108" s="67">
        <f t="shared" si="51"/>
        <v>0</v>
      </c>
      <c r="N108" s="65" t="str">
        <f t="shared" si="52"/>
        <v/>
      </c>
      <c r="O108" s="65" t="str">
        <f t="shared" si="53"/>
        <v/>
      </c>
      <c r="P108" s="65" t="str">
        <f t="shared" si="53"/>
        <v/>
      </c>
      <c r="Q108" s="38"/>
      <c r="R108" s="3" t="str">
        <f t="shared" ref="R108:R117" si="55">R107</f>
        <v>Tirupathur</v>
      </c>
      <c r="S108" s="3" t="str">
        <f t="shared" si="32"/>
        <v>Natrampalli</v>
      </c>
      <c r="T108" s="3" t="str">
        <f t="shared" si="32"/>
        <v>Jolarpettai</v>
      </c>
      <c r="U108" s="3" t="str">
        <f t="shared" si="33"/>
        <v>Tirupathur_Natrampalli_Jolarpettai</v>
      </c>
      <c r="V108" s="3">
        <f>IF(_xlfn.XLOOKUP($U108,GCA!$H$3:$H$593,GCA!E$3:E$593,"",0,1)="","",_xlfn.XLOOKUP($U108,GCA!$H$3:$H$593,GCA!E$3:E$593,"",0,1))</f>
        <v>8250.2450000000008</v>
      </c>
      <c r="W108" s="3">
        <f>IF(_xlfn.XLOOKUP($U108,GCA!$H$3:$H$593,GCA!F$3:F$593,"",0,1)="","",_xlfn.XLOOKUP($U108,GCA!$H$3:$H$593,GCA!F$3:F$593,"",0,1))</f>
        <v>7264.2449999999999</v>
      </c>
      <c r="X108" s="3">
        <f>IF(_xlfn.XLOOKUP($U108,GCA!$H$3:$H$593,GCA!G$3:G$593,"",0,1)="","",_xlfn.XLOOKUP($U108,GCA!$H$3:$H$593,GCA!G$3:G$593,"",0,1))</f>
        <v>7556.77</v>
      </c>
    </row>
    <row r="109" spans="1:24" ht="13.2">
      <c r="A109" s="49"/>
      <c r="B109" s="49"/>
      <c r="C109" s="48"/>
      <c r="D109" s="49"/>
      <c r="E109" s="50"/>
      <c r="F109" s="26" t="s">
        <v>835</v>
      </c>
      <c r="G109" s="26" t="s">
        <v>835</v>
      </c>
      <c r="H109" s="27">
        <f t="shared" si="49"/>
        <v>10010.5</v>
      </c>
      <c r="I109" s="27">
        <f t="shared" si="49"/>
        <v>9432.66</v>
      </c>
      <c r="J109" s="27">
        <f t="shared" si="49"/>
        <v>8689.1350000000002</v>
      </c>
      <c r="K109" s="27">
        <f t="shared" si="50"/>
        <v>9377.4316666666655</v>
      </c>
      <c r="L109" s="65"/>
      <c r="M109" s="67">
        <f t="shared" si="51"/>
        <v>0</v>
      </c>
      <c r="N109" s="65" t="str">
        <f t="shared" si="52"/>
        <v/>
      </c>
      <c r="O109" s="65" t="str">
        <f t="shared" si="53"/>
        <v/>
      </c>
      <c r="P109" s="65" t="str">
        <f t="shared" si="53"/>
        <v/>
      </c>
      <c r="Q109" s="38"/>
      <c r="R109" s="3" t="str">
        <f t="shared" si="55"/>
        <v>Tirupathur</v>
      </c>
      <c r="S109" s="3" t="str">
        <f t="shared" si="32"/>
        <v>Natrampalli</v>
      </c>
      <c r="T109" s="3" t="str">
        <f t="shared" si="32"/>
        <v>Natrampalli</v>
      </c>
      <c r="U109" s="3" t="str">
        <f t="shared" si="33"/>
        <v>Tirupathur_Natrampalli_Natrampalli</v>
      </c>
      <c r="V109" s="3">
        <f>IF(_xlfn.XLOOKUP($U109,GCA!$H$3:$H$593,GCA!E$3:E$593,"",0,1)="","",_xlfn.XLOOKUP($U109,GCA!$H$3:$H$593,GCA!E$3:E$593,"",0,1))</f>
        <v>10010.5</v>
      </c>
      <c r="W109" s="3">
        <f>IF(_xlfn.XLOOKUP($U109,GCA!$H$3:$H$593,GCA!F$3:F$593,"",0,1)="","",_xlfn.XLOOKUP($U109,GCA!$H$3:$H$593,GCA!F$3:F$593,"",0,1))</f>
        <v>9432.66</v>
      </c>
      <c r="X109" s="3">
        <f>IF(_xlfn.XLOOKUP($U109,GCA!$H$3:$H$593,GCA!G$3:G$593,"",0,1)="","",_xlfn.XLOOKUP($U109,GCA!$H$3:$H$593,GCA!G$3:G$593,"",0,1))</f>
        <v>8689.1350000000002</v>
      </c>
    </row>
    <row r="110" spans="1:24" ht="13.2">
      <c r="A110" s="49"/>
      <c r="B110" s="49"/>
      <c r="C110" s="48"/>
      <c r="D110" s="49"/>
      <c r="E110" s="50"/>
      <c r="F110" s="26" t="s">
        <v>837</v>
      </c>
      <c r="G110" s="26" t="s">
        <v>838</v>
      </c>
      <c r="H110" s="27">
        <f t="shared" si="49"/>
        <v>3531.08</v>
      </c>
      <c r="I110" s="27">
        <f t="shared" si="49"/>
        <v>3149.42</v>
      </c>
      <c r="J110" s="27">
        <f t="shared" si="49"/>
        <v>3779.6149999999998</v>
      </c>
      <c r="K110" s="27">
        <f t="shared" si="50"/>
        <v>3486.7049999999999</v>
      </c>
      <c r="L110" s="65"/>
      <c r="M110" s="67">
        <f t="shared" si="51"/>
        <v>0</v>
      </c>
      <c r="N110" s="65" t="str">
        <f t="shared" si="52"/>
        <v/>
      </c>
      <c r="O110" s="65" t="str">
        <f t="shared" si="53"/>
        <v/>
      </c>
      <c r="P110" s="65" t="str">
        <f t="shared" si="53"/>
        <v/>
      </c>
      <c r="Q110" s="38"/>
      <c r="R110" s="3" t="str">
        <f t="shared" si="55"/>
        <v>Tirupathur</v>
      </c>
      <c r="S110" s="3" t="str">
        <f t="shared" si="32"/>
        <v>Thirupathur</v>
      </c>
      <c r="T110" s="3" t="str">
        <f t="shared" si="32"/>
        <v>Alangayam</v>
      </c>
      <c r="U110" s="3" t="str">
        <f t="shared" si="33"/>
        <v>Tirupathur_Thirupathur_Alangayam</v>
      </c>
      <c r="V110" s="3">
        <f>IF(_xlfn.XLOOKUP($U110,GCA!$H$3:$H$593,GCA!E$3:E$593,"",0,1)="","",_xlfn.XLOOKUP($U110,GCA!$H$3:$H$593,GCA!E$3:E$593,"",0,1))</f>
        <v>3531.08</v>
      </c>
      <c r="W110" s="3">
        <f>IF(_xlfn.XLOOKUP($U110,GCA!$H$3:$H$593,GCA!F$3:F$593,"",0,1)="","",_xlfn.XLOOKUP($U110,GCA!$H$3:$H$593,GCA!F$3:F$593,"",0,1))</f>
        <v>3149.42</v>
      </c>
      <c r="X110" s="3">
        <f>IF(_xlfn.XLOOKUP($U110,GCA!$H$3:$H$593,GCA!G$3:G$593,"",0,1)="","",_xlfn.XLOOKUP($U110,GCA!$H$3:$H$593,GCA!G$3:G$593,"",0,1))</f>
        <v>3779.6149999999998</v>
      </c>
    </row>
    <row r="111" spans="1:24" ht="13.2">
      <c r="A111" s="49"/>
      <c r="B111" s="49"/>
      <c r="C111" s="48"/>
      <c r="D111" s="49"/>
      <c r="E111" s="50"/>
      <c r="F111" s="26" t="s">
        <v>837</v>
      </c>
      <c r="G111" s="26" t="s">
        <v>836</v>
      </c>
      <c r="H111" s="27">
        <f t="shared" si="49"/>
        <v>4390.2250000000004</v>
      </c>
      <c r="I111" s="27">
        <f t="shared" si="49"/>
        <v>3774.07</v>
      </c>
      <c r="J111" s="27">
        <f t="shared" si="49"/>
        <v>4216.4250000000002</v>
      </c>
      <c r="K111" s="27">
        <f t="shared" si="50"/>
        <v>4126.9066666666668</v>
      </c>
      <c r="L111" s="65"/>
      <c r="M111" s="67">
        <f t="shared" si="51"/>
        <v>0</v>
      </c>
      <c r="N111" s="65" t="str">
        <f t="shared" si="52"/>
        <v/>
      </c>
      <c r="O111" s="65" t="str">
        <f t="shared" si="53"/>
        <v/>
      </c>
      <c r="P111" s="65" t="str">
        <f t="shared" si="53"/>
        <v/>
      </c>
      <c r="Q111" s="38"/>
      <c r="R111" s="3" t="str">
        <f t="shared" si="55"/>
        <v>Tirupathur</v>
      </c>
      <c r="S111" s="3" t="str">
        <f t="shared" si="32"/>
        <v>Thirupathur</v>
      </c>
      <c r="T111" s="3" t="str">
        <f t="shared" si="32"/>
        <v>Jolarpettai</v>
      </c>
      <c r="U111" s="3" t="str">
        <f t="shared" si="33"/>
        <v>Tirupathur_Thirupathur_Jolarpettai</v>
      </c>
      <c r="V111" s="3">
        <f>IF(_xlfn.XLOOKUP($U111,GCA!$H$3:$H$593,GCA!E$3:E$593,"",0,1)="","",_xlfn.XLOOKUP($U111,GCA!$H$3:$H$593,GCA!E$3:E$593,"",0,1))</f>
        <v>4390.2250000000004</v>
      </c>
      <c r="W111" s="3">
        <f>IF(_xlfn.XLOOKUP($U111,GCA!$H$3:$H$593,GCA!F$3:F$593,"",0,1)="","",_xlfn.XLOOKUP($U111,GCA!$H$3:$H$593,GCA!F$3:F$593,"",0,1))</f>
        <v>3774.07</v>
      </c>
      <c r="X111" s="3">
        <f>IF(_xlfn.XLOOKUP($U111,GCA!$H$3:$H$593,GCA!G$3:G$593,"",0,1)="","",_xlfn.XLOOKUP($U111,GCA!$H$3:$H$593,GCA!G$3:G$593,"",0,1))</f>
        <v>4216.4250000000002</v>
      </c>
    </row>
    <row r="112" spans="1:24" ht="13.2">
      <c r="A112" s="49"/>
      <c r="B112" s="49"/>
      <c r="C112" s="48"/>
      <c r="D112" s="49"/>
      <c r="E112" s="50"/>
      <c r="F112" s="26" t="s">
        <v>837</v>
      </c>
      <c r="G112" s="26" t="s">
        <v>839</v>
      </c>
      <c r="H112" s="27">
        <f t="shared" si="49"/>
        <v>16405.57</v>
      </c>
      <c r="I112" s="27">
        <f t="shared" si="49"/>
        <v>17180.91</v>
      </c>
      <c r="J112" s="27">
        <f t="shared" si="49"/>
        <v>16238.715</v>
      </c>
      <c r="K112" s="27">
        <f t="shared" si="50"/>
        <v>16608.398333333331</v>
      </c>
      <c r="L112" s="65"/>
      <c r="M112" s="67">
        <f t="shared" si="51"/>
        <v>0</v>
      </c>
      <c r="N112" s="65" t="str">
        <f t="shared" si="52"/>
        <v/>
      </c>
      <c r="O112" s="65" t="str">
        <f t="shared" si="53"/>
        <v/>
      </c>
      <c r="P112" s="65" t="str">
        <f t="shared" si="53"/>
        <v/>
      </c>
      <c r="Q112" s="38"/>
      <c r="R112" s="3" t="str">
        <f t="shared" si="55"/>
        <v>Tirupathur</v>
      </c>
      <c r="S112" s="3" t="str">
        <f t="shared" si="32"/>
        <v>Thirupathur</v>
      </c>
      <c r="T112" s="3" t="str">
        <f t="shared" si="32"/>
        <v>Kandhili</v>
      </c>
      <c r="U112" s="3" t="str">
        <f t="shared" si="33"/>
        <v>Tirupathur_Thirupathur_Kandhili</v>
      </c>
      <c r="V112" s="3">
        <f>IF(_xlfn.XLOOKUP($U112,GCA!$H$3:$H$593,GCA!E$3:E$593,"",0,1)="","",_xlfn.XLOOKUP($U112,GCA!$H$3:$H$593,GCA!E$3:E$593,"",0,1))</f>
        <v>16405.57</v>
      </c>
      <c r="W112" s="3">
        <f>IF(_xlfn.XLOOKUP($U112,GCA!$H$3:$H$593,GCA!F$3:F$593,"",0,1)="","",_xlfn.XLOOKUP($U112,GCA!$H$3:$H$593,GCA!F$3:F$593,"",0,1))</f>
        <v>17180.91</v>
      </c>
      <c r="X112" s="3">
        <f>IF(_xlfn.XLOOKUP($U112,GCA!$H$3:$H$593,GCA!G$3:G$593,"",0,1)="","",_xlfn.XLOOKUP($U112,GCA!$H$3:$H$593,GCA!G$3:G$593,"",0,1))</f>
        <v>16238.715</v>
      </c>
    </row>
    <row r="113" spans="1:24" ht="13.2">
      <c r="A113" s="49"/>
      <c r="B113" s="49"/>
      <c r="C113" s="48"/>
      <c r="D113" s="49"/>
      <c r="E113" s="50"/>
      <c r="F113" s="26" t="s">
        <v>837</v>
      </c>
      <c r="G113" s="26" t="s">
        <v>837</v>
      </c>
      <c r="H113" s="27">
        <f t="shared" si="49"/>
        <v>15877.258</v>
      </c>
      <c r="I113" s="27">
        <f t="shared" si="49"/>
        <v>16056.635</v>
      </c>
      <c r="J113" s="27">
        <f t="shared" si="49"/>
        <v>15253.25</v>
      </c>
      <c r="K113" s="27">
        <f t="shared" si="50"/>
        <v>15729.047666666665</v>
      </c>
      <c r="L113" s="65"/>
      <c r="M113" s="67">
        <f t="shared" si="51"/>
        <v>0</v>
      </c>
      <c r="N113" s="65" t="str">
        <f t="shared" si="52"/>
        <v/>
      </c>
      <c r="O113" s="65" t="str">
        <f t="shared" si="53"/>
        <v/>
      </c>
      <c r="P113" s="65" t="str">
        <f t="shared" si="53"/>
        <v/>
      </c>
      <c r="Q113" s="38"/>
      <c r="R113" s="3" t="str">
        <f t="shared" si="55"/>
        <v>Tirupathur</v>
      </c>
      <c r="S113" s="3" t="str">
        <f t="shared" si="32"/>
        <v>Thirupathur</v>
      </c>
      <c r="T113" s="3" t="str">
        <f t="shared" si="32"/>
        <v>Thirupathur</v>
      </c>
      <c r="U113" s="3" t="str">
        <f t="shared" si="33"/>
        <v>Tirupathur_Thirupathur_Thirupathur</v>
      </c>
      <c r="V113" s="3">
        <f>IF(_xlfn.XLOOKUP($U113,GCA!$H$3:$H$593,GCA!E$3:E$593,"",0,1)="","",_xlfn.XLOOKUP($U113,GCA!$H$3:$H$593,GCA!E$3:E$593,"",0,1))</f>
        <v>15877.258</v>
      </c>
      <c r="W113" s="3">
        <f>IF(_xlfn.XLOOKUP($U113,GCA!$H$3:$H$593,GCA!F$3:F$593,"",0,1)="","",_xlfn.XLOOKUP($U113,GCA!$H$3:$H$593,GCA!F$3:F$593,"",0,1))</f>
        <v>16056.635</v>
      </c>
      <c r="X113" s="3">
        <f>IF(_xlfn.XLOOKUP($U113,GCA!$H$3:$H$593,GCA!G$3:G$593,"",0,1)="","",_xlfn.XLOOKUP($U113,GCA!$H$3:$H$593,GCA!G$3:G$593,"",0,1))</f>
        <v>15253.25</v>
      </c>
    </row>
    <row r="114" spans="1:24" ht="13.2">
      <c r="A114" s="49"/>
      <c r="B114" s="49"/>
      <c r="C114" s="48"/>
      <c r="D114" s="49"/>
      <c r="E114" s="50"/>
      <c r="F114" s="26" t="s">
        <v>840</v>
      </c>
      <c r="G114" s="26" t="s">
        <v>838</v>
      </c>
      <c r="H114" s="27">
        <f t="shared" si="49"/>
        <v>11230.22</v>
      </c>
      <c r="I114" s="27">
        <f t="shared" si="49"/>
        <v>10984.388999999999</v>
      </c>
      <c r="J114" s="27">
        <f t="shared" si="49"/>
        <v>11018.11</v>
      </c>
      <c r="K114" s="27">
        <f t="shared" si="50"/>
        <v>11077.572999999999</v>
      </c>
      <c r="L114" s="65"/>
      <c r="M114" s="67">
        <f t="shared" si="51"/>
        <v>0</v>
      </c>
      <c r="N114" s="65" t="str">
        <f t="shared" si="52"/>
        <v/>
      </c>
      <c r="O114" s="65" t="str">
        <f t="shared" si="53"/>
        <v/>
      </c>
      <c r="P114" s="65" t="str">
        <f t="shared" si="53"/>
        <v/>
      </c>
      <c r="Q114" s="38"/>
      <c r="R114" s="3" t="str">
        <f t="shared" si="55"/>
        <v>Tirupathur</v>
      </c>
      <c r="S114" s="3" t="str">
        <f t="shared" si="32"/>
        <v>Vaniyambadi</v>
      </c>
      <c r="T114" s="3" t="str">
        <f t="shared" si="32"/>
        <v>Alangayam</v>
      </c>
      <c r="U114" s="3" t="str">
        <f t="shared" si="33"/>
        <v>Tirupathur_Vaniyambadi_Alangayam</v>
      </c>
      <c r="V114" s="3">
        <f>IF(_xlfn.XLOOKUP($U114,GCA!$H$3:$H$593,GCA!E$3:E$593,"",0,1)="","",_xlfn.XLOOKUP($U114,GCA!$H$3:$H$593,GCA!E$3:E$593,"",0,1))</f>
        <v>11230.22</v>
      </c>
      <c r="W114" s="3">
        <f>IF(_xlfn.XLOOKUP($U114,GCA!$H$3:$H$593,GCA!F$3:F$593,"",0,1)="","",_xlfn.XLOOKUP($U114,GCA!$H$3:$H$593,GCA!F$3:F$593,"",0,1))</f>
        <v>10984.388999999999</v>
      </c>
      <c r="X114" s="3">
        <f>IF(_xlfn.XLOOKUP($U114,GCA!$H$3:$H$593,GCA!G$3:G$593,"",0,1)="","",_xlfn.XLOOKUP($U114,GCA!$H$3:$H$593,GCA!G$3:G$593,"",0,1))</f>
        <v>11018.11</v>
      </c>
    </row>
    <row r="115" spans="1:24" ht="13.2">
      <c r="A115" s="49"/>
      <c r="B115" s="49"/>
      <c r="C115" s="48"/>
      <c r="D115" s="49"/>
      <c r="E115" s="50"/>
      <c r="F115" s="26" t="s">
        <v>840</v>
      </c>
      <c r="G115" s="26" t="s">
        <v>836</v>
      </c>
      <c r="H115" s="27">
        <f t="shared" si="49"/>
        <v>363.75</v>
      </c>
      <c r="I115" s="27">
        <f t="shared" si="49"/>
        <v>408.375</v>
      </c>
      <c r="J115" s="27">
        <f t="shared" si="49"/>
        <v>354.97500000000002</v>
      </c>
      <c r="K115" s="27">
        <f t="shared" si="50"/>
        <v>375.7</v>
      </c>
      <c r="L115" s="65"/>
      <c r="M115" s="67">
        <f t="shared" si="51"/>
        <v>0</v>
      </c>
      <c r="N115" s="65" t="str">
        <f t="shared" si="52"/>
        <v/>
      </c>
      <c r="O115" s="65" t="str">
        <f t="shared" si="53"/>
        <v/>
      </c>
      <c r="P115" s="65" t="str">
        <f t="shared" si="53"/>
        <v/>
      </c>
      <c r="Q115" s="38"/>
      <c r="R115" s="3" t="str">
        <f t="shared" si="55"/>
        <v>Tirupathur</v>
      </c>
      <c r="S115" s="3" t="str">
        <f t="shared" si="32"/>
        <v>Vaniyambadi</v>
      </c>
      <c r="T115" s="3" t="str">
        <f t="shared" si="32"/>
        <v>Jolarpettai</v>
      </c>
      <c r="U115" s="3" t="str">
        <f t="shared" si="33"/>
        <v>Tirupathur_Vaniyambadi_Jolarpettai</v>
      </c>
      <c r="V115" s="3">
        <f>IF(_xlfn.XLOOKUP($U115,GCA!$H$3:$H$593,GCA!E$3:E$593,"",0,1)="","",_xlfn.XLOOKUP($U115,GCA!$H$3:$H$593,GCA!E$3:E$593,"",0,1))</f>
        <v>363.75</v>
      </c>
      <c r="W115" s="3">
        <f>IF(_xlfn.XLOOKUP($U115,GCA!$H$3:$H$593,GCA!F$3:F$593,"",0,1)="","",_xlfn.XLOOKUP($U115,GCA!$H$3:$H$593,GCA!F$3:F$593,"",0,1))</f>
        <v>408.375</v>
      </c>
      <c r="X115" s="3">
        <f>IF(_xlfn.XLOOKUP($U115,GCA!$H$3:$H$593,GCA!G$3:G$593,"",0,1)="","",_xlfn.XLOOKUP($U115,GCA!$H$3:$H$593,GCA!G$3:G$593,"",0,1))</f>
        <v>354.97500000000002</v>
      </c>
    </row>
    <row r="116" spans="1:24" ht="13.2">
      <c r="A116" s="49"/>
      <c r="B116" s="49"/>
      <c r="C116" s="48"/>
      <c r="D116" s="49"/>
      <c r="E116" s="50"/>
      <c r="F116" s="26" t="s">
        <v>840</v>
      </c>
      <c r="G116" s="26" t="s">
        <v>835</v>
      </c>
      <c r="H116" s="27">
        <f t="shared" si="49"/>
        <v>3786</v>
      </c>
      <c r="I116" s="27">
        <f t="shared" si="49"/>
        <v>3319.17</v>
      </c>
      <c r="J116" s="27">
        <f t="shared" si="49"/>
        <v>3747.7150000000001</v>
      </c>
      <c r="K116" s="27">
        <f t="shared" si="50"/>
        <v>3617.6283333333336</v>
      </c>
      <c r="L116" s="65"/>
      <c r="M116" s="67">
        <f t="shared" si="51"/>
        <v>0</v>
      </c>
      <c r="N116" s="65" t="str">
        <f t="shared" si="52"/>
        <v/>
      </c>
      <c r="O116" s="65" t="str">
        <f t="shared" si="53"/>
        <v/>
      </c>
      <c r="P116" s="65" t="str">
        <f t="shared" si="53"/>
        <v/>
      </c>
      <c r="Q116" s="38"/>
      <c r="R116" s="3" t="str">
        <f t="shared" si="55"/>
        <v>Tirupathur</v>
      </c>
      <c r="S116" s="3" t="str">
        <f t="shared" si="32"/>
        <v>Vaniyambadi</v>
      </c>
      <c r="T116" s="3" t="str">
        <f t="shared" si="32"/>
        <v>Natrampalli</v>
      </c>
      <c r="U116" s="3" t="str">
        <f t="shared" si="33"/>
        <v>Tirupathur_Vaniyambadi_Natrampalli</v>
      </c>
      <c r="V116" s="3">
        <f>IF(_xlfn.XLOOKUP($U116,GCA!$H$3:$H$593,GCA!E$3:E$593,"",0,1)="","",_xlfn.XLOOKUP($U116,GCA!$H$3:$H$593,GCA!E$3:E$593,"",0,1))</f>
        <v>3786</v>
      </c>
      <c r="W116" s="3">
        <f>IF(_xlfn.XLOOKUP($U116,GCA!$H$3:$H$593,GCA!F$3:F$593,"",0,1)="","",_xlfn.XLOOKUP($U116,GCA!$H$3:$H$593,GCA!F$3:F$593,"",0,1))</f>
        <v>3319.17</v>
      </c>
      <c r="X116" s="3">
        <f>IF(_xlfn.XLOOKUP($U116,GCA!$H$3:$H$593,GCA!G$3:G$593,"",0,1)="","",_xlfn.XLOOKUP($U116,GCA!$H$3:$H$593,GCA!G$3:G$593,"",0,1))</f>
        <v>3747.7150000000001</v>
      </c>
    </row>
    <row r="117" spans="1:24" ht="13.2">
      <c r="A117" s="49"/>
      <c r="B117" s="49"/>
      <c r="C117" s="48"/>
      <c r="D117" s="49"/>
      <c r="E117" s="47" t="s">
        <v>564</v>
      </c>
      <c r="F117" s="47"/>
      <c r="G117" s="47"/>
      <c r="H117" s="29">
        <f t="shared" ref="H117:P117" si="56">SUM(H107:H116)</f>
        <v>83482.403000000006</v>
      </c>
      <c r="I117" s="29">
        <f t="shared" si="56"/>
        <v>81418.793999999994</v>
      </c>
      <c r="J117" s="29">
        <f t="shared" si="56"/>
        <v>79944.23000000001</v>
      </c>
      <c r="K117" s="29">
        <f t="shared" si="56"/>
        <v>81615.142333333337</v>
      </c>
      <c r="L117" s="29">
        <f t="shared" si="56"/>
        <v>81615.142333333337</v>
      </c>
      <c r="M117" s="30">
        <f t="shared" si="56"/>
        <v>3.425716881765946</v>
      </c>
      <c r="N117" s="31">
        <f t="shared" si="56"/>
        <v>3</v>
      </c>
      <c r="O117" s="31">
        <f t="shared" si="56"/>
        <v>3</v>
      </c>
      <c r="P117" s="31">
        <f t="shared" si="56"/>
        <v>3</v>
      </c>
      <c r="Q117" s="38"/>
      <c r="R117" s="3" t="str">
        <f t="shared" si="55"/>
        <v>Tirupathur</v>
      </c>
      <c r="S117" s="3">
        <f t="shared" si="32"/>
        <v>0</v>
      </c>
      <c r="T117" s="3">
        <f t="shared" si="32"/>
        <v>0</v>
      </c>
      <c r="U117" s="3" t="str">
        <f t="shared" si="33"/>
        <v>Tirupathur_0_0</v>
      </c>
      <c r="V117" s="3" t="str">
        <f>IF(_xlfn.XLOOKUP($U117,GCA!$H$3:$H$593,GCA!E$3:E$593,"",0,1)="","",_xlfn.XLOOKUP($U117,GCA!$H$3:$H$593,GCA!E$3:E$593,"",0,1))</f>
        <v/>
      </c>
      <c r="W117" s="3" t="str">
        <f>IF(_xlfn.XLOOKUP($U117,GCA!$H$3:$H$593,GCA!F$3:F$593,"",0,1)="","",_xlfn.XLOOKUP($U117,GCA!$H$3:$H$593,GCA!F$3:F$593,"",0,1))</f>
        <v/>
      </c>
      <c r="X117" s="3" t="str">
        <f>IF(_xlfn.XLOOKUP($U117,GCA!$H$3:$H$593,GCA!G$3:G$593,"",0,1)="","",_xlfn.XLOOKUP($U117,GCA!$H$3:$H$593,GCA!G$3:G$593,"",0,1))</f>
        <v/>
      </c>
    </row>
    <row r="118" spans="1:24" ht="13.2">
      <c r="A118" s="49"/>
      <c r="B118" s="49"/>
      <c r="C118" s="54" t="s">
        <v>521</v>
      </c>
      <c r="D118" s="54"/>
      <c r="E118" s="54"/>
      <c r="F118" s="54"/>
      <c r="G118" s="54"/>
      <c r="H118" s="32">
        <f>SUM(H106,H89,H117)</f>
        <v>595284.43300000008</v>
      </c>
      <c r="I118" s="32">
        <f t="shared" ref="I118:P118" si="57">SUM(I106,I89,I117)</f>
        <v>572811.84199999995</v>
      </c>
      <c r="J118" s="32">
        <f t="shared" si="57"/>
        <v>571492.65700000001</v>
      </c>
      <c r="K118" s="32">
        <f t="shared" si="57"/>
        <v>579862.97733333346</v>
      </c>
      <c r="L118" s="32">
        <f t="shared" si="57"/>
        <v>579862.97733333334</v>
      </c>
      <c r="M118" s="46">
        <f t="shared" si="57"/>
        <v>24.339189196641978</v>
      </c>
      <c r="N118" s="32">
        <f t="shared" si="57"/>
        <v>23</v>
      </c>
      <c r="O118" s="32">
        <f t="shared" si="57"/>
        <v>23</v>
      </c>
      <c r="P118" s="32">
        <f t="shared" si="57"/>
        <v>23</v>
      </c>
      <c r="Q118" s="38"/>
      <c r="R118" s="3" t="str">
        <f t="shared" si="36"/>
        <v>SRO TOTAL</v>
      </c>
      <c r="S118" s="3">
        <f t="shared" si="32"/>
        <v>0</v>
      </c>
      <c r="T118" s="3">
        <f t="shared" si="32"/>
        <v>0</v>
      </c>
      <c r="U118" s="3" t="str">
        <f t="shared" si="33"/>
        <v>SRO TOTAL_0_0</v>
      </c>
      <c r="V118" s="3" t="str">
        <f>IF(_xlfn.XLOOKUP($U118,GCA!$H$3:$H$593,GCA!E$3:E$593,"",0,1)="","",_xlfn.XLOOKUP($U118,GCA!$H$3:$H$593,GCA!E$3:E$593,"",0,1))</f>
        <v/>
      </c>
      <c r="W118" s="3" t="str">
        <f>IF(_xlfn.XLOOKUP($U118,GCA!$H$3:$H$593,GCA!F$3:F$593,"",0,1)="","",_xlfn.XLOOKUP($U118,GCA!$H$3:$H$593,GCA!F$3:F$593,"",0,1))</f>
        <v/>
      </c>
      <c r="X118" s="3" t="str">
        <f>IF(_xlfn.XLOOKUP($U118,GCA!$H$3:$H$593,GCA!G$3:G$593,"",0,1)="","",_xlfn.XLOOKUP($U118,GCA!$H$3:$H$593,GCA!G$3:G$593,"",0,1))</f>
        <v/>
      </c>
    </row>
    <row r="119" spans="1:24" ht="13.2">
      <c r="A119" s="49"/>
      <c r="B119" s="49" t="s">
        <v>233</v>
      </c>
      <c r="C119" s="48" t="s">
        <v>233</v>
      </c>
      <c r="D119" s="49" t="s">
        <v>525</v>
      </c>
      <c r="E119" s="50">
        <v>1</v>
      </c>
      <c r="F119" s="26" t="s">
        <v>637</v>
      </c>
      <c r="G119" s="26" t="s">
        <v>637</v>
      </c>
      <c r="H119" s="27">
        <f t="shared" ref="H119:J144" si="58">V119</f>
        <v>18276.419999999998</v>
      </c>
      <c r="I119" s="27">
        <f t="shared" si="58"/>
        <v>18458.599999999999</v>
      </c>
      <c r="J119" s="27">
        <f t="shared" si="58"/>
        <v>17424.71</v>
      </c>
      <c r="K119" s="27">
        <f t="shared" ref="K119:K144" si="59">IFERROR(AVERAGE(H119:J119),"")</f>
        <v>18053.243333333332</v>
      </c>
      <c r="L119" s="65">
        <f>SUM(K119:K121)</f>
        <v>47933.035999999993</v>
      </c>
      <c r="M119" s="67">
        <f t="shared" ref="M119:M144" si="60">L119*$L$643/$L$642</f>
        <v>2.0119429547625751</v>
      </c>
      <c r="N119" s="65">
        <f t="shared" si="30"/>
        <v>2</v>
      </c>
      <c r="O119" s="65">
        <f t="shared" ref="O119:P134" si="61">N119</f>
        <v>2</v>
      </c>
      <c r="P119" s="65">
        <f t="shared" si="61"/>
        <v>2</v>
      </c>
      <c r="Q119" s="38"/>
      <c r="R119" s="3" t="str">
        <f t="shared" si="36"/>
        <v>Salem</v>
      </c>
      <c r="S119" s="3" t="str">
        <f t="shared" si="32"/>
        <v>Attur</v>
      </c>
      <c r="T119" s="3" t="str">
        <f t="shared" si="32"/>
        <v>Attur</v>
      </c>
      <c r="U119" s="3" t="str">
        <f t="shared" si="33"/>
        <v>Salem_Attur_Attur</v>
      </c>
      <c r="V119" s="3">
        <f>IF(_xlfn.XLOOKUP($U119,GCA!$H$3:$H$593,GCA!E$3:E$593,"",0,1)="","",_xlfn.XLOOKUP($U119,GCA!$H$3:$H$593,GCA!E$3:E$593,"",0,1))</f>
        <v>18276.419999999998</v>
      </c>
      <c r="W119" s="3">
        <f>IF(_xlfn.XLOOKUP($U119,GCA!$H$3:$H$593,GCA!F$3:F$593,"",0,1)="","",_xlfn.XLOOKUP($U119,GCA!$H$3:$H$593,GCA!F$3:F$593,"",0,1))</f>
        <v>18458.599999999999</v>
      </c>
      <c r="X119" s="3">
        <f>IF(_xlfn.XLOOKUP($U119,GCA!$H$3:$H$593,GCA!G$3:G$593,"",0,1)="","",_xlfn.XLOOKUP($U119,GCA!$H$3:$H$593,GCA!G$3:G$593,"",0,1))</f>
        <v>17424.71</v>
      </c>
    </row>
    <row r="120" spans="1:24" ht="13.2">
      <c r="A120" s="49"/>
      <c r="B120" s="49"/>
      <c r="C120" s="48"/>
      <c r="D120" s="49"/>
      <c r="E120" s="50"/>
      <c r="F120" s="26" t="s">
        <v>638</v>
      </c>
      <c r="G120" s="26" t="s">
        <v>638</v>
      </c>
      <c r="H120" s="27">
        <f t="shared" si="58"/>
        <v>18551.505000000001</v>
      </c>
      <c r="I120" s="27">
        <f t="shared" si="58"/>
        <v>18154.68</v>
      </c>
      <c r="J120" s="27">
        <f t="shared" si="58"/>
        <v>17668.922999999999</v>
      </c>
      <c r="K120" s="27">
        <f t="shared" si="59"/>
        <v>18125.035999999996</v>
      </c>
      <c r="L120" s="65"/>
      <c r="M120" s="67">
        <f t="shared" si="60"/>
        <v>0</v>
      </c>
      <c r="N120" s="65" t="str">
        <f t="shared" si="30"/>
        <v/>
      </c>
      <c r="O120" s="65" t="str">
        <f t="shared" si="61"/>
        <v/>
      </c>
      <c r="P120" s="65" t="str">
        <f t="shared" si="61"/>
        <v/>
      </c>
      <c r="Q120" s="38"/>
      <c r="R120" s="3" t="str">
        <f t="shared" ref="R120:R145" si="62">R119</f>
        <v>Salem</v>
      </c>
      <c r="S120" s="3" t="str">
        <f t="shared" si="32"/>
        <v>Edappadi</v>
      </c>
      <c r="T120" s="3" t="str">
        <f t="shared" si="32"/>
        <v>Edappadi</v>
      </c>
      <c r="U120" s="3" t="str">
        <f t="shared" si="33"/>
        <v>Salem_Edappadi_Edappadi</v>
      </c>
      <c r="V120" s="3">
        <f>IF(_xlfn.XLOOKUP($U120,GCA!$H$3:$H$593,GCA!E$3:E$593,"",0,1)="","",_xlfn.XLOOKUP($U120,GCA!$H$3:$H$593,GCA!E$3:E$593,"",0,1))</f>
        <v>18551.505000000001</v>
      </c>
      <c r="W120" s="3">
        <f>IF(_xlfn.XLOOKUP($U120,GCA!$H$3:$H$593,GCA!F$3:F$593,"",0,1)="","",_xlfn.XLOOKUP($U120,GCA!$H$3:$H$593,GCA!F$3:F$593,"",0,1))</f>
        <v>18154.68</v>
      </c>
      <c r="X120" s="3">
        <f>IF(_xlfn.XLOOKUP($U120,GCA!$H$3:$H$593,GCA!G$3:G$593,"",0,1)="","",_xlfn.XLOOKUP($U120,GCA!$H$3:$H$593,GCA!G$3:G$593,"",0,1))</f>
        <v>17668.922999999999</v>
      </c>
    </row>
    <row r="121" spans="1:24" ht="13.2">
      <c r="A121" s="49"/>
      <c r="B121" s="49"/>
      <c r="C121" s="48"/>
      <c r="D121" s="49"/>
      <c r="E121" s="50"/>
      <c r="F121" s="26" t="s">
        <v>638</v>
      </c>
      <c r="G121" s="26" t="s">
        <v>639</v>
      </c>
      <c r="H121" s="27">
        <f t="shared" si="58"/>
        <v>11821.51</v>
      </c>
      <c r="I121" s="27">
        <f t="shared" si="58"/>
        <v>11550.63</v>
      </c>
      <c r="J121" s="27">
        <f t="shared" si="58"/>
        <v>11892.13</v>
      </c>
      <c r="K121" s="27">
        <f t="shared" si="59"/>
        <v>11754.756666666666</v>
      </c>
      <c r="L121" s="65"/>
      <c r="M121" s="67">
        <f t="shared" si="60"/>
        <v>0</v>
      </c>
      <c r="N121" s="65" t="str">
        <f t="shared" si="30"/>
        <v/>
      </c>
      <c r="O121" s="65" t="str">
        <f t="shared" si="61"/>
        <v/>
      </c>
      <c r="P121" s="65" t="str">
        <f t="shared" si="61"/>
        <v/>
      </c>
      <c r="Q121" s="38"/>
      <c r="R121" s="3" t="str">
        <f t="shared" si="62"/>
        <v>Salem</v>
      </c>
      <c r="S121" s="3" t="str">
        <f t="shared" si="32"/>
        <v>Edappadi</v>
      </c>
      <c r="T121" s="3" t="str">
        <f t="shared" si="32"/>
        <v>Konganapuram</v>
      </c>
      <c r="U121" s="3" t="str">
        <f t="shared" si="33"/>
        <v>Salem_Edappadi_Konganapuram</v>
      </c>
      <c r="V121" s="3">
        <f>IF(_xlfn.XLOOKUP($U121,GCA!$H$3:$H$593,GCA!E$3:E$593,"",0,1)="","",_xlfn.XLOOKUP($U121,GCA!$H$3:$H$593,GCA!E$3:E$593,"",0,1))</f>
        <v>11821.51</v>
      </c>
      <c r="W121" s="3">
        <f>IF(_xlfn.XLOOKUP($U121,GCA!$H$3:$H$593,GCA!F$3:F$593,"",0,1)="","",_xlfn.XLOOKUP($U121,GCA!$H$3:$H$593,GCA!F$3:F$593,"",0,1))</f>
        <v>11550.63</v>
      </c>
      <c r="X121" s="3">
        <f>IF(_xlfn.XLOOKUP($U121,GCA!$H$3:$H$593,GCA!G$3:G$593,"",0,1)="","",_xlfn.XLOOKUP($U121,GCA!$H$3:$H$593,GCA!G$3:G$593,"",0,1))</f>
        <v>11892.13</v>
      </c>
    </row>
    <row r="122" spans="1:24" ht="13.2">
      <c r="A122" s="49"/>
      <c r="B122" s="49"/>
      <c r="C122" s="48"/>
      <c r="D122" s="49"/>
      <c r="E122" s="50">
        <v>2</v>
      </c>
      <c r="F122" s="26" t="s">
        <v>640</v>
      </c>
      <c r="G122" s="26" t="s">
        <v>640</v>
      </c>
      <c r="H122" s="27">
        <f t="shared" si="58"/>
        <v>23435.13</v>
      </c>
      <c r="I122" s="27">
        <f t="shared" si="58"/>
        <v>22650.48</v>
      </c>
      <c r="J122" s="27">
        <f t="shared" si="58"/>
        <v>22197.68</v>
      </c>
      <c r="K122" s="27">
        <f t="shared" si="59"/>
        <v>22761.096666666668</v>
      </c>
      <c r="L122" s="65">
        <f>SUM(K122:K124)</f>
        <v>42593.23333333333</v>
      </c>
      <c r="M122" s="67">
        <f t="shared" si="60"/>
        <v>1.7878098880604703</v>
      </c>
      <c r="N122" s="65">
        <f t="shared" si="30"/>
        <v>2</v>
      </c>
      <c r="O122" s="65">
        <f t="shared" si="61"/>
        <v>2</v>
      </c>
      <c r="P122" s="65">
        <f t="shared" si="61"/>
        <v>2</v>
      </c>
      <c r="Q122" s="38"/>
      <c r="R122" s="3" t="str">
        <f t="shared" si="62"/>
        <v>Salem</v>
      </c>
      <c r="S122" s="3" t="str">
        <f t="shared" si="32"/>
        <v>Gangavalli</v>
      </c>
      <c r="T122" s="3" t="str">
        <f t="shared" si="32"/>
        <v>Gangavalli</v>
      </c>
      <c r="U122" s="3" t="str">
        <f t="shared" si="33"/>
        <v>Salem_Gangavalli_Gangavalli</v>
      </c>
      <c r="V122" s="3">
        <f>IF(_xlfn.XLOOKUP($U122,GCA!$H$3:$H$593,GCA!E$3:E$593,"",0,1)="","",_xlfn.XLOOKUP($U122,GCA!$H$3:$H$593,GCA!E$3:E$593,"",0,1))</f>
        <v>23435.13</v>
      </c>
      <c r="W122" s="3">
        <f>IF(_xlfn.XLOOKUP($U122,GCA!$H$3:$H$593,GCA!F$3:F$593,"",0,1)="","",_xlfn.XLOOKUP($U122,GCA!$H$3:$H$593,GCA!F$3:F$593,"",0,1))</f>
        <v>22650.48</v>
      </c>
      <c r="X122" s="3">
        <f>IF(_xlfn.XLOOKUP($U122,GCA!$H$3:$H$593,GCA!G$3:G$593,"",0,1)="","",_xlfn.XLOOKUP($U122,GCA!$H$3:$H$593,GCA!G$3:G$593,"",0,1))</f>
        <v>22197.68</v>
      </c>
    </row>
    <row r="123" spans="1:24" ht="13.2">
      <c r="A123" s="49"/>
      <c r="B123" s="49"/>
      <c r="C123" s="48"/>
      <c r="D123" s="49"/>
      <c r="E123" s="50"/>
      <c r="F123" s="26" t="s">
        <v>641</v>
      </c>
      <c r="G123" s="26" t="s">
        <v>641</v>
      </c>
      <c r="H123" s="27">
        <f t="shared" si="58"/>
        <v>16983.8</v>
      </c>
      <c r="I123" s="27">
        <f t="shared" si="58"/>
        <v>17424.400000000001</v>
      </c>
      <c r="J123" s="27">
        <f t="shared" si="58"/>
        <v>17883.099999999999</v>
      </c>
      <c r="K123" s="27">
        <f t="shared" si="59"/>
        <v>17430.433333333331</v>
      </c>
      <c r="L123" s="65"/>
      <c r="M123" s="67">
        <f t="shared" si="60"/>
        <v>0</v>
      </c>
      <c r="N123" s="65" t="str">
        <f t="shared" si="30"/>
        <v/>
      </c>
      <c r="O123" s="65" t="str">
        <f t="shared" si="61"/>
        <v/>
      </c>
      <c r="P123" s="65" t="str">
        <f t="shared" si="61"/>
        <v/>
      </c>
      <c r="Q123" s="38"/>
      <c r="R123" s="3" t="str">
        <f t="shared" si="62"/>
        <v>Salem</v>
      </c>
      <c r="S123" s="3" t="str">
        <f t="shared" si="32"/>
        <v>Kadayampatti</v>
      </c>
      <c r="T123" s="3" t="str">
        <f t="shared" si="32"/>
        <v>Kadayampatti</v>
      </c>
      <c r="U123" s="3" t="str">
        <f t="shared" si="33"/>
        <v>Salem_Kadayampatti_Kadayampatti</v>
      </c>
      <c r="V123" s="3">
        <f>IF(_xlfn.XLOOKUP($U123,GCA!$H$3:$H$593,GCA!E$3:E$593,"",0,1)="","",_xlfn.XLOOKUP($U123,GCA!$H$3:$H$593,GCA!E$3:E$593,"",0,1))</f>
        <v>16983.8</v>
      </c>
      <c r="W123" s="3">
        <f>IF(_xlfn.XLOOKUP($U123,GCA!$H$3:$H$593,GCA!F$3:F$593,"",0,1)="","",_xlfn.XLOOKUP($U123,GCA!$H$3:$H$593,GCA!F$3:F$593,"",0,1))</f>
        <v>17424.400000000001</v>
      </c>
      <c r="X123" s="3">
        <f>IF(_xlfn.XLOOKUP($U123,GCA!$H$3:$H$593,GCA!G$3:G$593,"",0,1)="","",_xlfn.XLOOKUP($U123,GCA!$H$3:$H$593,GCA!G$3:G$593,"",0,1))</f>
        <v>17883.099999999999</v>
      </c>
    </row>
    <row r="124" spans="1:24" ht="13.2">
      <c r="A124" s="49"/>
      <c r="B124" s="49"/>
      <c r="C124" s="48"/>
      <c r="D124" s="49"/>
      <c r="E124" s="50"/>
      <c r="F124" s="26" t="s">
        <v>641</v>
      </c>
      <c r="G124" s="26" t="s">
        <v>642</v>
      </c>
      <c r="H124" s="27">
        <f t="shared" si="58"/>
        <v>2209.5</v>
      </c>
      <c r="I124" s="27">
        <f t="shared" si="58"/>
        <v>2391.1999999999998</v>
      </c>
      <c r="J124" s="27">
        <f t="shared" si="58"/>
        <v>2604.41</v>
      </c>
      <c r="K124" s="27">
        <f t="shared" si="59"/>
        <v>2401.7033333333334</v>
      </c>
      <c r="L124" s="65"/>
      <c r="M124" s="67">
        <f t="shared" si="60"/>
        <v>0</v>
      </c>
      <c r="N124" s="65" t="str">
        <f t="shared" si="30"/>
        <v/>
      </c>
      <c r="O124" s="65" t="str">
        <f t="shared" si="61"/>
        <v/>
      </c>
      <c r="P124" s="65" t="str">
        <f t="shared" si="61"/>
        <v/>
      </c>
      <c r="Q124" s="38"/>
      <c r="R124" s="3" t="str">
        <f t="shared" si="62"/>
        <v>Salem</v>
      </c>
      <c r="S124" s="3" t="str">
        <f t="shared" si="32"/>
        <v>Kadayampatti</v>
      </c>
      <c r="T124" s="3" t="str">
        <f t="shared" si="32"/>
        <v>Omalur</v>
      </c>
      <c r="U124" s="3" t="str">
        <f t="shared" si="33"/>
        <v>Salem_Kadayampatti_Omalur</v>
      </c>
      <c r="V124" s="3">
        <f>IF(_xlfn.XLOOKUP($U124,GCA!$H$3:$H$593,GCA!E$3:E$593,"",0,1)="","",_xlfn.XLOOKUP($U124,GCA!$H$3:$H$593,GCA!E$3:E$593,"",0,1))</f>
        <v>2209.5</v>
      </c>
      <c r="W124" s="3">
        <f>IF(_xlfn.XLOOKUP($U124,GCA!$H$3:$H$593,GCA!F$3:F$593,"",0,1)="","",_xlfn.XLOOKUP($U124,GCA!$H$3:$H$593,GCA!F$3:F$593,"",0,1))</f>
        <v>2391.1999999999998</v>
      </c>
      <c r="X124" s="3">
        <f>IF(_xlfn.XLOOKUP($U124,GCA!$H$3:$H$593,GCA!G$3:G$593,"",0,1)="","",_xlfn.XLOOKUP($U124,GCA!$H$3:$H$593,GCA!G$3:G$593,"",0,1))</f>
        <v>2604.41</v>
      </c>
    </row>
    <row r="125" spans="1:24" ht="13.2">
      <c r="A125" s="49"/>
      <c r="B125" s="49"/>
      <c r="C125" s="48"/>
      <c r="D125" s="49"/>
      <c r="E125" s="50">
        <v>3</v>
      </c>
      <c r="F125" s="26" t="s">
        <v>643</v>
      </c>
      <c r="G125" s="26" t="s">
        <v>644</v>
      </c>
      <c r="H125" s="27">
        <f t="shared" si="58"/>
        <v>15999.34</v>
      </c>
      <c r="I125" s="27">
        <f t="shared" si="58"/>
        <v>17640.14</v>
      </c>
      <c r="J125" s="27">
        <f t="shared" si="58"/>
        <v>18293.509999999998</v>
      </c>
      <c r="K125" s="27">
        <f t="shared" si="59"/>
        <v>17310.996666666662</v>
      </c>
      <c r="L125" s="65">
        <f>SUM(K125:K129)</f>
        <v>70193.76999999999</v>
      </c>
      <c r="M125" s="67">
        <f t="shared" si="60"/>
        <v>2.9463157939698332</v>
      </c>
      <c r="N125" s="65">
        <f t="shared" si="30"/>
        <v>3</v>
      </c>
      <c r="O125" s="65">
        <f t="shared" si="61"/>
        <v>3</v>
      </c>
      <c r="P125" s="65">
        <f t="shared" si="61"/>
        <v>3</v>
      </c>
      <c r="Q125" s="38"/>
      <c r="R125" s="3" t="str">
        <f t="shared" si="62"/>
        <v>Salem</v>
      </c>
      <c r="S125" s="3" t="str">
        <f t="shared" si="32"/>
        <v>Mettur</v>
      </c>
      <c r="T125" s="3" t="str">
        <f t="shared" si="32"/>
        <v>Kolathur</v>
      </c>
      <c r="U125" s="3" t="str">
        <f t="shared" si="33"/>
        <v>Salem_Mettur_Kolathur</v>
      </c>
      <c r="V125" s="3">
        <f>IF(_xlfn.XLOOKUP($U125,GCA!$H$3:$H$593,GCA!E$3:E$593,"",0,1)="","",_xlfn.XLOOKUP($U125,GCA!$H$3:$H$593,GCA!E$3:E$593,"",0,1))</f>
        <v>15999.34</v>
      </c>
      <c r="W125" s="3">
        <f>IF(_xlfn.XLOOKUP($U125,GCA!$H$3:$H$593,GCA!F$3:F$593,"",0,1)="","",_xlfn.XLOOKUP($U125,GCA!$H$3:$H$593,GCA!F$3:F$593,"",0,1))</f>
        <v>17640.14</v>
      </c>
      <c r="X125" s="3">
        <f>IF(_xlfn.XLOOKUP($U125,GCA!$H$3:$H$593,GCA!G$3:G$593,"",0,1)="","",_xlfn.XLOOKUP($U125,GCA!$H$3:$H$593,GCA!G$3:G$593,"",0,1))</f>
        <v>18293.509999999998</v>
      </c>
    </row>
    <row r="126" spans="1:24" ht="13.2">
      <c r="A126" s="49"/>
      <c r="B126" s="49"/>
      <c r="C126" s="48"/>
      <c r="D126" s="49"/>
      <c r="E126" s="50"/>
      <c r="F126" s="26" t="s">
        <v>643</v>
      </c>
      <c r="G126" s="26" t="s">
        <v>645</v>
      </c>
      <c r="H126" s="27">
        <f t="shared" si="58"/>
        <v>14688.3</v>
      </c>
      <c r="I126" s="27">
        <f t="shared" si="58"/>
        <v>14634.4</v>
      </c>
      <c r="J126" s="27">
        <f t="shared" si="58"/>
        <v>15820.865</v>
      </c>
      <c r="K126" s="27">
        <f t="shared" si="59"/>
        <v>15047.854999999998</v>
      </c>
      <c r="L126" s="65"/>
      <c r="M126" s="67">
        <f t="shared" si="60"/>
        <v>0</v>
      </c>
      <c r="N126" s="65" t="str">
        <f t="shared" si="30"/>
        <v/>
      </c>
      <c r="O126" s="65" t="str">
        <f t="shared" si="61"/>
        <v/>
      </c>
      <c r="P126" s="65" t="str">
        <f t="shared" si="61"/>
        <v/>
      </c>
      <c r="Q126" s="38"/>
      <c r="R126" s="3" t="str">
        <f t="shared" si="62"/>
        <v>Salem</v>
      </c>
      <c r="S126" s="3" t="str">
        <f t="shared" si="32"/>
        <v>Mettur</v>
      </c>
      <c r="T126" s="3" t="str">
        <f t="shared" si="32"/>
        <v>Mecheri</v>
      </c>
      <c r="U126" s="3" t="str">
        <f t="shared" si="33"/>
        <v>Salem_Mettur_Mecheri</v>
      </c>
      <c r="V126" s="3">
        <f>IF(_xlfn.XLOOKUP($U126,GCA!$H$3:$H$593,GCA!E$3:E$593,"",0,1)="","",_xlfn.XLOOKUP($U126,GCA!$H$3:$H$593,GCA!E$3:E$593,"",0,1))</f>
        <v>14688.3</v>
      </c>
      <c r="W126" s="3">
        <f>IF(_xlfn.XLOOKUP($U126,GCA!$H$3:$H$593,GCA!F$3:F$593,"",0,1)="","",_xlfn.XLOOKUP($U126,GCA!$H$3:$H$593,GCA!F$3:F$593,"",0,1))</f>
        <v>14634.4</v>
      </c>
      <c r="X126" s="3">
        <f>IF(_xlfn.XLOOKUP($U126,GCA!$H$3:$H$593,GCA!G$3:G$593,"",0,1)="","",_xlfn.XLOOKUP($U126,GCA!$H$3:$H$593,GCA!G$3:G$593,"",0,1))</f>
        <v>15820.865</v>
      </c>
    </row>
    <row r="127" spans="1:24" ht="13.2">
      <c r="A127" s="49"/>
      <c r="B127" s="49"/>
      <c r="C127" s="48"/>
      <c r="D127" s="49"/>
      <c r="E127" s="50"/>
      <c r="F127" s="26" t="s">
        <v>643</v>
      </c>
      <c r="G127" s="26" t="s">
        <v>646</v>
      </c>
      <c r="H127" s="27">
        <f t="shared" si="58"/>
        <v>11666.82</v>
      </c>
      <c r="I127" s="27">
        <f t="shared" si="58"/>
        <v>11846.3</v>
      </c>
      <c r="J127" s="27">
        <f t="shared" si="58"/>
        <v>12253.32</v>
      </c>
      <c r="K127" s="27">
        <f t="shared" si="59"/>
        <v>11922.146666666667</v>
      </c>
      <c r="L127" s="65"/>
      <c r="M127" s="67">
        <f t="shared" si="60"/>
        <v>0</v>
      </c>
      <c r="N127" s="65" t="str">
        <f t="shared" si="30"/>
        <v/>
      </c>
      <c r="O127" s="65" t="str">
        <f t="shared" si="61"/>
        <v/>
      </c>
      <c r="P127" s="65" t="str">
        <f t="shared" si="61"/>
        <v/>
      </c>
      <c r="Q127" s="38"/>
      <c r="R127" s="3" t="str">
        <f t="shared" si="62"/>
        <v>Salem</v>
      </c>
      <c r="S127" s="3" t="str">
        <f t="shared" si="32"/>
        <v>Mettur</v>
      </c>
      <c r="T127" s="3" t="str">
        <f t="shared" si="32"/>
        <v>Nangavalli</v>
      </c>
      <c r="U127" s="3" t="str">
        <f t="shared" si="33"/>
        <v>Salem_Mettur_Nangavalli</v>
      </c>
      <c r="V127" s="3">
        <f>IF(_xlfn.XLOOKUP($U127,GCA!$H$3:$H$593,GCA!E$3:E$593,"",0,1)="","",_xlfn.XLOOKUP($U127,GCA!$H$3:$H$593,GCA!E$3:E$593,"",0,1))</f>
        <v>11666.82</v>
      </c>
      <c r="W127" s="3">
        <f>IF(_xlfn.XLOOKUP($U127,GCA!$H$3:$H$593,GCA!F$3:F$593,"",0,1)="","",_xlfn.XLOOKUP($U127,GCA!$H$3:$H$593,GCA!F$3:F$593,"",0,1))</f>
        <v>11846.3</v>
      </c>
      <c r="X127" s="3">
        <f>IF(_xlfn.XLOOKUP($U127,GCA!$H$3:$H$593,GCA!G$3:G$593,"",0,1)="","",_xlfn.XLOOKUP($U127,GCA!$H$3:$H$593,GCA!G$3:G$593,"",0,1))</f>
        <v>12253.32</v>
      </c>
    </row>
    <row r="128" spans="1:24" ht="13.2">
      <c r="A128" s="49"/>
      <c r="B128" s="49"/>
      <c r="C128" s="48"/>
      <c r="D128" s="49"/>
      <c r="E128" s="50"/>
      <c r="F128" s="26" t="s">
        <v>642</v>
      </c>
      <c r="G128" s="26" t="s">
        <v>642</v>
      </c>
      <c r="H128" s="27">
        <f t="shared" si="58"/>
        <v>13862.84</v>
      </c>
      <c r="I128" s="27">
        <f t="shared" si="58"/>
        <v>13278.3</v>
      </c>
      <c r="J128" s="27">
        <f t="shared" si="58"/>
        <v>13761.125</v>
      </c>
      <c r="K128" s="27">
        <f t="shared" si="59"/>
        <v>13634.088333333333</v>
      </c>
      <c r="L128" s="65"/>
      <c r="M128" s="67">
        <f t="shared" si="60"/>
        <v>0</v>
      </c>
      <c r="N128" s="65" t="str">
        <f t="shared" si="30"/>
        <v/>
      </c>
      <c r="O128" s="65" t="str">
        <f t="shared" si="61"/>
        <v/>
      </c>
      <c r="P128" s="65" t="str">
        <f t="shared" si="61"/>
        <v/>
      </c>
      <c r="Q128" s="38"/>
      <c r="R128" s="3" t="str">
        <f t="shared" si="62"/>
        <v>Salem</v>
      </c>
      <c r="S128" s="3" t="str">
        <f t="shared" si="32"/>
        <v>Omalur</v>
      </c>
      <c r="T128" s="3" t="str">
        <f t="shared" si="32"/>
        <v>Omalur</v>
      </c>
      <c r="U128" s="3" t="str">
        <f t="shared" si="33"/>
        <v>Salem_Omalur_Omalur</v>
      </c>
      <c r="V128" s="3">
        <f>IF(_xlfn.XLOOKUP($U128,GCA!$H$3:$H$593,GCA!E$3:E$593,"",0,1)="","",_xlfn.XLOOKUP($U128,GCA!$H$3:$H$593,GCA!E$3:E$593,"",0,1))</f>
        <v>13862.84</v>
      </c>
      <c r="W128" s="3">
        <f>IF(_xlfn.XLOOKUP($U128,GCA!$H$3:$H$593,GCA!F$3:F$593,"",0,1)="","",_xlfn.XLOOKUP($U128,GCA!$H$3:$H$593,GCA!F$3:F$593,"",0,1))</f>
        <v>13278.3</v>
      </c>
      <c r="X128" s="3">
        <f>IF(_xlfn.XLOOKUP($U128,GCA!$H$3:$H$593,GCA!G$3:G$593,"",0,1)="","",_xlfn.XLOOKUP($U128,GCA!$H$3:$H$593,GCA!G$3:G$593,"",0,1))</f>
        <v>13761.125</v>
      </c>
    </row>
    <row r="129" spans="1:24" ht="13.2">
      <c r="A129" s="49"/>
      <c r="B129" s="49"/>
      <c r="C129" s="48"/>
      <c r="D129" s="49"/>
      <c r="E129" s="50"/>
      <c r="F129" s="26" t="s">
        <v>642</v>
      </c>
      <c r="G129" s="26" t="s">
        <v>647</v>
      </c>
      <c r="H129" s="27">
        <f t="shared" si="58"/>
        <v>12545.92</v>
      </c>
      <c r="I129" s="27">
        <f t="shared" si="58"/>
        <v>12404.53</v>
      </c>
      <c r="J129" s="27">
        <f t="shared" si="58"/>
        <v>11885.6</v>
      </c>
      <c r="K129" s="27">
        <f t="shared" si="59"/>
        <v>12278.683333333334</v>
      </c>
      <c r="L129" s="65"/>
      <c r="M129" s="67">
        <f t="shared" si="60"/>
        <v>0</v>
      </c>
      <c r="N129" s="65" t="str">
        <f t="shared" si="30"/>
        <v/>
      </c>
      <c r="O129" s="65" t="str">
        <f t="shared" si="61"/>
        <v/>
      </c>
      <c r="P129" s="65" t="str">
        <f t="shared" si="61"/>
        <v/>
      </c>
      <c r="Q129" s="38"/>
      <c r="R129" s="3" t="str">
        <f t="shared" si="62"/>
        <v>Salem</v>
      </c>
      <c r="S129" s="3" t="str">
        <f t="shared" si="32"/>
        <v>Omalur</v>
      </c>
      <c r="T129" s="3" t="str">
        <f t="shared" si="32"/>
        <v>Tharamangalam</v>
      </c>
      <c r="U129" s="3" t="str">
        <f t="shared" si="33"/>
        <v>Salem_Omalur_Tharamangalam</v>
      </c>
      <c r="V129" s="3">
        <f>IF(_xlfn.XLOOKUP($U129,GCA!$H$3:$H$593,GCA!E$3:E$593,"",0,1)="","",_xlfn.XLOOKUP($U129,GCA!$H$3:$H$593,GCA!E$3:E$593,"",0,1))</f>
        <v>12545.92</v>
      </c>
      <c r="W129" s="3">
        <f>IF(_xlfn.XLOOKUP($U129,GCA!$H$3:$H$593,GCA!F$3:F$593,"",0,1)="","",_xlfn.XLOOKUP($U129,GCA!$H$3:$H$593,GCA!F$3:F$593,"",0,1))</f>
        <v>12404.53</v>
      </c>
      <c r="X129" s="3">
        <f>IF(_xlfn.XLOOKUP($U129,GCA!$H$3:$H$593,GCA!G$3:G$593,"",0,1)="","",_xlfn.XLOOKUP($U129,GCA!$H$3:$H$593,GCA!G$3:G$593,"",0,1))</f>
        <v>11885.6</v>
      </c>
    </row>
    <row r="130" spans="1:24" ht="13.2">
      <c r="A130" s="49"/>
      <c r="B130" s="49"/>
      <c r="C130" s="48"/>
      <c r="D130" s="49"/>
      <c r="E130" s="50">
        <v>4</v>
      </c>
      <c r="F130" s="26" t="s">
        <v>648</v>
      </c>
      <c r="G130" s="26" t="s">
        <v>648</v>
      </c>
      <c r="H130" s="27">
        <f t="shared" si="58"/>
        <v>26405.360000000001</v>
      </c>
      <c r="I130" s="27">
        <f t="shared" si="58"/>
        <v>24134.45</v>
      </c>
      <c r="J130" s="27">
        <f t="shared" si="58"/>
        <v>23951.85</v>
      </c>
      <c r="K130" s="27">
        <f t="shared" si="59"/>
        <v>24830.553333333333</v>
      </c>
      <c r="L130" s="65">
        <f>SUM(K130:K138)</f>
        <v>50437.463333333333</v>
      </c>
      <c r="M130" s="67">
        <f t="shared" si="60"/>
        <v>2.1170638765630394</v>
      </c>
      <c r="N130" s="65">
        <f t="shared" si="30"/>
        <v>2</v>
      </c>
      <c r="O130" s="65">
        <f t="shared" si="61"/>
        <v>2</v>
      </c>
      <c r="P130" s="65">
        <f t="shared" si="61"/>
        <v>2</v>
      </c>
      <c r="Q130" s="38"/>
      <c r="R130" s="3" t="str">
        <f t="shared" si="62"/>
        <v>Salem</v>
      </c>
      <c r="S130" s="3" t="str">
        <f t="shared" si="32"/>
        <v>Pethanaickanpalayam</v>
      </c>
      <c r="T130" s="3" t="str">
        <f t="shared" si="32"/>
        <v>Pethanaickanpalayam</v>
      </c>
      <c r="U130" s="3" t="str">
        <f t="shared" si="33"/>
        <v>Salem_Pethanaickanpalayam_Pethanaickanpalayam</v>
      </c>
      <c r="V130" s="3">
        <f>IF(_xlfn.XLOOKUP($U130,GCA!$H$3:$H$593,GCA!E$3:E$593,"",0,1)="","",_xlfn.XLOOKUP($U130,GCA!$H$3:$H$593,GCA!E$3:E$593,"",0,1))</f>
        <v>26405.360000000001</v>
      </c>
      <c r="W130" s="3">
        <f>IF(_xlfn.XLOOKUP($U130,GCA!$H$3:$H$593,GCA!F$3:F$593,"",0,1)="","",_xlfn.XLOOKUP($U130,GCA!$H$3:$H$593,GCA!F$3:F$593,"",0,1))</f>
        <v>24134.45</v>
      </c>
      <c r="X130" s="3">
        <f>IF(_xlfn.XLOOKUP($U130,GCA!$H$3:$H$593,GCA!G$3:G$593,"",0,1)="","",_xlfn.XLOOKUP($U130,GCA!$H$3:$H$593,GCA!G$3:G$593,"",0,1))</f>
        <v>23951.85</v>
      </c>
    </row>
    <row r="131" spans="1:24" ht="13.2">
      <c r="A131" s="49"/>
      <c r="B131" s="49"/>
      <c r="C131" s="48"/>
      <c r="D131" s="49"/>
      <c r="E131" s="50"/>
      <c r="F131" s="26" t="s">
        <v>233</v>
      </c>
      <c r="G131" s="26" t="s">
        <v>649</v>
      </c>
      <c r="H131" s="27">
        <f t="shared" si="58"/>
        <v>5489.3</v>
      </c>
      <c r="I131" s="27">
        <f t="shared" si="58"/>
        <v>5656.09</v>
      </c>
      <c r="J131" s="27">
        <f t="shared" si="58"/>
        <v>5211.17</v>
      </c>
      <c r="K131" s="27">
        <f t="shared" si="59"/>
        <v>5452.1866666666665</v>
      </c>
      <c r="L131" s="65"/>
      <c r="M131" s="67">
        <f t="shared" si="60"/>
        <v>0</v>
      </c>
      <c r="N131" s="65" t="str">
        <f t="shared" si="30"/>
        <v/>
      </c>
      <c r="O131" s="65" t="str">
        <f t="shared" si="61"/>
        <v/>
      </c>
      <c r="P131" s="65" t="str">
        <f t="shared" si="61"/>
        <v/>
      </c>
      <c r="Q131" s="38"/>
      <c r="R131" s="3" t="str">
        <f t="shared" si="62"/>
        <v>Salem</v>
      </c>
      <c r="S131" s="3" t="str">
        <f t="shared" si="32"/>
        <v>Salem</v>
      </c>
      <c r="T131" s="3" t="str">
        <f t="shared" si="32"/>
        <v>Ayothiyappattinam</v>
      </c>
      <c r="U131" s="3" t="str">
        <f t="shared" si="33"/>
        <v>Salem_Salem_Ayothiyappattinam</v>
      </c>
      <c r="V131" s="3">
        <f>IF(_xlfn.XLOOKUP($U131,GCA!$H$3:$H$593,GCA!E$3:E$593,"",0,1)="","",_xlfn.XLOOKUP($U131,GCA!$H$3:$H$593,GCA!E$3:E$593,"",0,1))</f>
        <v>5489.3</v>
      </c>
      <c r="W131" s="3">
        <f>IF(_xlfn.XLOOKUP($U131,GCA!$H$3:$H$593,GCA!F$3:F$593,"",0,1)="","",_xlfn.XLOOKUP($U131,GCA!$H$3:$H$593,GCA!F$3:F$593,"",0,1))</f>
        <v>5656.09</v>
      </c>
      <c r="X131" s="3">
        <f>IF(_xlfn.XLOOKUP($U131,GCA!$H$3:$H$593,GCA!G$3:G$593,"",0,1)="","",_xlfn.XLOOKUP($U131,GCA!$H$3:$H$593,GCA!G$3:G$593,"",0,1))</f>
        <v>5211.17</v>
      </c>
    </row>
    <row r="132" spans="1:24" ht="13.2">
      <c r="A132" s="49"/>
      <c r="B132" s="49"/>
      <c r="C132" s="48"/>
      <c r="D132" s="49"/>
      <c r="E132" s="50"/>
      <c r="F132" s="26" t="s">
        <v>233</v>
      </c>
      <c r="G132" s="26" t="s">
        <v>650</v>
      </c>
      <c r="H132" s="27">
        <f t="shared" si="58"/>
        <v>7241.98</v>
      </c>
      <c r="I132" s="27">
        <f t="shared" si="58"/>
        <v>7477.17</v>
      </c>
      <c r="J132" s="27">
        <f t="shared" si="58"/>
        <v>6635.64</v>
      </c>
      <c r="K132" s="27">
        <f t="shared" si="59"/>
        <v>7118.2633333333333</v>
      </c>
      <c r="L132" s="65"/>
      <c r="M132" s="67">
        <f t="shared" si="60"/>
        <v>0</v>
      </c>
      <c r="N132" s="65" t="str">
        <f t="shared" si="30"/>
        <v/>
      </c>
      <c r="O132" s="65" t="str">
        <f t="shared" si="61"/>
        <v/>
      </c>
      <c r="P132" s="65" t="str">
        <f t="shared" si="61"/>
        <v/>
      </c>
      <c r="Q132" s="38"/>
      <c r="R132" s="3" t="str">
        <f t="shared" si="62"/>
        <v>Salem</v>
      </c>
      <c r="S132" s="3" t="str">
        <f t="shared" si="32"/>
        <v>Salem</v>
      </c>
      <c r="T132" s="3" t="str">
        <f t="shared" si="32"/>
        <v>Panamarathuppatti</v>
      </c>
      <c r="U132" s="3" t="str">
        <f t="shared" si="33"/>
        <v>Salem_Salem_Panamarathuppatti</v>
      </c>
      <c r="V132" s="3">
        <f>IF(_xlfn.XLOOKUP($U132,GCA!$H$3:$H$593,GCA!E$3:E$593,"",0,1)="","",_xlfn.XLOOKUP($U132,GCA!$H$3:$H$593,GCA!E$3:E$593,"",0,1))</f>
        <v>7241.98</v>
      </c>
      <c r="W132" s="3">
        <f>IF(_xlfn.XLOOKUP($U132,GCA!$H$3:$H$593,GCA!F$3:F$593,"",0,1)="","",_xlfn.XLOOKUP($U132,GCA!$H$3:$H$593,GCA!F$3:F$593,"",0,1))</f>
        <v>7477.17</v>
      </c>
      <c r="X132" s="3">
        <f>IF(_xlfn.XLOOKUP($U132,GCA!$H$3:$H$593,GCA!G$3:G$593,"",0,1)="","",_xlfn.XLOOKUP($U132,GCA!$H$3:$H$593,GCA!G$3:G$593,"",0,1))</f>
        <v>6635.64</v>
      </c>
    </row>
    <row r="133" spans="1:24" ht="13.2">
      <c r="A133" s="49"/>
      <c r="B133" s="49"/>
      <c r="C133" s="48"/>
      <c r="D133" s="49"/>
      <c r="E133" s="50"/>
      <c r="F133" s="26" t="s">
        <v>233</v>
      </c>
      <c r="G133" s="26" t="s">
        <v>233</v>
      </c>
      <c r="H133" s="27">
        <f t="shared" si="58"/>
        <v>909.84500000000003</v>
      </c>
      <c r="I133" s="27">
        <f t="shared" si="58"/>
        <v>900.06500000000005</v>
      </c>
      <c r="J133" s="27">
        <f t="shared" si="58"/>
        <v>916.77499999999998</v>
      </c>
      <c r="K133" s="27">
        <f t="shared" si="59"/>
        <v>908.89499999999998</v>
      </c>
      <c r="L133" s="65"/>
      <c r="M133" s="67">
        <f t="shared" si="60"/>
        <v>0</v>
      </c>
      <c r="N133" s="65" t="str">
        <f t="shared" si="30"/>
        <v/>
      </c>
      <c r="O133" s="65" t="str">
        <f t="shared" si="61"/>
        <v/>
      </c>
      <c r="P133" s="65" t="str">
        <f t="shared" si="61"/>
        <v/>
      </c>
      <c r="Q133" s="38"/>
      <c r="R133" s="3" t="str">
        <f t="shared" si="62"/>
        <v>Salem</v>
      </c>
      <c r="S133" s="3" t="str">
        <f t="shared" si="32"/>
        <v>Salem</v>
      </c>
      <c r="T133" s="3" t="str">
        <f t="shared" si="32"/>
        <v>Salem</v>
      </c>
      <c r="U133" s="3" t="str">
        <f t="shared" si="33"/>
        <v>Salem_Salem_Salem</v>
      </c>
      <c r="V133" s="3">
        <f>IF(_xlfn.XLOOKUP($U133,GCA!$H$3:$H$593,GCA!E$3:E$593,"",0,1)="","",_xlfn.XLOOKUP($U133,GCA!$H$3:$H$593,GCA!E$3:E$593,"",0,1))</f>
        <v>909.84500000000003</v>
      </c>
      <c r="W133" s="3">
        <f>IF(_xlfn.XLOOKUP($U133,GCA!$H$3:$H$593,GCA!F$3:F$593,"",0,1)="","",_xlfn.XLOOKUP($U133,GCA!$H$3:$H$593,GCA!F$3:F$593,"",0,1))</f>
        <v>900.06500000000005</v>
      </c>
      <c r="X133" s="3">
        <f>IF(_xlfn.XLOOKUP($U133,GCA!$H$3:$H$593,GCA!G$3:G$593,"",0,1)="","",_xlfn.XLOOKUP($U133,GCA!$H$3:$H$593,GCA!G$3:G$593,"",0,1))</f>
        <v>916.77499999999998</v>
      </c>
    </row>
    <row r="134" spans="1:24" ht="13.2">
      <c r="A134" s="49"/>
      <c r="B134" s="49"/>
      <c r="C134" s="48"/>
      <c r="D134" s="49"/>
      <c r="E134" s="50"/>
      <c r="F134" s="26" t="s">
        <v>651</v>
      </c>
      <c r="G134" s="26" t="s">
        <v>650</v>
      </c>
      <c r="H134" s="27">
        <f t="shared" si="58"/>
        <v>1753.89</v>
      </c>
      <c r="I134" s="27">
        <f t="shared" si="58"/>
        <v>1680.87</v>
      </c>
      <c r="J134" s="27">
        <f t="shared" si="58"/>
        <v>1697.18</v>
      </c>
      <c r="K134" s="27">
        <f t="shared" si="59"/>
        <v>1710.6466666666668</v>
      </c>
      <c r="L134" s="65"/>
      <c r="M134" s="67">
        <f t="shared" si="60"/>
        <v>0</v>
      </c>
      <c r="N134" s="65" t="str">
        <f t="shared" si="30"/>
        <v/>
      </c>
      <c r="O134" s="65" t="str">
        <f t="shared" si="61"/>
        <v/>
      </c>
      <c r="P134" s="65" t="str">
        <f t="shared" si="61"/>
        <v/>
      </c>
      <c r="Q134" s="38"/>
      <c r="R134" s="3" t="str">
        <f t="shared" si="62"/>
        <v>Salem</v>
      </c>
      <c r="S134" s="3" t="str">
        <f t="shared" si="32"/>
        <v>Salem South</v>
      </c>
      <c r="T134" s="3" t="str">
        <f t="shared" si="32"/>
        <v>Panamarathuppatti</v>
      </c>
      <c r="U134" s="3" t="str">
        <f t="shared" si="33"/>
        <v>Salem_Salem South_Panamarathuppatti</v>
      </c>
      <c r="V134" s="3">
        <f>IF(_xlfn.XLOOKUP($U134,GCA!$H$3:$H$593,GCA!E$3:E$593,"",0,1)="","",_xlfn.XLOOKUP($U134,GCA!$H$3:$H$593,GCA!E$3:E$593,"",0,1))</f>
        <v>1753.89</v>
      </c>
      <c r="W134" s="3">
        <f>IF(_xlfn.XLOOKUP($U134,GCA!$H$3:$H$593,GCA!F$3:F$593,"",0,1)="","",_xlfn.XLOOKUP($U134,GCA!$H$3:$H$593,GCA!F$3:F$593,"",0,1))</f>
        <v>1680.87</v>
      </c>
      <c r="X134" s="3">
        <f>IF(_xlfn.XLOOKUP($U134,GCA!$H$3:$H$593,GCA!G$3:G$593,"",0,1)="","",_xlfn.XLOOKUP($U134,GCA!$H$3:$H$593,GCA!G$3:G$593,"",0,1))</f>
        <v>1697.18</v>
      </c>
    </row>
    <row r="135" spans="1:24" ht="13.2">
      <c r="A135" s="49"/>
      <c r="B135" s="49"/>
      <c r="C135" s="48"/>
      <c r="D135" s="49"/>
      <c r="E135" s="50"/>
      <c r="F135" s="26" t="s">
        <v>651</v>
      </c>
      <c r="G135" s="26" t="s">
        <v>233</v>
      </c>
      <c r="H135" s="27">
        <f t="shared" si="58"/>
        <v>64.905000000000001</v>
      </c>
      <c r="I135" s="27">
        <f t="shared" si="58"/>
        <v>29.5</v>
      </c>
      <c r="J135" s="27">
        <f t="shared" si="58"/>
        <v>31</v>
      </c>
      <c r="K135" s="27">
        <f t="shared" si="59"/>
        <v>41.801666666666669</v>
      </c>
      <c r="L135" s="65"/>
      <c r="M135" s="67">
        <f t="shared" si="60"/>
        <v>0</v>
      </c>
      <c r="N135" s="65" t="str">
        <f t="shared" si="30"/>
        <v/>
      </c>
      <c r="O135" s="65" t="str">
        <f t="shared" ref="O135:P144" si="63">N135</f>
        <v/>
      </c>
      <c r="P135" s="65" t="str">
        <f t="shared" si="63"/>
        <v/>
      </c>
      <c r="Q135" s="38"/>
      <c r="R135" s="3" t="str">
        <f t="shared" si="62"/>
        <v>Salem</v>
      </c>
      <c r="S135" s="3" t="str">
        <f t="shared" si="32"/>
        <v>Salem South</v>
      </c>
      <c r="T135" s="3" t="str">
        <f t="shared" si="32"/>
        <v>Salem</v>
      </c>
      <c r="U135" s="3" t="str">
        <f t="shared" si="33"/>
        <v>Salem_Salem South_Salem</v>
      </c>
      <c r="V135" s="3">
        <f>IF(_xlfn.XLOOKUP($U135,GCA!$H$3:$H$593,GCA!E$3:E$593,"",0,1)="","",_xlfn.XLOOKUP($U135,GCA!$H$3:$H$593,GCA!E$3:E$593,"",0,1))</f>
        <v>64.905000000000001</v>
      </c>
      <c r="W135" s="3">
        <f>IF(_xlfn.XLOOKUP($U135,GCA!$H$3:$H$593,GCA!F$3:F$593,"",0,1)="","",_xlfn.XLOOKUP($U135,GCA!$H$3:$H$593,GCA!F$3:F$593,"",0,1))</f>
        <v>29.5</v>
      </c>
      <c r="X135" s="3">
        <f>IF(_xlfn.XLOOKUP($U135,GCA!$H$3:$H$593,GCA!G$3:G$593,"",0,1)="","",_xlfn.XLOOKUP($U135,GCA!$H$3:$H$593,GCA!G$3:G$593,"",0,1))</f>
        <v>31</v>
      </c>
    </row>
    <row r="136" spans="1:24" ht="13.2">
      <c r="A136" s="49"/>
      <c r="B136" s="49"/>
      <c r="C136" s="48"/>
      <c r="D136" s="49"/>
      <c r="E136" s="50"/>
      <c r="F136" s="26" t="s">
        <v>651</v>
      </c>
      <c r="G136" s="26" t="s">
        <v>652</v>
      </c>
      <c r="H136" s="27">
        <f t="shared" si="58"/>
        <v>6182.98</v>
      </c>
      <c r="I136" s="27">
        <f t="shared" si="58"/>
        <v>6464.69</v>
      </c>
      <c r="J136" s="27">
        <f t="shared" si="58"/>
        <v>6357.585</v>
      </c>
      <c r="K136" s="27">
        <f t="shared" si="59"/>
        <v>6335.0849999999991</v>
      </c>
      <c r="L136" s="65"/>
      <c r="M136" s="67">
        <f t="shared" si="60"/>
        <v>0</v>
      </c>
      <c r="N136" s="65" t="str">
        <f t="shared" si="30"/>
        <v/>
      </c>
      <c r="O136" s="65" t="str">
        <f t="shared" si="63"/>
        <v/>
      </c>
      <c r="P136" s="65" t="str">
        <f t="shared" si="63"/>
        <v/>
      </c>
      <c r="Q136" s="38"/>
      <c r="R136" s="3" t="str">
        <f t="shared" si="62"/>
        <v>Salem</v>
      </c>
      <c r="S136" s="3" t="str">
        <f t="shared" si="32"/>
        <v>Salem South</v>
      </c>
      <c r="T136" s="3" t="str">
        <f t="shared" si="32"/>
        <v>Veerapandi</v>
      </c>
      <c r="U136" s="3" t="str">
        <f t="shared" si="33"/>
        <v>Salem_Salem South_Veerapandi</v>
      </c>
      <c r="V136" s="3">
        <f>IF(_xlfn.XLOOKUP($U136,GCA!$H$3:$H$593,GCA!E$3:E$593,"",0,1)="","",_xlfn.XLOOKUP($U136,GCA!$H$3:$H$593,GCA!E$3:E$593,"",0,1))</f>
        <v>6182.98</v>
      </c>
      <c r="W136" s="3">
        <f>IF(_xlfn.XLOOKUP($U136,GCA!$H$3:$H$593,GCA!F$3:F$593,"",0,1)="","",_xlfn.XLOOKUP($U136,GCA!$H$3:$H$593,GCA!F$3:F$593,"",0,1))</f>
        <v>6464.69</v>
      </c>
      <c r="X136" s="3">
        <f>IF(_xlfn.XLOOKUP($U136,GCA!$H$3:$H$593,GCA!G$3:G$593,"",0,1)="","",_xlfn.XLOOKUP($U136,GCA!$H$3:$H$593,GCA!G$3:G$593,"",0,1))</f>
        <v>6357.585</v>
      </c>
    </row>
    <row r="137" spans="1:24" ht="13.2">
      <c r="A137" s="49"/>
      <c r="B137" s="49"/>
      <c r="C137" s="48"/>
      <c r="D137" s="49"/>
      <c r="E137" s="50"/>
      <c r="F137" s="26" t="s">
        <v>653</v>
      </c>
      <c r="G137" s="26" t="s">
        <v>233</v>
      </c>
      <c r="H137" s="27">
        <f t="shared" si="58"/>
        <v>1953.865</v>
      </c>
      <c r="I137" s="27">
        <f t="shared" si="58"/>
        <v>1927.575</v>
      </c>
      <c r="J137" s="27">
        <f t="shared" si="58"/>
        <v>2068.87</v>
      </c>
      <c r="K137" s="27">
        <f t="shared" si="59"/>
        <v>1983.4366666666665</v>
      </c>
      <c r="L137" s="65"/>
      <c r="M137" s="67">
        <f t="shared" si="60"/>
        <v>0</v>
      </c>
      <c r="N137" s="65" t="str">
        <f t="shared" si="30"/>
        <v/>
      </c>
      <c r="O137" s="65" t="str">
        <f t="shared" si="63"/>
        <v/>
      </c>
      <c r="P137" s="65" t="str">
        <f t="shared" si="63"/>
        <v/>
      </c>
      <c r="Q137" s="38"/>
      <c r="R137" s="3" t="str">
        <f t="shared" si="62"/>
        <v>Salem</v>
      </c>
      <c r="S137" s="3" t="str">
        <f t="shared" si="32"/>
        <v>Salem West</v>
      </c>
      <c r="T137" s="3" t="str">
        <f t="shared" si="32"/>
        <v>Salem</v>
      </c>
      <c r="U137" s="3" t="str">
        <f t="shared" si="33"/>
        <v>Salem_Salem West_Salem</v>
      </c>
      <c r="V137" s="3">
        <f>IF(_xlfn.XLOOKUP($U137,GCA!$H$3:$H$593,GCA!E$3:E$593,"",0,1)="","",_xlfn.XLOOKUP($U137,GCA!$H$3:$H$593,GCA!E$3:E$593,"",0,1))</f>
        <v>1953.865</v>
      </c>
      <c r="W137" s="3">
        <f>IF(_xlfn.XLOOKUP($U137,GCA!$H$3:$H$593,GCA!F$3:F$593,"",0,1)="","",_xlfn.XLOOKUP($U137,GCA!$H$3:$H$593,GCA!F$3:F$593,"",0,1))</f>
        <v>1927.575</v>
      </c>
      <c r="X137" s="3">
        <f>IF(_xlfn.XLOOKUP($U137,GCA!$H$3:$H$593,GCA!G$3:G$593,"",0,1)="","",_xlfn.XLOOKUP($U137,GCA!$H$3:$H$593,GCA!G$3:G$593,"",0,1))</f>
        <v>2068.87</v>
      </c>
    </row>
    <row r="138" spans="1:24" ht="13.2">
      <c r="A138" s="49"/>
      <c r="B138" s="49"/>
      <c r="C138" s="48"/>
      <c r="D138" s="49"/>
      <c r="E138" s="50"/>
      <c r="F138" s="26" t="s">
        <v>653</v>
      </c>
      <c r="G138" s="26" t="s">
        <v>652</v>
      </c>
      <c r="H138" s="27">
        <f t="shared" si="58"/>
        <v>1778.395</v>
      </c>
      <c r="I138" s="27">
        <f t="shared" si="58"/>
        <v>2161.94</v>
      </c>
      <c r="J138" s="27">
        <f t="shared" si="58"/>
        <v>2229.4499999999998</v>
      </c>
      <c r="K138" s="27">
        <f t="shared" si="59"/>
        <v>2056.5949999999998</v>
      </c>
      <c r="L138" s="65"/>
      <c r="M138" s="67">
        <f t="shared" si="60"/>
        <v>0</v>
      </c>
      <c r="N138" s="65" t="str">
        <f t="shared" si="30"/>
        <v/>
      </c>
      <c r="O138" s="65" t="str">
        <f t="shared" si="63"/>
        <v/>
      </c>
      <c r="P138" s="65" t="str">
        <f t="shared" si="63"/>
        <v/>
      </c>
      <c r="Q138" s="38"/>
      <c r="R138" s="3" t="str">
        <f t="shared" si="62"/>
        <v>Salem</v>
      </c>
      <c r="S138" s="3" t="str">
        <f t="shared" si="32"/>
        <v>Salem West</v>
      </c>
      <c r="T138" s="3" t="str">
        <f t="shared" si="32"/>
        <v>Veerapandi</v>
      </c>
      <c r="U138" s="3" t="str">
        <f t="shared" si="33"/>
        <v>Salem_Salem West_Veerapandi</v>
      </c>
      <c r="V138" s="3">
        <f>IF(_xlfn.XLOOKUP($U138,GCA!$H$3:$H$593,GCA!E$3:E$593,"",0,1)="","",_xlfn.XLOOKUP($U138,GCA!$H$3:$H$593,GCA!E$3:E$593,"",0,1))</f>
        <v>1778.395</v>
      </c>
      <c r="W138" s="3">
        <f>IF(_xlfn.XLOOKUP($U138,GCA!$H$3:$H$593,GCA!F$3:F$593,"",0,1)="","",_xlfn.XLOOKUP($U138,GCA!$H$3:$H$593,GCA!F$3:F$593,"",0,1))</f>
        <v>2161.94</v>
      </c>
      <c r="X138" s="3">
        <f>IF(_xlfn.XLOOKUP($U138,GCA!$H$3:$H$593,GCA!G$3:G$593,"",0,1)="","",_xlfn.XLOOKUP($U138,GCA!$H$3:$H$593,GCA!G$3:G$593,"",0,1))</f>
        <v>2229.4499999999998</v>
      </c>
    </row>
    <row r="139" spans="1:24" ht="13.2">
      <c r="A139" s="49"/>
      <c r="B139" s="49"/>
      <c r="C139" s="48"/>
      <c r="D139" s="49"/>
      <c r="E139" s="50">
        <v>5</v>
      </c>
      <c r="F139" s="26" t="s">
        <v>654</v>
      </c>
      <c r="G139" s="26" t="s">
        <v>655</v>
      </c>
      <c r="H139" s="27">
        <f t="shared" si="58"/>
        <v>11294.99</v>
      </c>
      <c r="I139" s="27">
        <f t="shared" si="58"/>
        <v>11501.08</v>
      </c>
      <c r="J139" s="27">
        <f t="shared" si="58"/>
        <v>11641.014999999999</v>
      </c>
      <c r="K139" s="27">
        <f t="shared" si="59"/>
        <v>11479.028333333334</v>
      </c>
      <c r="L139" s="65">
        <f>SUM(K139:K141)</f>
        <v>58950.733333333337</v>
      </c>
      <c r="M139" s="67">
        <f t="shared" si="60"/>
        <v>2.4744001737775871</v>
      </c>
      <c r="N139" s="65">
        <f t="shared" si="30"/>
        <v>2</v>
      </c>
      <c r="O139" s="65">
        <f t="shared" si="63"/>
        <v>2</v>
      </c>
      <c r="P139" s="65">
        <f t="shared" si="63"/>
        <v>2</v>
      </c>
      <c r="Q139" s="38"/>
      <c r="R139" s="3" t="str">
        <f t="shared" si="62"/>
        <v>Salem</v>
      </c>
      <c r="S139" s="3" t="str">
        <f t="shared" si="32"/>
        <v>Sankari</v>
      </c>
      <c r="T139" s="3" t="str">
        <f t="shared" si="32"/>
        <v>Magudanchavadi</v>
      </c>
      <c r="U139" s="3" t="str">
        <f t="shared" si="33"/>
        <v>Salem_Sankari_Magudanchavadi</v>
      </c>
      <c r="V139" s="3">
        <f>IF(_xlfn.XLOOKUP($U139,GCA!$H$3:$H$593,GCA!E$3:E$593,"",0,1)="","",_xlfn.XLOOKUP($U139,GCA!$H$3:$H$593,GCA!E$3:E$593,"",0,1))</f>
        <v>11294.99</v>
      </c>
      <c r="W139" s="3">
        <f>IF(_xlfn.XLOOKUP($U139,GCA!$H$3:$H$593,GCA!F$3:F$593,"",0,1)="","",_xlfn.XLOOKUP($U139,GCA!$H$3:$H$593,GCA!F$3:F$593,"",0,1))</f>
        <v>11501.08</v>
      </c>
      <c r="X139" s="3">
        <f>IF(_xlfn.XLOOKUP($U139,GCA!$H$3:$H$593,GCA!G$3:G$593,"",0,1)="","",_xlfn.XLOOKUP($U139,GCA!$H$3:$H$593,GCA!G$3:G$593,"",0,1))</f>
        <v>11641.014999999999</v>
      </c>
    </row>
    <row r="140" spans="1:24" ht="13.2">
      <c r="A140" s="49"/>
      <c r="B140" s="49"/>
      <c r="C140" s="48"/>
      <c r="D140" s="49"/>
      <c r="E140" s="50"/>
      <c r="F140" s="26" t="s">
        <v>654</v>
      </c>
      <c r="G140" s="26" t="s">
        <v>654</v>
      </c>
      <c r="H140" s="27">
        <f t="shared" si="58"/>
        <v>21029.31</v>
      </c>
      <c r="I140" s="27">
        <f t="shared" si="58"/>
        <v>21053.81</v>
      </c>
      <c r="J140" s="27">
        <f t="shared" si="58"/>
        <v>24085.485000000001</v>
      </c>
      <c r="K140" s="27">
        <f t="shared" si="59"/>
        <v>22056.201666666671</v>
      </c>
      <c r="L140" s="65"/>
      <c r="M140" s="67">
        <f t="shared" si="60"/>
        <v>0</v>
      </c>
      <c r="N140" s="65" t="str">
        <f t="shared" si="30"/>
        <v/>
      </c>
      <c r="O140" s="65" t="str">
        <f t="shared" si="63"/>
        <v/>
      </c>
      <c r="P140" s="65" t="str">
        <f t="shared" si="63"/>
        <v/>
      </c>
      <c r="Q140" s="38"/>
      <c r="R140" s="3" t="str">
        <f t="shared" si="62"/>
        <v>Salem</v>
      </c>
      <c r="S140" s="3" t="str">
        <f t="shared" si="32"/>
        <v>Sankari</v>
      </c>
      <c r="T140" s="3" t="str">
        <f t="shared" si="32"/>
        <v>Sankari</v>
      </c>
      <c r="U140" s="3" t="str">
        <f t="shared" si="33"/>
        <v>Salem_Sankari_Sankari</v>
      </c>
      <c r="V140" s="3">
        <f>IF(_xlfn.XLOOKUP($U140,GCA!$H$3:$H$593,GCA!E$3:E$593,"",0,1)="","",_xlfn.XLOOKUP($U140,GCA!$H$3:$H$593,GCA!E$3:E$593,"",0,1))</f>
        <v>21029.31</v>
      </c>
      <c r="W140" s="3">
        <f>IF(_xlfn.XLOOKUP($U140,GCA!$H$3:$H$593,GCA!F$3:F$593,"",0,1)="","",_xlfn.XLOOKUP($U140,GCA!$H$3:$H$593,GCA!F$3:F$593,"",0,1))</f>
        <v>21053.81</v>
      </c>
      <c r="X140" s="3">
        <f>IF(_xlfn.XLOOKUP($U140,GCA!$H$3:$H$593,GCA!G$3:G$593,"",0,1)="","",_xlfn.XLOOKUP($U140,GCA!$H$3:$H$593,GCA!G$3:G$593,"",0,1))</f>
        <v>24085.485000000001</v>
      </c>
    </row>
    <row r="141" spans="1:24" ht="13.2">
      <c r="A141" s="49"/>
      <c r="B141" s="49"/>
      <c r="C141" s="48"/>
      <c r="D141" s="49"/>
      <c r="E141" s="50"/>
      <c r="F141" s="26" t="s">
        <v>656</v>
      </c>
      <c r="G141" s="26" t="s">
        <v>656</v>
      </c>
      <c r="H141" s="27">
        <f t="shared" si="58"/>
        <v>26465.01</v>
      </c>
      <c r="I141" s="27">
        <f t="shared" si="58"/>
        <v>24212.799999999999</v>
      </c>
      <c r="J141" s="27">
        <f t="shared" si="58"/>
        <v>25568.7</v>
      </c>
      <c r="K141" s="27">
        <f t="shared" si="59"/>
        <v>25415.50333333333</v>
      </c>
      <c r="L141" s="65"/>
      <c r="M141" s="67">
        <f t="shared" si="60"/>
        <v>0</v>
      </c>
      <c r="N141" s="65" t="str">
        <f t="shared" si="30"/>
        <v/>
      </c>
      <c r="O141" s="65" t="str">
        <f t="shared" si="63"/>
        <v/>
      </c>
      <c r="P141" s="65" t="str">
        <f t="shared" si="63"/>
        <v/>
      </c>
      <c r="Q141" s="38"/>
      <c r="R141" s="3" t="str">
        <f t="shared" si="62"/>
        <v>Salem</v>
      </c>
      <c r="S141" s="3" t="str">
        <f t="shared" si="32"/>
        <v>Thalaivasal</v>
      </c>
      <c r="T141" s="3" t="str">
        <f t="shared" si="32"/>
        <v>Thalaivasal</v>
      </c>
      <c r="U141" s="3" t="str">
        <f t="shared" si="33"/>
        <v>Salem_Thalaivasal_Thalaivasal</v>
      </c>
      <c r="V141" s="3">
        <f>IF(_xlfn.XLOOKUP($U141,GCA!$H$3:$H$593,GCA!E$3:E$593,"",0,1)="","",_xlfn.XLOOKUP($U141,GCA!$H$3:$H$593,GCA!E$3:E$593,"",0,1))</f>
        <v>26465.01</v>
      </c>
      <c r="W141" s="3">
        <f>IF(_xlfn.XLOOKUP($U141,GCA!$H$3:$H$593,GCA!F$3:F$593,"",0,1)="","",_xlfn.XLOOKUP($U141,GCA!$H$3:$H$593,GCA!F$3:F$593,"",0,1))</f>
        <v>24212.799999999999</v>
      </c>
      <c r="X141" s="3">
        <f>IF(_xlfn.XLOOKUP($U141,GCA!$H$3:$H$593,GCA!G$3:G$593,"",0,1)="","",_xlfn.XLOOKUP($U141,GCA!$H$3:$H$593,GCA!G$3:G$593,"",0,1))</f>
        <v>25568.7</v>
      </c>
    </row>
    <row r="142" spans="1:24" ht="13.2">
      <c r="A142" s="49"/>
      <c r="B142" s="49"/>
      <c r="C142" s="48"/>
      <c r="D142" s="49"/>
      <c r="E142" s="50">
        <v>6</v>
      </c>
      <c r="F142" s="26" t="s">
        <v>657</v>
      </c>
      <c r="G142" s="26" t="s">
        <v>649</v>
      </c>
      <c r="H142" s="27">
        <f t="shared" si="58"/>
        <v>9779.5</v>
      </c>
      <c r="I142" s="27">
        <f t="shared" si="58"/>
        <v>10161.9</v>
      </c>
      <c r="J142" s="27">
        <f t="shared" si="58"/>
        <v>10590.7</v>
      </c>
      <c r="K142" s="27">
        <f t="shared" si="59"/>
        <v>10177.366666666667</v>
      </c>
      <c r="L142" s="65">
        <f>SUM(K142:K144)</f>
        <v>41286.899999999994</v>
      </c>
      <c r="M142" s="67">
        <f t="shared" si="60"/>
        <v>1.7329778063502377</v>
      </c>
      <c r="N142" s="65">
        <f t="shared" si="30"/>
        <v>2</v>
      </c>
      <c r="O142" s="65">
        <f t="shared" si="63"/>
        <v>2</v>
      </c>
      <c r="P142" s="65">
        <f t="shared" si="63"/>
        <v>2</v>
      </c>
      <c r="Q142" s="38"/>
      <c r="R142" s="3" t="str">
        <f t="shared" si="62"/>
        <v>Salem</v>
      </c>
      <c r="S142" s="3" t="str">
        <f t="shared" si="32"/>
        <v>Vazhappadi</v>
      </c>
      <c r="T142" s="3" t="str">
        <f t="shared" si="32"/>
        <v>Ayothiyappattinam</v>
      </c>
      <c r="U142" s="3" t="str">
        <f t="shared" si="33"/>
        <v>Salem_Vazhappadi_Ayothiyappattinam</v>
      </c>
      <c r="V142" s="3">
        <f>IF(_xlfn.XLOOKUP($U142,GCA!$H$3:$H$593,GCA!E$3:E$593,"",0,1)="","",_xlfn.XLOOKUP($U142,GCA!$H$3:$H$593,GCA!E$3:E$593,"",0,1))</f>
        <v>9779.5</v>
      </c>
      <c r="W142" s="3">
        <f>IF(_xlfn.XLOOKUP($U142,GCA!$H$3:$H$593,GCA!F$3:F$593,"",0,1)="","",_xlfn.XLOOKUP($U142,GCA!$H$3:$H$593,GCA!F$3:F$593,"",0,1))</f>
        <v>10161.9</v>
      </c>
      <c r="X142" s="3">
        <f>IF(_xlfn.XLOOKUP($U142,GCA!$H$3:$H$593,GCA!G$3:G$593,"",0,1)="","",_xlfn.XLOOKUP($U142,GCA!$H$3:$H$593,GCA!G$3:G$593,"",0,1))</f>
        <v>10590.7</v>
      </c>
    </row>
    <row r="143" spans="1:24" ht="13.2">
      <c r="A143" s="49"/>
      <c r="B143" s="49"/>
      <c r="C143" s="48"/>
      <c r="D143" s="49"/>
      <c r="E143" s="50"/>
      <c r="F143" s="26" t="s">
        <v>657</v>
      </c>
      <c r="G143" s="26" t="s">
        <v>657</v>
      </c>
      <c r="H143" s="27">
        <f t="shared" si="58"/>
        <v>14840.49</v>
      </c>
      <c r="I143" s="27">
        <f t="shared" si="58"/>
        <v>13071.5</v>
      </c>
      <c r="J143" s="27">
        <f t="shared" si="58"/>
        <v>13154.91</v>
      </c>
      <c r="K143" s="27">
        <f t="shared" si="59"/>
        <v>13688.966666666665</v>
      </c>
      <c r="L143" s="65"/>
      <c r="M143" s="67">
        <f t="shared" si="60"/>
        <v>0</v>
      </c>
      <c r="N143" s="65" t="str">
        <f t="shared" si="30"/>
        <v/>
      </c>
      <c r="O143" s="65" t="str">
        <f t="shared" si="63"/>
        <v/>
      </c>
      <c r="P143" s="65" t="str">
        <f t="shared" si="63"/>
        <v/>
      </c>
      <c r="Q143" s="38"/>
      <c r="R143" s="3" t="str">
        <f t="shared" si="62"/>
        <v>Salem</v>
      </c>
      <c r="S143" s="3" t="str">
        <f t="shared" si="32"/>
        <v>Vazhappadi</v>
      </c>
      <c r="T143" s="3" t="str">
        <f t="shared" si="32"/>
        <v>Vazhappadi</v>
      </c>
      <c r="U143" s="3" t="str">
        <f t="shared" si="33"/>
        <v>Salem_Vazhappadi_Vazhappadi</v>
      </c>
      <c r="V143" s="3">
        <f>IF(_xlfn.XLOOKUP($U143,GCA!$H$3:$H$593,GCA!E$3:E$593,"",0,1)="","",_xlfn.XLOOKUP($U143,GCA!$H$3:$H$593,GCA!E$3:E$593,"",0,1))</f>
        <v>14840.49</v>
      </c>
      <c r="W143" s="3">
        <f>IF(_xlfn.XLOOKUP($U143,GCA!$H$3:$H$593,GCA!F$3:F$593,"",0,1)="","",_xlfn.XLOOKUP($U143,GCA!$H$3:$H$593,GCA!F$3:F$593,"",0,1))</f>
        <v>13071.5</v>
      </c>
      <c r="X143" s="3">
        <f>IF(_xlfn.XLOOKUP($U143,GCA!$H$3:$H$593,GCA!G$3:G$593,"",0,1)="","",_xlfn.XLOOKUP($U143,GCA!$H$3:$H$593,GCA!G$3:G$593,"",0,1))</f>
        <v>13154.91</v>
      </c>
    </row>
    <row r="144" spans="1:24" ht="13.2">
      <c r="A144" s="49"/>
      <c r="B144" s="49"/>
      <c r="C144" s="48"/>
      <c r="D144" s="49"/>
      <c r="E144" s="50"/>
      <c r="F144" s="26" t="s">
        <v>658</v>
      </c>
      <c r="G144" s="26" t="s">
        <v>658</v>
      </c>
      <c r="H144" s="27">
        <f t="shared" si="58"/>
        <v>17066.400000000001</v>
      </c>
      <c r="I144" s="27">
        <f t="shared" si="58"/>
        <v>17531</v>
      </c>
      <c r="J144" s="27">
        <f t="shared" si="58"/>
        <v>17664.3</v>
      </c>
      <c r="K144" s="27">
        <f t="shared" si="59"/>
        <v>17420.566666666666</v>
      </c>
      <c r="L144" s="65"/>
      <c r="M144" s="67">
        <f t="shared" si="60"/>
        <v>0</v>
      </c>
      <c r="N144" s="65" t="str">
        <f t="shared" si="30"/>
        <v/>
      </c>
      <c r="O144" s="65" t="str">
        <f t="shared" si="63"/>
        <v/>
      </c>
      <c r="P144" s="65" t="str">
        <f t="shared" si="63"/>
        <v/>
      </c>
      <c r="Q144" s="38"/>
      <c r="R144" s="3" t="str">
        <f t="shared" si="62"/>
        <v>Salem</v>
      </c>
      <c r="S144" s="3" t="str">
        <f t="shared" si="32"/>
        <v>Yercaud</v>
      </c>
      <c r="T144" s="3" t="str">
        <f t="shared" si="32"/>
        <v>Yercaud</v>
      </c>
      <c r="U144" s="3" t="str">
        <f t="shared" si="33"/>
        <v>Salem_Yercaud_Yercaud</v>
      </c>
      <c r="V144" s="3">
        <f>IF(_xlfn.XLOOKUP($U144,GCA!$H$3:$H$593,GCA!E$3:E$593,"",0,1)="","",_xlfn.XLOOKUP($U144,GCA!$H$3:$H$593,GCA!E$3:E$593,"",0,1))</f>
        <v>17066.400000000001</v>
      </c>
      <c r="W144" s="3">
        <f>IF(_xlfn.XLOOKUP($U144,GCA!$H$3:$H$593,GCA!F$3:F$593,"",0,1)="","",_xlfn.XLOOKUP($U144,GCA!$H$3:$H$593,GCA!F$3:F$593,"",0,1))</f>
        <v>17531</v>
      </c>
      <c r="X144" s="3">
        <f>IF(_xlfn.XLOOKUP($U144,GCA!$H$3:$H$593,GCA!G$3:G$593,"",0,1)="","",_xlfn.XLOOKUP($U144,GCA!$H$3:$H$593,GCA!G$3:G$593,"",0,1))</f>
        <v>17664.3</v>
      </c>
    </row>
    <row r="145" spans="1:24" ht="13.2">
      <c r="A145" s="49"/>
      <c r="B145" s="49"/>
      <c r="C145" s="48"/>
      <c r="D145" s="49"/>
      <c r="E145" s="47" t="s">
        <v>564</v>
      </c>
      <c r="F145" s="47"/>
      <c r="G145" s="47"/>
      <c r="H145" s="29">
        <f t="shared" ref="H145:P145" si="64">SUM(H119:H144)</f>
        <v>312297.30499999999</v>
      </c>
      <c r="I145" s="29">
        <f t="shared" si="64"/>
        <v>308398.10000000003</v>
      </c>
      <c r="J145" s="29">
        <f t="shared" si="64"/>
        <v>313490.00300000003</v>
      </c>
      <c r="K145" s="29">
        <f t="shared" si="64"/>
        <v>311395.13599999994</v>
      </c>
      <c r="L145" s="29">
        <f t="shared" si="64"/>
        <v>311395.13599999994</v>
      </c>
      <c r="M145" s="30">
        <f t="shared" si="64"/>
        <v>13.070510493483743</v>
      </c>
      <c r="N145" s="31">
        <f t="shared" si="64"/>
        <v>13</v>
      </c>
      <c r="O145" s="31">
        <f t="shared" si="64"/>
        <v>13</v>
      </c>
      <c r="P145" s="31">
        <f t="shared" si="64"/>
        <v>13</v>
      </c>
      <c r="Q145" s="38"/>
      <c r="R145" s="3" t="str">
        <f t="shared" si="62"/>
        <v>Salem</v>
      </c>
      <c r="S145" s="3">
        <f t="shared" si="32"/>
        <v>0</v>
      </c>
      <c r="T145" s="3">
        <f t="shared" si="32"/>
        <v>0</v>
      </c>
      <c r="U145" s="3" t="str">
        <f t="shared" si="33"/>
        <v>Salem_0_0</v>
      </c>
      <c r="V145" s="3" t="str">
        <f>IF(_xlfn.XLOOKUP($U145,GCA!$H$3:$H$593,GCA!E$3:E$593,"",0,1)="","",_xlfn.XLOOKUP($U145,GCA!$H$3:$H$593,GCA!E$3:E$593,"",0,1))</f>
        <v/>
      </c>
      <c r="W145" s="3" t="str">
        <f>IF(_xlfn.XLOOKUP($U145,GCA!$H$3:$H$593,GCA!F$3:F$593,"",0,1)="","",_xlfn.XLOOKUP($U145,GCA!$H$3:$H$593,GCA!F$3:F$593,"",0,1))</f>
        <v/>
      </c>
      <c r="X145" s="3" t="str">
        <f>IF(_xlfn.XLOOKUP($U145,GCA!$H$3:$H$593,GCA!G$3:G$593,"",0,1)="","",_xlfn.XLOOKUP($U145,GCA!$H$3:$H$593,GCA!G$3:G$593,"",0,1))</f>
        <v/>
      </c>
    </row>
    <row r="146" spans="1:24" ht="13.2">
      <c r="A146" s="49"/>
      <c r="B146" s="49"/>
      <c r="C146" s="48" t="s">
        <v>234</v>
      </c>
      <c r="D146" s="49" t="s">
        <v>526</v>
      </c>
      <c r="E146" s="50">
        <v>1</v>
      </c>
      <c r="F146" s="26" t="s">
        <v>659</v>
      </c>
      <c r="G146" s="26" t="s">
        <v>659</v>
      </c>
      <c r="H146" s="27">
        <f t="shared" ref="H146:J164" si="65">V146</f>
        <v>12948.4</v>
      </c>
      <c r="I146" s="27">
        <f t="shared" si="65"/>
        <v>12607.764999999999</v>
      </c>
      <c r="J146" s="27">
        <f t="shared" si="65"/>
        <v>12466.2</v>
      </c>
      <c r="K146" s="27">
        <f t="shared" ref="K146:K164" si="66">IFERROR(AVERAGE(H146:J146),"")</f>
        <v>12674.121666666668</v>
      </c>
      <c r="L146" s="65">
        <f>SUM(K146:K150)</f>
        <v>40380.378333333334</v>
      </c>
      <c r="M146" s="67">
        <f t="shared" ref="M146:M164" si="67">L146*$L$643/$L$642</f>
        <v>1.6949274337306186</v>
      </c>
      <c r="N146" s="65">
        <f t="shared" ref="N146:N209" si="68">IF(M146&gt;=2, ROUND(M146,0), IF(M146&gt;1.1,2,""))</f>
        <v>2</v>
      </c>
      <c r="O146" s="65">
        <f t="shared" ref="O146:P161" si="69">N146</f>
        <v>2</v>
      </c>
      <c r="P146" s="65">
        <f t="shared" si="69"/>
        <v>2</v>
      </c>
      <c r="Q146" s="38"/>
      <c r="R146" s="3" t="str">
        <f t="shared" ref="R146:R205" si="70">C146</f>
        <v>Namakkal</v>
      </c>
      <c r="S146" s="3" t="str">
        <f t="shared" ref="S146:T209" si="71">F146</f>
        <v>Kollimalai</v>
      </c>
      <c r="T146" s="3" t="str">
        <f t="shared" si="71"/>
        <v>Kollimalai</v>
      </c>
      <c r="U146" s="3" t="str">
        <f t="shared" ref="U146:U209" si="72">CONCATENATE(R146,"_",S146,"_",T146)</f>
        <v>Namakkal_Kollimalai_Kollimalai</v>
      </c>
      <c r="V146" s="3">
        <f>IF(_xlfn.XLOOKUP($U146,GCA!$H$3:$H$593,GCA!E$3:E$593,"",0,1)="","",_xlfn.XLOOKUP($U146,GCA!$H$3:$H$593,GCA!E$3:E$593,"",0,1))</f>
        <v>12948.4</v>
      </c>
      <c r="W146" s="3">
        <f>IF(_xlfn.XLOOKUP($U146,GCA!$H$3:$H$593,GCA!F$3:F$593,"",0,1)="","",_xlfn.XLOOKUP($U146,GCA!$H$3:$H$593,GCA!F$3:F$593,"",0,1))</f>
        <v>12607.764999999999</v>
      </c>
      <c r="X146" s="3">
        <f>IF(_xlfn.XLOOKUP($U146,GCA!$H$3:$H$593,GCA!G$3:G$593,"",0,1)="","",_xlfn.XLOOKUP($U146,GCA!$H$3:$H$593,GCA!G$3:G$593,"",0,1))</f>
        <v>12466.2</v>
      </c>
    </row>
    <row r="147" spans="1:24" ht="13.2">
      <c r="A147" s="49"/>
      <c r="B147" s="49"/>
      <c r="C147" s="48"/>
      <c r="D147" s="49"/>
      <c r="E147" s="50"/>
      <c r="F147" s="26" t="s">
        <v>660</v>
      </c>
      <c r="G147" s="26" t="s">
        <v>661</v>
      </c>
      <c r="H147" s="27">
        <f t="shared" si="65"/>
        <v>12100.3</v>
      </c>
      <c r="I147" s="27">
        <f t="shared" si="65"/>
        <v>8923.6149999999998</v>
      </c>
      <c r="J147" s="27">
        <f t="shared" si="65"/>
        <v>11271.275</v>
      </c>
      <c r="K147" s="27">
        <f t="shared" si="66"/>
        <v>10765.063333333334</v>
      </c>
      <c r="L147" s="65"/>
      <c r="M147" s="67">
        <f t="shared" si="67"/>
        <v>0</v>
      </c>
      <c r="N147" s="65" t="str">
        <f t="shared" si="68"/>
        <v/>
      </c>
      <c r="O147" s="65" t="str">
        <f t="shared" si="69"/>
        <v/>
      </c>
      <c r="P147" s="65" t="str">
        <f t="shared" si="69"/>
        <v/>
      </c>
      <c r="Q147" s="38"/>
      <c r="R147" s="3" t="str">
        <f t="shared" ref="R147:R165" si="73">R146</f>
        <v>Namakkal</v>
      </c>
      <c r="S147" s="3" t="str">
        <f t="shared" si="71"/>
        <v>Kumarapalayam</v>
      </c>
      <c r="T147" s="3" t="str">
        <f t="shared" si="71"/>
        <v>Pallipalayam</v>
      </c>
      <c r="U147" s="3" t="str">
        <f t="shared" si="72"/>
        <v>Namakkal_Kumarapalayam_Pallipalayam</v>
      </c>
      <c r="V147" s="3">
        <f>IF(_xlfn.XLOOKUP($U147,GCA!$H$3:$H$593,GCA!E$3:E$593,"",0,1)="","",_xlfn.XLOOKUP($U147,GCA!$H$3:$H$593,GCA!E$3:E$593,"",0,1))</f>
        <v>12100.3</v>
      </c>
      <c r="W147" s="3">
        <f>IF(_xlfn.XLOOKUP($U147,GCA!$H$3:$H$593,GCA!F$3:F$593,"",0,1)="","",_xlfn.XLOOKUP($U147,GCA!$H$3:$H$593,GCA!F$3:F$593,"",0,1))</f>
        <v>8923.6149999999998</v>
      </c>
      <c r="X147" s="3">
        <f>IF(_xlfn.XLOOKUP($U147,GCA!$H$3:$H$593,GCA!G$3:G$593,"",0,1)="","",_xlfn.XLOOKUP($U147,GCA!$H$3:$H$593,GCA!G$3:G$593,"",0,1))</f>
        <v>11271.275</v>
      </c>
    </row>
    <row r="148" spans="1:24" ht="13.2">
      <c r="A148" s="49"/>
      <c r="B148" s="49"/>
      <c r="C148" s="48"/>
      <c r="D148" s="49"/>
      <c r="E148" s="50"/>
      <c r="F148" s="26" t="s">
        <v>660</v>
      </c>
      <c r="G148" s="26" t="s">
        <v>662</v>
      </c>
      <c r="H148" s="27">
        <f t="shared" si="65"/>
        <v>1799.9</v>
      </c>
      <c r="I148" s="27">
        <f t="shared" si="65"/>
        <v>1442.35</v>
      </c>
      <c r="J148" s="27">
        <f t="shared" si="65"/>
        <v>1481.79</v>
      </c>
      <c r="K148" s="27">
        <f t="shared" si="66"/>
        <v>1574.68</v>
      </c>
      <c r="L148" s="65"/>
      <c r="M148" s="67">
        <f t="shared" si="67"/>
        <v>0</v>
      </c>
      <c r="N148" s="65" t="str">
        <f t="shared" si="68"/>
        <v/>
      </c>
      <c r="O148" s="65" t="str">
        <f t="shared" si="69"/>
        <v/>
      </c>
      <c r="P148" s="65" t="str">
        <f t="shared" si="69"/>
        <v/>
      </c>
      <c r="Q148" s="38"/>
      <c r="R148" s="3" t="str">
        <f t="shared" si="73"/>
        <v>Namakkal</v>
      </c>
      <c r="S148" s="3" t="str">
        <f t="shared" si="71"/>
        <v>Kumarapalayam</v>
      </c>
      <c r="T148" s="3" t="str">
        <f t="shared" si="71"/>
        <v>Tiruchengode</v>
      </c>
      <c r="U148" s="3" t="str">
        <f t="shared" si="72"/>
        <v>Namakkal_Kumarapalayam_Tiruchengode</v>
      </c>
      <c r="V148" s="3">
        <f>IF(_xlfn.XLOOKUP($U148,GCA!$H$3:$H$593,GCA!E$3:E$593,"",0,1)="","",_xlfn.XLOOKUP($U148,GCA!$H$3:$H$593,GCA!E$3:E$593,"",0,1))</f>
        <v>1799.9</v>
      </c>
      <c r="W148" s="3">
        <f>IF(_xlfn.XLOOKUP($U148,GCA!$H$3:$H$593,GCA!F$3:F$593,"",0,1)="","",_xlfn.XLOOKUP($U148,GCA!$H$3:$H$593,GCA!F$3:F$593,"",0,1))</f>
        <v>1442.35</v>
      </c>
      <c r="X148" s="3">
        <f>IF(_xlfn.XLOOKUP($U148,GCA!$H$3:$H$593,GCA!G$3:G$593,"",0,1)="","",_xlfn.XLOOKUP($U148,GCA!$H$3:$H$593,GCA!G$3:G$593,"",0,1))</f>
        <v>1481.79</v>
      </c>
    </row>
    <row r="149" spans="1:24" ht="13.2">
      <c r="A149" s="49"/>
      <c r="B149" s="49"/>
      <c r="C149" s="48"/>
      <c r="D149" s="49"/>
      <c r="E149" s="50"/>
      <c r="F149" s="26" t="s">
        <v>663</v>
      </c>
      <c r="G149" s="26" t="s">
        <v>664</v>
      </c>
      <c r="H149" s="27">
        <f t="shared" si="65"/>
        <v>2361.4</v>
      </c>
      <c r="I149" s="27">
        <f t="shared" si="65"/>
        <v>2447.14</v>
      </c>
      <c r="J149" s="27">
        <f t="shared" si="65"/>
        <v>2681.94</v>
      </c>
      <c r="K149" s="27">
        <f t="shared" si="66"/>
        <v>2496.8266666666664</v>
      </c>
      <c r="L149" s="65"/>
      <c r="M149" s="67">
        <f t="shared" si="67"/>
        <v>0</v>
      </c>
      <c r="N149" s="65" t="str">
        <f t="shared" si="68"/>
        <v/>
      </c>
      <c r="O149" s="65" t="str">
        <f t="shared" si="69"/>
        <v/>
      </c>
      <c r="P149" s="65" t="str">
        <f t="shared" si="69"/>
        <v/>
      </c>
      <c r="Q149" s="38"/>
      <c r="R149" s="3" t="str">
        <f t="shared" si="73"/>
        <v>Namakkal</v>
      </c>
      <c r="S149" s="3" t="str">
        <f t="shared" si="71"/>
        <v>Mohanur</v>
      </c>
      <c r="T149" s="3" t="str">
        <f t="shared" si="71"/>
        <v>Erumaipatti</v>
      </c>
      <c r="U149" s="3" t="str">
        <f t="shared" si="72"/>
        <v>Namakkal_Mohanur_Erumaipatti</v>
      </c>
      <c r="V149" s="3">
        <f>IF(_xlfn.XLOOKUP($U149,GCA!$H$3:$H$593,GCA!E$3:E$593,"",0,1)="","",_xlfn.XLOOKUP($U149,GCA!$H$3:$H$593,GCA!E$3:E$593,"",0,1))</f>
        <v>2361.4</v>
      </c>
      <c r="W149" s="3">
        <f>IF(_xlfn.XLOOKUP($U149,GCA!$H$3:$H$593,GCA!F$3:F$593,"",0,1)="","",_xlfn.XLOOKUP($U149,GCA!$H$3:$H$593,GCA!F$3:F$593,"",0,1))</f>
        <v>2447.14</v>
      </c>
      <c r="X149" s="3">
        <f>IF(_xlfn.XLOOKUP($U149,GCA!$H$3:$H$593,GCA!G$3:G$593,"",0,1)="","",_xlfn.XLOOKUP($U149,GCA!$H$3:$H$593,GCA!G$3:G$593,"",0,1))</f>
        <v>2681.94</v>
      </c>
    </row>
    <row r="150" spans="1:24" ht="13.2">
      <c r="A150" s="49"/>
      <c r="B150" s="49"/>
      <c r="C150" s="48"/>
      <c r="D150" s="49"/>
      <c r="E150" s="50"/>
      <c r="F150" s="26" t="s">
        <v>663</v>
      </c>
      <c r="G150" s="26" t="s">
        <v>663</v>
      </c>
      <c r="H150" s="27">
        <f t="shared" si="65"/>
        <v>13425.42</v>
      </c>
      <c r="I150" s="27">
        <f t="shared" si="65"/>
        <v>12847.51</v>
      </c>
      <c r="J150" s="27">
        <f t="shared" si="65"/>
        <v>12336.13</v>
      </c>
      <c r="K150" s="27">
        <f t="shared" si="66"/>
        <v>12869.686666666666</v>
      </c>
      <c r="L150" s="65"/>
      <c r="M150" s="67">
        <f t="shared" si="67"/>
        <v>0</v>
      </c>
      <c r="N150" s="65" t="str">
        <f t="shared" si="68"/>
        <v/>
      </c>
      <c r="O150" s="65" t="str">
        <f t="shared" si="69"/>
        <v/>
      </c>
      <c r="P150" s="65" t="str">
        <f t="shared" si="69"/>
        <v/>
      </c>
      <c r="Q150" s="38"/>
      <c r="R150" s="3" t="str">
        <f t="shared" si="73"/>
        <v>Namakkal</v>
      </c>
      <c r="S150" s="3" t="str">
        <f t="shared" si="71"/>
        <v>Mohanur</v>
      </c>
      <c r="T150" s="3" t="str">
        <f t="shared" si="71"/>
        <v>Mohanur</v>
      </c>
      <c r="U150" s="3" t="str">
        <f t="shared" si="72"/>
        <v>Namakkal_Mohanur_Mohanur</v>
      </c>
      <c r="V150" s="3">
        <f>IF(_xlfn.XLOOKUP($U150,GCA!$H$3:$H$593,GCA!E$3:E$593,"",0,1)="","",_xlfn.XLOOKUP($U150,GCA!$H$3:$H$593,GCA!E$3:E$593,"",0,1))</f>
        <v>13425.42</v>
      </c>
      <c r="W150" s="3">
        <f>IF(_xlfn.XLOOKUP($U150,GCA!$H$3:$H$593,GCA!F$3:F$593,"",0,1)="","",_xlfn.XLOOKUP($U150,GCA!$H$3:$H$593,GCA!F$3:F$593,"",0,1))</f>
        <v>12847.51</v>
      </c>
      <c r="X150" s="3">
        <f>IF(_xlfn.XLOOKUP($U150,GCA!$H$3:$H$593,GCA!G$3:G$593,"",0,1)="","",_xlfn.XLOOKUP($U150,GCA!$H$3:$H$593,GCA!G$3:G$593,"",0,1))</f>
        <v>12336.13</v>
      </c>
    </row>
    <row r="151" spans="1:24" ht="13.2">
      <c r="A151" s="49"/>
      <c r="B151" s="49"/>
      <c r="C151" s="48"/>
      <c r="D151" s="49"/>
      <c r="E151" s="50">
        <v>2</v>
      </c>
      <c r="F151" s="26" t="s">
        <v>234</v>
      </c>
      <c r="G151" s="26" t="s">
        <v>234</v>
      </c>
      <c r="H151" s="27">
        <f t="shared" si="65"/>
        <v>6945.8149999999996</v>
      </c>
      <c r="I151" s="27">
        <f t="shared" si="65"/>
        <v>6766.52</v>
      </c>
      <c r="J151" s="27">
        <f t="shared" si="65"/>
        <v>6917.2060000000001</v>
      </c>
      <c r="K151" s="27">
        <f t="shared" si="66"/>
        <v>6876.5136666666658</v>
      </c>
      <c r="L151" s="65">
        <f>SUM(K151:K154)</f>
        <v>49724.993666666662</v>
      </c>
      <c r="M151" s="67">
        <f t="shared" si="67"/>
        <v>2.0871586494805729</v>
      </c>
      <c r="N151" s="65">
        <f t="shared" si="68"/>
        <v>2</v>
      </c>
      <c r="O151" s="65">
        <f t="shared" si="69"/>
        <v>2</v>
      </c>
      <c r="P151" s="65">
        <f t="shared" si="69"/>
        <v>2</v>
      </c>
      <c r="Q151" s="38"/>
      <c r="R151" s="3" t="str">
        <f t="shared" si="73"/>
        <v>Namakkal</v>
      </c>
      <c r="S151" s="3" t="str">
        <f t="shared" si="71"/>
        <v>Namakkal</v>
      </c>
      <c r="T151" s="3" t="str">
        <f t="shared" si="71"/>
        <v>Namakkal</v>
      </c>
      <c r="U151" s="3" t="str">
        <f t="shared" si="72"/>
        <v>Namakkal_Namakkal_Namakkal</v>
      </c>
      <c r="V151" s="3">
        <f>IF(_xlfn.XLOOKUP($U151,GCA!$H$3:$H$593,GCA!E$3:E$593,"",0,1)="","",_xlfn.XLOOKUP($U151,GCA!$H$3:$H$593,GCA!E$3:E$593,"",0,1))</f>
        <v>6945.8149999999996</v>
      </c>
      <c r="W151" s="3">
        <f>IF(_xlfn.XLOOKUP($U151,GCA!$H$3:$H$593,GCA!F$3:F$593,"",0,1)="","",_xlfn.XLOOKUP($U151,GCA!$H$3:$H$593,GCA!F$3:F$593,"",0,1))</f>
        <v>6766.52</v>
      </c>
      <c r="X151" s="3">
        <f>IF(_xlfn.XLOOKUP($U151,GCA!$H$3:$H$593,GCA!G$3:G$593,"",0,1)="","",_xlfn.XLOOKUP($U151,GCA!$H$3:$H$593,GCA!G$3:G$593,"",0,1))</f>
        <v>6917.2060000000001</v>
      </c>
    </row>
    <row r="152" spans="1:24" ht="13.2">
      <c r="A152" s="49"/>
      <c r="B152" s="49"/>
      <c r="C152" s="48"/>
      <c r="D152" s="49"/>
      <c r="E152" s="50"/>
      <c r="F152" s="26" t="s">
        <v>234</v>
      </c>
      <c r="G152" s="26" t="s">
        <v>665</v>
      </c>
      <c r="H152" s="27">
        <f t="shared" si="65"/>
        <v>14774.22</v>
      </c>
      <c r="I152" s="27">
        <f t="shared" si="65"/>
        <v>13999.305</v>
      </c>
      <c r="J152" s="27">
        <f t="shared" si="65"/>
        <v>15278.665000000001</v>
      </c>
      <c r="K152" s="27">
        <f t="shared" si="66"/>
        <v>14684.063333333334</v>
      </c>
      <c r="L152" s="65"/>
      <c r="M152" s="67">
        <f t="shared" si="67"/>
        <v>0</v>
      </c>
      <c r="N152" s="65" t="str">
        <f t="shared" si="68"/>
        <v/>
      </c>
      <c r="O152" s="65" t="str">
        <f t="shared" si="69"/>
        <v/>
      </c>
      <c r="P152" s="65" t="str">
        <f t="shared" si="69"/>
        <v/>
      </c>
      <c r="Q152" s="38"/>
      <c r="R152" s="3" t="str">
        <f t="shared" si="73"/>
        <v>Namakkal</v>
      </c>
      <c r="S152" s="3" t="str">
        <f t="shared" si="71"/>
        <v>Namakkal</v>
      </c>
      <c r="T152" s="3" t="str">
        <f t="shared" si="71"/>
        <v>Puduchatram</v>
      </c>
      <c r="U152" s="3" t="str">
        <f t="shared" si="72"/>
        <v>Namakkal_Namakkal_Puduchatram</v>
      </c>
      <c r="V152" s="3">
        <f>IF(_xlfn.XLOOKUP($U152,GCA!$H$3:$H$593,GCA!E$3:E$593,"",0,1)="","",_xlfn.XLOOKUP($U152,GCA!$H$3:$H$593,GCA!E$3:E$593,"",0,1))</f>
        <v>14774.22</v>
      </c>
      <c r="W152" s="3">
        <f>IF(_xlfn.XLOOKUP($U152,GCA!$H$3:$H$593,GCA!F$3:F$593,"",0,1)="","",_xlfn.XLOOKUP($U152,GCA!$H$3:$H$593,GCA!F$3:F$593,"",0,1))</f>
        <v>13999.305</v>
      </c>
      <c r="X152" s="3">
        <f>IF(_xlfn.XLOOKUP($U152,GCA!$H$3:$H$593,GCA!G$3:G$593,"",0,1)="","",_xlfn.XLOOKUP($U152,GCA!$H$3:$H$593,GCA!G$3:G$593,"",0,1))</f>
        <v>15278.665000000001</v>
      </c>
    </row>
    <row r="153" spans="1:24" ht="13.2">
      <c r="A153" s="49"/>
      <c r="B153" s="49"/>
      <c r="C153" s="48"/>
      <c r="D153" s="49"/>
      <c r="E153" s="50"/>
      <c r="F153" s="26" t="s">
        <v>666</v>
      </c>
      <c r="G153" s="26" t="s">
        <v>667</v>
      </c>
      <c r="H153" s="27">
        <f t="shared" si="65"/>
        <v>15266.155000000001</v>
      </c>
      <c r="I153" s="27">
        <f t="shared" si="65"/>
        <v>14417.785</v>
      </c>
      <c r="J153" s="27">
        <f t="shared" si="65"/>
        <v>14675.495000000001</v>
      </c>
      <c r="K153" s="27">
        <f t="shared" si="66"/>
        <v>14786.478333333334</v>
      </c>
      <c r="L153" s="65"/>
      <c r="M153" s="67">
        <f t="shared" si="67"/>
        <v>0</v>
      </c>
      <c r="N153" s="65" t="str">
        <f t="shared" si="68"/>
        <v/>
      </c>
      <c r="O153" s="65" t="str">
        <f t="shared" si="69"/>
        <v/>
      </c>
      <c r="P153" s="65" t="str">
        <f t="shared" si="69"/>
        <v/>
      </c>
      <c r="Q153" s="38"/>
      <c r="R153" s="3" t="str">
        <f t="shared" si="73"/>
        <v>Namakkal</v>
      </c>
      <c r="S153" s="3" t="str">
        <f t="shared" si="71"/>
        <v>Paramathi-Velur</v>
      </c>
      <c r="T153" s="3" t="str">
        <f t="shared" si="71"/>
        <v>Kabilarmalai</v>
      </c>
      <c r="U153" s="3" t="str">
        <f t="shared" si="72"/>
        <v>Namakkal_Paramathi-Velur_Kabilarmalai</v>
      </c>
      <c r="V153" s="3">
        <f>IF(_xlfn.XLOOKUP($U153,GCA!$H$3:$H$593,GCA!E$3:E$593,"",0,1)="","",_xlfn.XLOOKUP($U153,GCA!$H$3:$H$593,GCA!E$3:E$593,"",0,1))</f>
        <v>15266.155000000001</v>
      </c>
      <c r="W153" s="3">
        <f>IF(_xlfn.XLOOKUP($U153,GCA!$H$3:$H$593,GCA!F$3:F$593,"",0,1)="","",_xlfn.XLOOKUP($U153,GCA!$H$3:$H$593,GCA!F$3:F$593,"",0,1))</f>
        <v>14417.785</v>
      </c>
      <c r="X153" s="3">
        <f>IF(_xlfn.XLOOKUP($U153,GCA!$H$3:$H$593,GCA!G$3:G$593,"",0,1)="","",_xlfn.XLOOKUP($U153,GCA!$H$3:$H$593,GCA!G$3:G$593,"",0,1))</f>
        <v>14675.495000000001</v>
      </c>
    </row>
    <row r="154" spans="1:24" ht="13.2">
      <c r="A154" s="49"/>
      <c r="B154" s="49"/>
      <c r="C154" s="48"/>
      <c r="D154" s="49"/>
      <c r="E154" s="50"/>
      <c r="F154" s="26" t="s">
        <v>666</v>
      </c>
      <c r="G154" s="26" t="s">
        <v>666</v>
      </c>
      <c r="H154" s="27">
        <f t="shared" si="65"/>
        <v>13364.865</v>
      </c>
      <c r="I154" s="27">
        <f t="shared" si="65"/>
        <v>13084.66</v>
      </c>
      <c r="J154" s="27">
        <f t="shared" si="65"/>
        <v>13684.29</v>
      </c>
      <c r="K154" s="27">
        <f t="shared" si="66"/>
        <v>13377.938333333334</v>
      </c>
      <c r="L154" s="65"/>
      <c r="M154" s="67">
        <f t="shared" si="67"/>
        <v>0</v>
      </c>
      <c r="N154" s="65" t="str">
        <f t="shared" si="68"/>
        <v/>
      </c>
      <c r="O154" s="65" t="str">
        <f t="shared" si="69"/>
        <v/>
      </c>
      <c r="P154" s="65" t="str">
        <f t="shared" si="69"/>
        <v/>
      </c>
      <c r="Q154" s="38"/>
      <c r="R154" s="3" t="str">
        <f t="shared" si="73"/>
        <v>Namakkal</v>
      </c>
      <c r="S154" s="3" t="str">
        <f t="shared" si="71"/>
        <v>Paramathi-Velur</v>
      </c>
      <c r="T154" s="3" t="str">
        <f t="shared" si="71"/>
        <v>Paramathi-Velur</v>
      </c>
      <c r="U154" s="3" t="str">
        <f t="shared" si="72"/>
        <v>Namakkal_Paramathi-Velur_Paramathi-Velur</v>
      </c>
      <c r="V154" s="3">
        <f>IF(_xlfn.XLOOKUP($U154,GCA!$H$3:$H$593,GCA!E$3:E$593,"",0,1)="","",_xlfn.XLOOKUP($U154,GCA!$H$3:$H$593,GCA!E$3:E$593,"",0,1))</f>
        <v>13364.865</v>
      </c>
      <c r="W154" s="3">
        <f>IF(_xlfn.XLOOKUP($U154,GCA!$H$3:$H$593,GCA!F$3:F$593,"",0,1)="","",_xlfn.XLOOKUP($U154,GCA!$H$3:$H$593,GCA!F$3:F$593,"",0,1))</f>
        <v>13084.66</v>
      </c>
      <c r="X154" s="3">
        <f>IF(_xlfn.XLOOKUP($U154,GCA!$H$3:$H$593,GCA!G$3:G$593,"",0,1)="","",_xlfn.XLOOKUP($U154,GCA!$H$3:$H$593,GCA!G$3:G$593,"",0,1))</f>
        <v>13684.29</v>
      </c>
    </row>
    <row r="155" spans="1:24" ht="13.2">
      <c r="A155" s="49"/>
      <c r="B155" s="49"/>
      <c r="C155" s="48"/>
      <c r="D155" s="49"/>
      <c r="E155" s="50">
        <v>3</v>
      </c>
      <c r="F155" s="26" t="s">
        <v>668</v>
      </c>
      <c r="G155" s="26" t="s">
        <v>669</v>
      </c>
      <c r="H155" s="27">
        <f t="shared" si="65"/>
        <v>24277.275000000001</v>
      </c>
      <c r="I155" s="27">
        <f t="shared" si="65"/>
        <v>23249.42</v>
      </c>
      <c r="J155" s="27">
        <f t="shared" si="65"/>
        <v>22419.345000000001</v>
      </c>
      <c r="K155" s="27">
        <f t="shared" si="66"/>
        <v>23315.346666666668</v>
      </c>
      <c r="L155" s="65">
        <f>SUM(K155:K157)</f>
        <v>43681.068333333336</v>
      </c>
      <c r="M155" s="67">
        <f t="shared" si="67"/>
        <v>1.8334707129703331</v>
      </c>
      <c r="N155" s="65">
        <f t="shared" si="68"/>
        <v>2</v>
      </c>
      <c r="O155" s="65">
        <f t="shared" si="69"/>
        <v>2</v>
      </c>
      <c r="P155" s="65">
        <f t="shared" si="69"/>
        <v>2</v>
      </c>
      <c r="Q155" s="38"/>
      <c r="R155" s="3" t="str">
        <f t="shared" si="73"/>
        <v>Namakkal</v>
      </c>
      <c r="S155" s="3" t="str">
        <f t="shared" si="71"/>
        <v>Rasipuram</v>
      </c>
      <c r="T155" s="3" t="str">
        <f t="shared" si="71"/>
        <v>Namagiripettai</v>
      </c>
      <c r="U155" s="3" t="str">
        <f t="shared" si="72"/>
        <v>Namakkal_Rasipuram_Namagiripettai</v>
      </c>
      <c r="V155" s="3">
        <f>IF(_xlfn.XLOOKUP($U155,GCA!$H$3:$H$593,GCA!E$3:E$593,"",0,1)="","",_xlfn.XLOOKUP($U155,GCA!$H$3:$H$593,GCA!E$3:E$593,"",0,1))</f>
        <v>24277.275000000001</v>
      </c>
      <c r="W155" s="3">
        <f>IF(_xlfn.XLOOKUP($U155,GCA!$H$3:$H$593,GCA!F$3:F$593,"",0,1)="","",_xlfn.XLOOKUP($U155,GCA!$H$3:$H$593,GCA!F$3:F$593,"",0,1))</f>
        <v>23249.42</v>
      </c>
      <c r="X155" s="3">
        <f>IF(_xlfn.XLOOKUP($U155,GCA!$H$3:$H$593,GCA!G$3:G$593,"",0,1)="","",_xlfn.XLOOKUP($U155,GCA!$H$3:$H$593,GCA!G$3:G$593,"",0,1))</f>
        <v>22419.345000000001</v>
      </c>
    </row>
    <row r="156" spans="1:24" ht="13.2">
      <c r="A156" s="49"/>
      <c r="B156" s="49"/>
      <c r="C156" s="48"/>
      <c r="D156" s="49"/>
      <c r="E156" s="50"/>
      <c r="F156" s="26" t="s">
        <v>668</v>
      </c>
      <c r="G156" s="26" t="s">
        <v>668</v>
      </c>
      <c r="H156" s="27">
        <f t="shared" si="65"/>
        <v>10410.49</v>
      </c>
      <c r="I156" s="27">
        <f t="shared" si="65"/>
        <v>9722.41</v>
      </c>
      <c r="J156" s="27">
        <f t="shared" si="65"/>
        <v>8950.0949999999993</v>
      </c>
      <c r="K156" s="27">
        <f t="shared" si="66"/>
        <v>9694.3316666666669</v>
      </c>
      <c r="L156" s="65"/>
      <c r="M156" s="67">
        <f t="shared" si="67"/>
        <v>0</v>
      </c>
      <c r="N156" s="65" t="str">
        <f t="shared" si="68"/>
        <v/>
      </c>
      <c r="O156" s="65" t="str">
        <f t="shared" si="69"/>
        <v/>
      </c>
      <c r="P156" s="65" t="str">
        <f t="shared" si="69"/>
        <v/>
      </c>
      <c r="Q156" s="38"/>
      <c r="R156" s="3" t="str">
        <f t="shared" si="73"/>
        <v>Namakkal</v>
      </c>
      <c r="S156" s="3" t="str">
        <f t="shared" si="71"/>
        <v>Rasipuram</v>
      </c>
      <c r="T156" s="3" t="str">
        <f t="shared" si="71"/>
        <v>Rasipuram</v>
      </c>
      <c r="U156" s="3" t="str">
        <f t="shared" si="72"/>
        <v>Namakkal_Rasipuram_Rasipuram</v>
      </c>
      <c r="V156" s="3">
        <f>IF(_xlfn.XLOOKUP($U156,GCA!$H$3:$H$593,GCA!E$3:E$593,"",0,1)="","",_xlfn.XLOOKUP($U156,GCA!$H$3:$H$593,GCA!E$3:E$593,"",0,1))</f>
        <v>10410.49</v>
      </c>
      <c r="W156" s="3">
        <f>IF(_xlfn.XLOOKUP($U156,GCA!$H$3:$H$593,GCA!F$3:F$593,"",0,1)="","",_xlfn.XLOOKUP($U156,GCA!$H$3:$H$593,GCA!F$3:F$593,"",0,1))</f>
        <v>9722.41</v>
      </c>
      <c r="X156" s="3">
        <f>IF(_xlfn.XLOOKUP($U156,GCA!$H$3:$H$593,GCA!G$3:G$593,"",0,1)="","",_xlfn.XLOOKUP($U156,GCA!$H$3:$H$593,GCA!G$3:G$593,"",0,1))</f>
        <v>8950.0949999999993</v>
      </c>
    </row>
    <row r="157" spans="1:24" ht="13.2">
      <c r="A157" s="49"/>
      <c r="B157" s="49"/>
      <c r="C157" s="48"/>
      <c r="D157" s="49"/>
      <c r="E157" s="50"/>
      <c r="F157" s="26" t="s">
        <v>668</v>
      </c>
      <c r="G157" s="26" t="s">
        <v>670</v>
      </c>
      <c r="H157" s="27">
        <f t="shared" si="65"/>
        <v>11132.77</v>
      </c>
      <c r="I157" s="27">
        <f t="shared" si="65"/>
        <v>10178.299999999999</v>
      </c>
      <c r="J157" s="27">
        <f t="shared" si="65"/>
        <v>10703.1</v>
      </c>
      <c r="K157" s="27">
        <f t="shared" si="66"/>
        <v>10671.39</v>
      </c>
      <c r="L157" s="65"/>
      <c r="M157" s="67">
        <f t="shared" si="67"/>
        <v>0</v>
      </c>
      <c r="N157" s="65" t="str">
        <f t="shared" si="68"/>
        <v/>
      </c>
      <c r="O157" s="65" t="str">
        <f t="shared" si="69"/>
        <v/>
      </c>
      <c r="P157" s="65" t="str">
        <f t="shared" si="69"/>
        <v/>
      </c>
      <c r="Q157" s="38"/>
      <c r="R157" s="3" t="str">
        <f t="shared" si="73"/>
        <v>Namakkal</v>
      </c>
      <c r="S157" s="3" t="str">
        <f t="shared" si="71"/>
        <v>Rasipuram</v>
      </c>
      <c r="T157" s="3" t="str">
        <f t="shared" si="71"/>
        <v>Vennandur</v>
      </c>
      <c r="U157" s="3" t="str">
        <f t="shared" si="72"/>
        <v>Namakkal_Rasipuram_Vennandur</v>
      </c>
      <c r="V157" s="3">
        <f>IF(_xlfn.XLOOKUP($U157,GCA!$H$3:$H$593,GCA!E$3:E$593,"",0,1)="","",_xlfn.XLOOKUP($U157,GCA!$H$3:$H$593,GCA!E$3:E$593,"",0,1))</f>
        <v>11132.77</v>
      </c>
      <c r="W157" s="3">
        <f>IF(_xlfn.XLOOKUP($U157,GCA!$H$3:$H$593,GCA!F$3:F$593,"",0,1)="","",_xlfn.XLOOKUP($U157,GCA!$H$3:$H$593,GCA!F$3:F$593,"",0,1))</f>
        <v>10178.299999999999</v>
      </c>
      <c r="X157" s="3">
        <f>IF(_xlfn.XLOOKUP($U157,GCA!$H$3:$H$593,GCA!G$3:G$593,"",0,1)="","",_xlfn.XLOOKUP($U157,GCA!$H$3:$H$593,GCA!G$3:G$593,"",0,1))</f>
        <v>10703.1</v>
      </c>
    </row>
    <row r="158" spans="1:24" ht="13.2">
      <c r="A158" s="49"/>
      <c r="B158" s="49"/>
      <c r="C158" s="48"/>
      <c r="D158" s="49"/>
      <c r="E158" s="50">
        <v>4</v>
      </c>
      <c r="F158" s="26" t="s">
        <v>671</v>
      </c>
      <c r="G158" s="26" t="s">
        <v>664</v>
      </c>
      <c r="H158" s="27">
        <f t="shared" si="65"/>
        <v>12243.674999999999</v>
      </c>
      <c r="I158" s="27">
        <f t="shared" si="65"/>
        <v>11855.615</v>
      </c>
      <c r="J158" s="27">
        <f t="shared" si="65"/>
        <v>11697.49</v>
      </c>
      <c r="K158" s="27">
        <f t="shared" si="66"/>
        <v>11932.26</v>
      </c>
      <c r="L158" s="65">
        <f>SUM(K158:K164)</f>
        <v>79692.05799999999</v>
      </c>
      <c r="M158" s="67">
        <f t="shared" si="67"/>
        <v>3.3449972716860774</v>
      </c>
      <c r="N158" s="65">
        <f t="shared" si="68"/>
        <v>3</v>
      </c>
      <c r="O158" s="65">
        <f t="shared" si="69"/>
        <v>3</v>
      </c>
      <c r="P158" s="65">
        <f t="shared" si="69"/>
        <v>3</v>
      </c>
      <c r="Q158" s="38"/>
      <c r="R158" s="3" t="str">
        <f t="shared" si="73"/>
        <v>Namakkal</v>
      </c>
      <c r="S158" s="3" t="str">
        <f t="shared" si="71"/>
        <v>Senthamangalam</v>
      </c>
      <c r="T158" s="3" t="str">
        <f t="shared" si="71"/>
        <v>Erumaipatti</v>
      </c>
      <c r="U158" s="3" t="str">
        <f t="shared" si="72"/>
        <v>Namakkal_Senthamangalam_Erumaipatti</v>
      </c>
      <c r="V158" s="3">
        <f>IF(_xlfn.XLOOKUP($U158,GCA!$H$3:$H$593,GCA!E$3:E$593,"",0,1)="","",_xlfn.XLOOKUP($U158,GCA!$H$3:$H$593,GCA!E$3:E$593,"",0,1))</f>
        <v>12243.674999999999</v>
      </c>
      <c r="W158" s="3">
        <f>IF(_xlfn.XLOOKUP($U158,GCA!$H$3:$H$593,GCA!F$3:F$593,"",0,1)="","",_xlfn.XLOOKUP($U158,GCA!$H$3:$H$593,GCA!F$3:F$593,"",0,1))</f>
        <v>11855.615</v>
      </c>
      <c r="X158" s="3">
        <f>IF(_xlfn.XLOOKUP($U158,GCA!$H$3:$H$593,GCA!G$3:G$593,"",0,1)="","",_xlfn.XLOOKUP($U158,GCA!$H$3:$H$593,GCA!G$3:G$593,"",0,1))</f>
        <v>11697.49</v>
      </c>
    </row>
    <row r="159" spans="1:24" ht="13.2">
      <c r="A159" s="49"/>
      <c r="B159" s="49"/>
      <c r="C159" s="48"/>
      <c r="D159" s="49"/>
      <c r="E159" s="50"/>
      <c r="F159" s="26" t="s">
        <v>671</v>
      </c>
      <c r="G159" s="26" t="s">
        <v>234</v>
      </c>
      <c r="H159" s="27">
        <f t="shared" si="65"/>
        <v>247.935</v>
      </c>
      <c r="I159" s="27">
        <f t="shared" si="65"/>
        <v>247.44</v>
      </c>
      <c r="J159" s="27">
        <f t="shared" si="65"/>
        <v>267</v>
      </c>
      <c r="K159" s="27">
        <f t="shared" si="66"/>
        <v>254.125</v>
      </c>
      <c r="L159" s="65"/>
      <c r="M159" s="67">
        <f t="shared" si="67"/>
        <v>0</v>
      </c>
      <c r="N159" s="65" t="str">
        <f t="shared" si="68"/>
        <v/>
      </c>
      <c r="O159" s="65" t="str">
        <f t="shared" si="69"/>
        <v/>
      </c>
      <c r="P159" s="65" t="str">
        <f t="shared" si="69"/>
        <v/>
      </c>
      <c r="Q159" s="38"/>
      <c r="R159" s="3" t="str">
        <f t="shared" si="73"/>
        <v>Namakkal</v>
      </c>
      <c r="S159" s="3" t="str">
        <f t="shared" si="71"/>
        <v>Senthamangalam</v>
      </c>
      <c r="T159" s="3" t="str">
        <f t="shared" si="71"/>
        <v>Namakkal</v>
      </c>
      <c r="U159" s="3" t="str">
        <f t="shared" si="72"/>
        <v>Namakkal_Senthamangalam_Namakkal</v>
      </c>
      <c r="V159" s="3">
        <f>IF(_xlfn.XLOOKUP($U159,GCA!$H$3:$H$593,GCA!E$3:E$593,"",0,1)="","",_xlfn.XLOOKUP($U159,GCA!$H$3:$H$593,GCA!E$3:E$593,"",0,1))</f>
        <v>247.935</v>
      </c>
      <c r="W159" s="3">
        <f>IF(_xlfn.XLOOKUP($U159,GCA!$H$3:$H$593,GCA!F$3:F$593,"",0,1)="","",_xlfn.XLOOKUP($U159,GCA!$H$3:$H$593,GCA!F$3:F$593,"",0,1))</f>
        <v>247.44</v>
      </c>
      <c r="X159" s="3">
        <f>IF(_xlfn.XLOOKUP($U159,GCA!$H$3:$H$593,GCA!G$3:G$593,"",0,1)="","",_xlfn.XLOOKUP($U159,GCA!$H$3:$H$593,GCA!G$3:G$593,"",0,1))</f>
        <v>267</v>
      </c>
    </row>
    <row r="160" spans="1:24" ht="13.2">
      <c r="A160" s="49"/>
      <c r="B160" s="49"/>
      <c r="C160" s="48"/>
      <c r="D160" s="49"/>
      <c r="E160" s="50"/>
      <c r="F160" s="26" t="s">
        <v>671</v>
      </c>
      <c r="G160" s="26" t="s">
        <v>665</v>
      </c>
      <c r="H160" s="27">
        <f t="shared" si="65"/>
        <v>1934</v>
      </c>
      <c r="I160" s="27">
        <f t="shared" si="65"/>
        <v>1940.5</v>
      </c>
      <c r="J160" s="27">
        <f t="shared" si="65"/>
        <v>1884.55</v>
      </c>
      <c r="K160" s="27">
        <f t="shared" si="66"/>
        <v>1919.6833333333334</v>
      </c>
      <c r="L160" s="65"/>
      <c r="M160" s="67">
        <f t="shared" si="67"/>
        <v>0</v>
      </c>
      <c r="N160" s="65" t="str">
        <f t="shared" si="68"/>
        <v/>
      </c>
      <c r="O160" s="65" t="str">
        <f t="shared" si="69"/>
        <v/>
      </c>
      <c r="P160" s="65" t="str">
        <f t="shared" si="69"/>
        <v/>
      </c>
      <c r="Q160" s="38"/>
      <c r="R160" s="3" t="str">
        <f t="shared" si="73"/>
        <v>Namakkal</v>
      </c>
      <c r="S160" s="3" t="str">
        <f t="shared" si="71"/>
        <v>Senthamangalam</v>
      </c>
      <c r="T160" s="3" t="str">
        <f t="shared" si="71"/>
        <v>Puduchatram</v>
      </c>
      <c r="U160" s="3" t="str">
        <f t="shared" si="72"/>
        <v>Namakkal_Senthamangalam_Puduchatram</v>
      </c>
      <c r="V160" s="3">
        <f>IF(_xlfn.XLOOKUP($U160,GCA!$H$3:$H$593,GCA!E$3:E$593,"",0,1)="","",_xlfn.XLOOKUP($U160,GCA!$H$3:$H$593,GCA!E$3:E$593,"",0,1))</f>
        <v>1934</v>
      </c>
      <c r="W160" s="3">
        <f>IF(_xlfn.XLOOKUP($U160,GCA!$H$3:$H$593,GCA!F$3:F$593,"",0,1)="","",_xlfn.XLOOKUP($U160,GCA!$H$3:$H$593,GCA!F$3:F$593,"",0,1))</f>
        <v>1940.5</v>
      </c>
      <c r="X160" s="3">
        <f>IF(_xlfn.XLOOKUP($U160,GCA!$H$3:$H$593,GCA!G$3:G$593,"",0,1)="","",_xlfn.XLOOKUP($U160,GCA!$H$3:$H$593,GCA!G$3:G$593,"",0,1))</f>
        <v>1884.55</v>
      </c>
    </row>
    <row r="161" spans="1:24" ht="13.2">
      <c r="A161" s="49"/>
      <c r="B161" s="49"/>
      <c r="C161" s="48"/>
      <c r="D161" s="49"/>
      <c r="E161" s="50"/>
      <c r="F161" s="26" t="s">
        <v>671</v>
      </c>
      <c r="G161" s="26" t="s">
        <v>672</v>
      </c>
      <c r="H161" s="27">
        <f t="shared" si="65"/>
        <v>10558.23</v>
      </c>
      <c r="I161" s="27">
        <f t="shared" si="65"/>
        <v>8391.4150000000009</v>
      </c>
      <c r="J161" s="27">
        <f t="shared" si="65"/>
        <v>8529.7090000000007</v>
      </c>
      <c r="K161" s="27">
        <f t="shared" si="66"/>
        <v>9159.7846666666665</v>
      </c>
      <c r="L161" s="65"/>
      <c r="M161" s="67">
        <f t="shared" si="67"/>
        <v>0</v>
      </c>
      <c r="N161" s="65" t="str">
        <f t="shared" si="68"/>
        <v/>
      </c>
      <c r="O161" s="65" t="str">
        <f t="shared" si="69"/>
        <v/>
      </c>
      <c r="P161" s="65" t="str">
        <f t="shared" si="69"/>
        <v/>
      </c>
      <c r="Q161" s="38"/>
      <c r="R161" s="3" t="str">
        <f t="shared" si="73"/>
        <v>Namakkal</v>
      </c>
      <c r="S161" s="3" t="str">
        <f t="shared" si="71"/>
        <v>Senthamangalam</v>
      </c>
      <c r="T161" s="3" t="str">
        <f t="shared" si="71"/>
        <v>Senthamagalam</v>
      </c>
      <c r="U161" s="3" t="str">
        <f t="shared" si="72"/>
        <v>Namakkal_Senthamangalam_Senthamagalam</v>
      </c>
      <c r="V161" s="3">
        <f>IF(_xlfn.XLOOKUP($U161,GCA!$H$3:$H$593,GCA!E$3:E$593,"",0,1)="","",_xlfn.XLOOKUP($U161,GCA!$H$3:$H$593,GCA!E$3:E$593,"",0,1))</f>
        <v>10558.23</v>
      </c>
      <c r="W161" s="3">
        <f>IF(_xlfn.XLOOKUP($U161,GCA!$H$3:$H$593,GCA!F$3:F$593,"",0,1)="","",_xlfn.XLOOKUP($U161,GCA!$H$3:$H$593,GCA!F$3:F$593,"",0,1))</f>
        <v>8391.4150000000009</v>
      </c>
      <c r="X161" s="3">
        <f>IF(_xlfn.XLOOKUP($U161,GCA!$H$3:$H$593,GCA!G$3:G$593,"",0,1)="","",_xlfn.XLOOKUP($U161,GCA!$H$3:$H$593,GCA!G$3:G$593,"",0,1))</f>
        <v>8529.7090000000007</v>
      </c>
    </row>
    <row r="162" spans="1:24" ht="13.2">
      <c r="A162" s="49"/>
      <c r="B162" s="49"/>
      <c r="C162" s="48"/>
      <c r="D162" s="49"/>
      <c r="E162" s="50"/>
      <c r="F162" s="26" t="s">
        <v>662</v>
      </c>
      <c r="G162" s="26" t="s">
        <v>673</v>
      </c>
      <c r="H162" s="27">
        <f t="shared" si="65"/>
        <v>22136.17</v>
      </c>
      <c r="I162" s="27">
        <f t="shared" si="65"/>
        <v>21765.759999999998</v>
      </c>
      <c r="J162" s="27">
        <f t="shared" si="65"/>
        <v>22655.7</v>
      </c>
      <c r="K162" s="27">
        <f t="shared" si="66"/>
        <v>22185.876666666663</v>
      </c>
      <c r="L162" s="65"/>
      <c r="M162" s="67">
        <f t="shared" si="67"/>
        <v>0</v>
      </c>
      <c r="N162" s="65" t="str">
        <f t="shared" si="68"/>
        <v/>
      </c>
      <c r="O162" s="65" t="str">
        <f t="shared" ref="O162:P164" si="74">N162</f>
        <v/>
      </c>
      <c r="P162" s="65" t="str">
        <f t="shared" si="74"/>
        <v/>
      </c>
      <c r="Q162" s="38"/>
      <c r="R162" s="3" t="str">
        <f t="shared" si="73"/>
        <v>Namakkal</v>
      </c>
      <c r="S162" s="3" t="str">
        <f t="shared" si="71"/>
        <v>Tiruchengode</v>
      </c>
      <c r="T162" s="3" t="str">
        <f t="shared" si="71"/>
        <v>Elachipalayam</v>
      </c>
      <c r="U162" s="3" t="str">
        <f t="shared" si="72"/>
        <v>Namakkal_Tiruchengode_Elachipalayam</v>
      </c>
      <c r="V162" s="3">
        <f>IF(_xlfn.XLOOKUP($U162,GCA!$H$3:$H$593,GCA!E$3:E$593,"",0,1)="","",_xlfn.XLOOKUP($U162,GCA!$H$3:$H$593,GCA!E$3:E$593,"",0,1))</f>
        <v>22136.17</v>
      </c>
      <c r="W162" s="3">
        <f>IF(_xlfn.XLOOKUP($U162,GCA!$H$3:$H$593,GCA!F$3:F$593,"",0,1)="","",_xlfn.XLOOKUP($U162,GCA!$H$3:$H$593,GCA!F$3:F$593,"",0,1))</f>
        <v>21765.759999999998</v>
      </c>
      <c r="X162" s="3">
        <f>IF(_xlfn.XLOOKUP($U162,GCA!$H$3:$H$593,GCA!G$3:G$593,"",0,1)="","",_xlfn.XLOOKUP($U162,GCA!$H$3:$H$593,GCA!G$3:G$593,"",0,1))</f>
        <v>22655.7</v>
      </c>
    </row>
    <row r="163" spans="1:24" ht="13.2">
      <c r="A163" s="49"/>
      <c r="B163" s="49"/>
      <c r="C163" s="48"/>
      <c r="D163" s="49"/>
      <c r="E163" s="50"/>
      <c r="F163" s="26" t="s">
        <v>662</v>
      </c>
      <c r="G163" s="26" t="s">
        <v>674</v>
      </c>
      <c r="H163" s="27">
        <f t="shared" si="65"/>
        <v>15979.35</v>
      </c>
      <c r="I163" s="27">
        <f t="shared" si="65"/>
        <v>14862.61</v>
      </c>
      <c r="J163" s="27">
        <f t="shared" si="65"/>
        <v>14850.67</v>
      </c>
      <c r="K163" s="27">
        <f t="shared" si="66"/>
        <v>15230.876666666665</v>
      </c>
      <c r="L163" s="65"/>
      <c r="M163" s="67">
        <f t="shared" si="67"/>
        <v>0</v>
      </c>
      <c r="N163" s="65" t="str">
        <f t="shared" si="68"/>
        <v/>
      </c>
      <c r="O163" s="65" t="str">
        <f t="shared" si="74"/>
        <v/>
      </c>
      <c r="P163" s="65" t="str">
        <f t="shared" si="74"/>
        <v/>
      </c>
      <c r="Q163" s="38"/>
      <c r="R163" s="3" t="str">
        <f t="shared" si="73"/>
        <v>Namakkal</v>
      </c>
      <c r="S163" s="3" t="str">
        <f t="shared" si="71"/>
        <v>Tiruchengode</v>
      </c>
      <c r="T163" s="3" t="str">
        <f t="shared" si="71"/>
        <v>Mallasamudram</v>
      </c>
      <c r="U163" s="3" t="str">
        <f t="shared" si="72"/>
        <v>Namakkal_Tiruchengode_Mallasamudram</v>
      </c>
      <c r="V163" s="3">
        <f>IF(_xlfn.XLOOKUP($U163,GCA!$H$3:$H$593,GCA!E$3:E$593,"",0,1)="","",_xlfn.XLOOKUP($U163,GCA!$H$3:$H$593,GCA!E$3:E$593,"",0,1))</f>
        <v>15979.35</v>
      </c>
      <c r="W163" s="3">
        <f>IF(_xlfn.XLOOKUP($U163,GCA!$H$3:$H$593,GCA!F$3:F$593,"",0,1)="","",_xlfn.XLOOKUP($U163,GCA!$H$3:$H$593,GCA!F$3:F$593,"",0,1))</f>
        <v>14862.61</v>
      </c>
      <c r="X163" s="3">
        <f>IF(_xlfn.XLOOKUP($U163,GCA!$H$3:$H$593,GCA!G$3:G$593,"",0,1)="","",_xlfn.XLOOKUP($U163,GCA!$H$3:$H$593,GCA!G$3:G$593,"",0,1))</f>
        <v>14850.67</v>
      </c>
    </row>
    <row r="164" spans="1:24" ht="13.2">
      <c r="A164" s="49"/>
      <c r="B164" s="49"/>
      <c r="C164" s="48"/>
      <c r="D164" s="49"/>
      <c r="E164" s="50"/>
      <c r="F164" s="26" t="s">
        <v>662</v>
      </c>
      <c r="G164" s="26" t="s">
        <v>662</v>
      </c>
      <c r="H164" s="27">
        <f t="shared" si="65"/>
        <v>19060.915000000001</v>
      </c>
      <c r="I164" s="27">
        <f t="shared" si="65"/>
        <v>18874.93</v>
      </c>
      <c r="J164" s="27">
        <f t="shared" si="65"/>
        <v>19092.509999999998</v>
      </c>
      <c r="K164" s="27">
        <f t="shared" si="66"/>
        <v>19009.451666666664</v>
      </c>
      <c r="L164" s="65"/>
      <c r="M164" s="67">
        <f t="shared" si="67"/>
        <v>0</v>
      </c>
      <c r="N164" s="65" t="str">
        <f t="shared" si="68"/>
        <v/>
      </c>
      <c r="O164" s="65" t="str">
        <f t="shared" si="74"/>
        <v/>
      </c>
      <c r="P164" s="65" t="str">
        <f t="shared" si="74"/>
        <v/>
      </c>
      <c r="Q164" s="38"/>
      <c r="R164" s="3" t="str">
        <f t="shared" si="73"/>
        <v>Namakkal</v>
      </c>
      <c r="S164" s="3" t="str">
        <f t="shared" si="71"/>
        <v>Tiruchengode</v>
      </c>
      <c r="T164" s="3" t="str">
        <f t="shared" si="71"/>
        <v>Tiruchengode</v>
      </c>
      <c r="U164" s="3" t="str">
        <f t="shared" si="72"/>
        <v>Namakkal_Tiruchengode_Tiruchengode</v>
      </c>
      <c r="V164" s="3">
        <f>IF(_xlfn.XLOOKUP($U164,GCA!$H$3:$H$593,GCA!E$3:E$593,"",0,1)="","",_xlfn.XLOOKUP($U164,GCA!$H$3:$H$593,GCA!E$3:E$593,"",0,1))</f>
        <v>19060.915000000001</v>
      </c>
      <c r="W164" s="3">
        <f>IF(_xlfn.XLOOKUP($U164,GCA!$H$3:$H$593,GCA!F$3:F$593,"",0,1)="","",_xlfn.XLOOKUP($U164,GCA!$H$3:$H$593,GCA!F$3:F$593,"",0,1))</f>
        <v>18874.93</v>
      </c>
      <c r="X164" s="3">
        <f>IF(_xlfn.XLOOKUP($U164,GCA!$H$3:$H$593,GCA!G$3:G$593,"",0,1)="","",_xlfn.XLOOKUP($U164,GCA!$H$3:$H$593,GCA!G$3:G$593,"",0,1))</f>
        <v>19092.509999999998</v>
      </c>
    </row>
    <row r="165" spans="1:24" ht="13.2">
      <c r="A165" s="49"/>
      <c r="B165" s="49"/>
      <c r="C165" s="48"/>
      <c r="D165" s="49"/>
      <c r="E165" s="47" t="s">
        <v>564</v>
      </c>
      <c r="F165" s="47"/>
      <c r="G165" s="47"/>
      <c r="H165" s="29">
        <f t="shared" ref="H165:P165" si="75">SUM(H146:H164)</f>
        <v>220967.28500000003</v>
      </c>
      <c r="I165" s="29">
        <f t="shared" si="75"/>
        <v>207625.05</v>
      </c>
      <c r="J165" s="29">
        <f t="shared" si="75"/>
        <v>211843.16000000003</v>
      </c>
      <c r="K165" s="29">
        <f t="shared" si="75"/>
        <v>213478.49833333332</v>
      </c>
      <c r="L165" s="29">
        <f t="shared" si="75"/>
        <v>213478.49833333332</v>
      </c>
      <c r="M165" s="30">
        <f t="shared" si="75"/>
        <v>8.9605540678676014</v>
      </c>
      <c r="N165" s="31">
        <f t="shared" si="75"/>
        <v>9</v>
      </c>
      <c r="O165" s="31">
        <f t="shared" si="75"/>
        <v>9</v>
      </c>
      <c r="P165" s="31">
        <f t="shared" si="75"/>
        <v>9</v>
      </c>
      <c r="Q165" s="38"/>
      <c r="R165" s="3" t="str">
        <f t="shared" si="73"/>
        <v>Namakkal</v>
      </c>
      <c r="S165" s="3">
        <f t="shared" si="71"/>
        <v>0</v>
      </c>
      <c r="T165" s="3">
        <f t="shared" si="71"/>
        <v>0</v>
      </c>
      <c r="U165" s="3" t="str">
        <f t="shared" si="72"/>
        <v>Namakkal_0_0</v>
      </c>
      <c r="V165" s="3" t="str">
        <f>IF(_xlfn.XLOOKUP($U165,GCA!$H$3:$H$593,GCA!E$3:E$593,"",0,1)="","",_xlfn.XLOOKUP($U165,GCA!$H$3:$H$593,GCA!E$3:E$593,"",0,1))</f>
        <v/>
      </c>
      <c r="W165" s="3" t="str">
        <f>IF(_xlfn.XLOOKUP($U165,GCA!$H$3:$H$593,GCA!F$3:F$593,"",0,1)="","",_xlfn.XLOOKUP($U165,GCA!$H$3:$H$593,GCA!F$3:F$593,"",0,1))</f>
        <v/>
      </c>
      <c r="X165" s="3" t="str">
        <f>IF(_xlfn.XLOOKUP($U165,GCA!$H$3:$H$593,GCA!G$3:G$593,"",0,1)="","",_xlfn.XLOOKUP($U165,GCA!$H$3:$H$593,GCA!G$3:G$593,"",0,1))</f>
        <v/>
      </c>
    </row>
    <row r="166" spans="1:24" ht="13.2">
      <c r="A166" s="49"/>
      <c r="B166" s="49"/>
      <c r="C166" s="54" t="s">
        <v>521</v>
      </c>
      <c r="D166" s="54"/>
      <c r="E166" s="54"/>
      <c r="F166" s="54"/>
      <c r="G166" s="54"/>
      <c r="H166" s="32">
        <f t="shared" ref="H166:P166" si="76">SUM(H165,H145)</f>
        <v>533264.59000000008</v>
      </c>
      <c r="I166" s="32">
        <f t="shared" si="76"/>
        <v>516023.15</v>
      </c>
      <c r="J166" s="32">
        <f t="shared" si="76"/>
        <v>525333.16300000006</v>
      </c>
      <c r="K166" s="32">
        <f t="shared" si="76"/>
        <v>524873.63433333323</v>
      </c>
      <c r="L166" s="32">
        <f t="shared" si="76"/>
        <v>524873.63433333323</v>
      </c>
      <c r="M166" s="33">
        <f t="shared" si="76"/>
        <v>22.031064561351343</v>
      </c>
      <c r="N166" s="34">
        <f t="shared" si="76"/>
        <v>22</v>
      </c>
      <c r="O166" s="34">
        <f t="shared" si="76"/>
        <v>22</v>
      </c>
      <c r="P166" s="34">
        <f t="shared" si="76"/>
        <v>22</v>
      </c>
      <c r="Q166" s="38"/>
      <c r="R166" s="3" t="str">
        <f t="shared" si="70"/>
        <v>SRO TOTAL</v>
      </c>
      <c r="S166" s="3">
        <f t="shared" si="71"/>
        <v>0</v>
      </c>
      <c r="T166" s="3">
        <f t="shared" si="71"/>
        <v>0</v>
      </c>
      <c r="U166" s="3" t="str">
        <f t="shared" si="72"/>
        <v>SRO TOTAL_0_0</v>
      </c>
      <c r="V166" s="3" t="str">
        <f>IF(_xlfn.XLOOKUP($U166,GCA!$H$3:$H$593,GCA!E$3:E$593,"",0,1)="","",_xlfn.XLOOKUP($U166,GCA!$H$3:$H$593,GCA!E$3:E$593,"",0,1))</f>
        <v/>
      </c>
      <c r="W166" s="3" t="str">
        <f>IF(_xlfn.XLOOKUP($U166,GCA!$H$3:$H$593,GCA!F$3:F$593,"",0,1)="","",_xlfn.XLOOKUP($U166,GCA!$H$3:$H$593,GCA!F$3:F$593,"",0,1))</f>
        <v/>
      </c>
      <c r="X166" s="3" t="str">
        <f>IF(_xlfn.XLOOKUP($U166,GCA!$H$3:$H$593,GCA!G$3:G$593,"",0,1)="","",_xlfn.XLOOKUP($U166,GCA!$H$3:$H$593,GCA!G$3:G$593,"",0,1))</f>
        <v/>
      </c>
    </row>
    <row r="167" spans="1:24" ht="13.2">
      <c r="A167" s="49"/>
      <c r="B167" s="49" t="s">
        <v>356</v>
      </c>
      <c r="C167" s="48" t="s">
        <v>236</v>
      </c>
      <c r="D167" s="49" t="s">
        <v>530</v>
      </c>
      <c r="E167" s="50">
        <v>1</v>
      </c>
      <c r="F167" s="26" t="s">
        <v>675</v>
      </c>
      <c r="G167" s="26" t="s">
        <v>675</v>
      </c>
      <c r="H167" s="27">
        <f t="shared" ref="H167:J179" si="77">V167</f>
        <v>12242.985000000001</v>
      </c>
      <c r="I167" s="27">
        <f t="shared" si="77"/>
        <v>11830.605</v>
      </c>
      <c r="J167" s="27">
        <f t="shared" si="77"/>
        <v>10925.105</v>
      </c>
      <c r="K167" s="27">
        <f t="shared" ref="K167:K179" si="78">IFERROR(AVERAGE(H167:J167),"")</f>
        <v>11666.231666666667</v>
      </c>
      <c r="L167" s="65">
        <f>SUM(K167:K179)</f>
        <v>83063.646666666667</v>
      </c>
      <c r="M167" s="67">
        <f t="shared" ref="M167:M179" si="79">L167*$L$643/$L$642</f>
        <v>3.4865164540774738</v>
      </c>
      <c r="N167" s="65">
        <f t="shared" si="68"/>
        <v>3</v>
      </c>
      <c r="O167" s="65">
        <f t="shared" ref="O167:P179" si="80">N167</f>
        <v>3</v>
      </c>
      <c r="P167" s="65">
        <f t="shared" si="80"/>
        <v>3</v>
      </c>
      <c r="Q167" s="38"/>
      <c r="R167" s="3" t="str">
        <f t="shared" si="70"/>
        <v>Karur</v>
      </c>
      <c r="S167" s="3" t="str">
        <f t="shared" si="71"/>
        <v>Aravakurichi</v>
      </c>
      <c r="T167" s="3" t="str">
        <f t="shared" si="71"/>
        <v>Aravakurichi</v>
      </c>
      <c r="U167" s="3" t="str">
        <f t="shared" si="72"/>
        <v>Karur_Aravakurichi_Aravakurichi</v>
      </c>
      <c r="V167" s="3">
        <f>IF(_xlfn.XLOOKUP($U167,GCA!$H$3:$H$593,GCA!E$3:E$593,"",0,1)="","",_xlfn.XLOOKUP($U167,GCA!$H$3:$H$593,GCA!E$3:E$593,"",0,1))</f>
        <v>12242.985000000001</v>
      </c>
      <c r="W167" s="3">
        <f>IF(_xlfn.XLOOKUP($U167,GCA!$H$3:$H$593,GCA!F$3:F$593,"",0,1)="","",_xlfn.XLOOKUP($U167,GCA!$H$3:$H$593,GCA!F$3:F$593,"",0,1))</f>
        <v>11830.605</v>
      </c>
      <c r="X167" s="3">
        <f>IF(_xlfn.XLOOKUP($U167,GCA!$H$3:$H$593,GCA!G$3:G$593,"",0,1)="","",_xlfn.XLOOKUP($U167,GCA!$H$3:$H$593,GCA!G$3:G$593,"",0,1))</f>
        <v>10925.105</v>
      </c>
    </row>
    <row r="168" spans="1:24" ht="13.2">
      <c r="A168" s="49"/>
      <c r="B168" s="49"/>
      <c r="C168" s="48"/>
      <c r="D168" s="49"/>
      <c r="E168" s="50"/>
      <c r="F168" s="26" t="s">
        <v>675</v>
      </c>
      <c r="G168" s="26" t="s">
        <v>676</v>
      </c>
      <c r="H168" s="27">
        <f t="shared" si="77"/>
        <v>6497.1</v>
      </c>
      <c r="I168" s="27">
        <f t="shared" si="77"/>
        <v>6015.6</v>
      </c>
      <c r="J168" s="27">
        <f t="shared" si="77"/>
        <v>5839.97</v>
      </c>
      <c r="K168" s="27">
        <f t="shared" si="78"/>
        <v>6117.5566666666673</v>
      </c>
      <c r="L168" s="65"/>
      <c r="M168" s="67">
        <f t="shared" si="79"/>
        <v>0</v>
      </c>
      <c r="N168" s="65" t="str">
        <f t="shared" si="68"/>
        <v/>
      </c>
      <c r="O168" s="65" t="str">
        <f t="shared" si="80"/>
        <v/>
      </c>
      <c r="P168" s="65" t="str">
        <f t="shared" si="80"/>
        <v/>
      </c>
      <c r="Q168" s="38"/>
      <c r="R168" s="3" t="str">
        <f t="shared" ref="R168:R180" si="81">R167</f>
        <v>Karur</v>
      </c>
      <c r="S168" s="3" t="str">
        <f t="shared" si="71"/>
        <v>Aravakurichi</v>
      </c>
      <c r="T168" s="3" t="str">
        <f t="shared" si="71"/>
        <v>K.Paramathy</v>
      </c>
      <c r="U168" s="3" t="str">
        <f t="shared" si="72"/>
        <v>Karur_Aravakurichi_K.Paramathy</v>
      </c>
      <c r="V168" s="3">
        <f>IF(_xlfn.XLOOKUP($U168,GCA!$H$3:$H$593,GCA!E$3:E$593,"",0,1)="","",_xlfn.XLOOKUP($U168,GCA!$H$3:$H$593,GCA!E$3:E$593,"",0,1))</f>
        <v>6497.1</v>
      </c>
      <c r="W168" s="3">
        <f>IF(_xlfn.XLOOKUP($U168,GCA!$H$3:$H$593,GCA!F$3:F$593,"",0,1)="","",_xlfn.XLOOKUP($U168,GCA!$H$3:$H$593,GCA!F$3:F$593,"",0,1))</f>
        <v>6015.6</v>
      </c>
      <c r="X168" s="3">
        <f>IF(_xlfn.XLOOKUP($U168,GCA!$H$3:$H$593,GCA!G$3:G$593,"",0,1)="","",_xlfn.XLOOKUP($U168,GCA!$H$3:$H$593,GCA!G$3:G$593,"",0,1))</f>
        <v>5839.97</v>
      </c>
    </row>
    <row r="169" spans="1:24" ht="13.2">
      <c r="A169" s="49"/>
      <c r="B169" s="49"/>
      <c r="C169" s="48"/>
      <c r="D169" s="49"/>
      <c r="E169" s="50"/>
      <c r="F169" s="26" t="s">
        <v>677</v>
      </c>
      <c r="G169" s="26" t="s">
        <v>677</v>
      </c>
      <c r="H169" s="27">
        <f t="shared" si="77"/>
        <v>10271.115</v>
      </c>
      <c r="I169" s="27">
        <f t="shared" si="77"/>
        <v>10195.844999999999</v>
      </c>
      <c r="J169" s="27">
        <f t="shared" si="77"/>
        <v>10123.905000000001</v>
      </c>
      <c r="K169" s="27">
        <f t="shared" si="78"/>
        <v>10196.955</v>
      </c>
      <c r="L169" s="65"/>
      <c r="M169" s="67">
        <f t="shared" si="79"/>
        <v>0</v>
      </c>
      <c r="N169" s="65" t="str">
        <f t="shared" si="68"/>
        <v/>
      </c>
      <c r="O169" s="65" t="str">
        <f t="shared" si="80"/>
        <v/>
      </c>
      <c r="P169" s="65" t="str">
        <f t="shared" si="80"/>
        <v/>
      </c>
      <c r="Q169" s="38"/>
      <c r="R169" s="3" t="str">
        <f t="shared" si="81"/>
        <v>Karur</v>
      </c>
      <c r="S169" s="3" t="str">
        <f t="shared" si="71"/>
        <v>Kadavur</v>
      </c>
      <c r="T169" s="3" t="str">
        <f t="shared" si="71"/>
        <v>Kadavur</v>
      </c>
      <c r="U169" s="3" t="str">
        <f t="shared" si="72"/>
        <v>Karur_Kadavur_Kadavur</v>
      </c>
      <c r="V169" s="3">
        <f>IF(_xlfn.XLOOKUP($U169,GCA!$H$3:$H$593,GCA!E$3:E$593,"",0,1)="","",_xlfn.XLOOKUP($U169,GCA!$H$3:$H$593,GCA!E$3:E$593,"",0,1))</f>
        <v>10271.115</v>
      </c>
      <c r="W169" s="3">
        <f>IF(_xlfn.XLOOKUP($U169,GCA!$H$3:$H$593,GCA!F$3:F$593,"",0,1)="","",_xlfn.XLOOKUP($U169,GCA!$H$3:$H$593,GCA!F$3:F$593,"",0,1))</f>
        <v>10195.844999999999</v>
      </c>
      <c r="X169" s="3">
        <f>IF(_xlfn.XLOOKUP($U169,GCA!$H$3:$H$593,GCA!G$3:G$593,"",0,1)="","",_xlfn.XLOOKUP($U169,GCA!$H$3:$H$593,GCA!G$3:G$593,"",0,1))</f>
        <v>10123.905000000001</v>
      </c>
    </row>
    <row r="170" spans="1:24" ht="13.2">
      <c r="A170" s="49"/>
      <c r="B170" s="49"/>
      <c r="C170" s="48"/>
      <c r="D170" s="49"/>
      <c r="E170" s="50"/>
      <c r="F170" s="26" t="s">
        <v>677</v>
      </c>
      <c r="G170" s="26" t="s">
        <v>678</v>
      </c>
      <c r="H170" s="27">
        <f t="shared" si="77"/>
        <v>1681.21</v>
      </c>
      <c r="I170" s="27">
        <f t="shared" si="77"/>
        <v>1370.11</v>
      </c>
      <c r="J170" s="27">
        <f t="shared" si="77"/>
        <v>1382.91</v>
      </c>
      <c r="K170" s="27">
        <f t="shared" si="78"/>
        <v>1478.0766666666666</v>
      </c>
      <c r="L170" s="65"/>
      <c r="M170" s="67">
        <f t="shared" si="79"/>
        <v>0</v>
      </c>
      <c r="N170" s="65" t="str">
        <f t="shared" si="68"/>
        <v/>
      </c>
      <c r="O170" s="65" t="str">
        <f t="shared" si="80"/>
        <v/>
      </c>
      <c r="P170" s="65" t="str">
        <f t="shared" si="80"/>
        <v/>
      </c>
      <c r="Q170" s="38"/>
      <c r="R170" s="3" t="str">
        <f t="shared" si="81"/>
        <v>Karur</v>
      </c>
      <c r="S170" s="3" t="str">
        <f t="shared" si="71"/>
        <v>Kadavur</v>
      </c>
      <c r="T170" s="3" t="str">
        <f t="shared" si="71"/>
        <v>Krishnarayapuram</v>
      </c>
      <c r="U170" s="3" t="str">
        <f t="shared" si="72"/>
        <v>Karur_Kadavur_Krishnarayapuram</v>
      </c>
      <c r="V170" s="3">
        <f>IF(_xlfn.XLOOKUP($U170,GCA!$H$3:$H$593,GCA!E$3:E$593,"",0,1)="","",_xlfn.XLOOKUP($U170,GCA!$H$3:$H$593,GCA!E$3:E$593,"",0,1))</f>
        <v>1681.21</v>
      </c>
      <c r="W170" s="3">
        <f>IF(_xlfn.XLOOKUP($U170,GCA!$H$3:$H$593,GCA!F$3:F$593,"",0,1)="","",_xlfn.XLOOKUP($U170,GCA!$H$3:$H$593,GCA!F$3:F$593,"",0,1))</f>
        <v>1370.11</v>
      </c>
      <c r="X170" s="3">
        <f>IF(_xlfn.XLOOKUP($U170,GCA!$H$3:$H$593,GCA!G$3:G$593,"",0,1)="","",_xlfn.XLOOKUP($U170,GCA!$H$3:$H$593,GCA!G$3:G$593,"",0,1))</f>
        <v>1382.91</v>
      </c>
    </row>
    <row r="171" spans="1:24" ht="13.2">
      <c r="A171" s="49"/>
      <c r="B171" s="49"/>
      <c r="C171" s="48"/>
      <c r="D171" s="49"/>
      <c r="E171" s="50"/>
      <c r="F171" s="26" t="s">
        <v>236</v>
      </c>
      <c r="G171" s="26" t="s">
        <v>236</v>
      </c>
      <c r="H171" s="27">
        <f t="shared" si="77"/>
        <v>89.66</v>
      </c>
      <c r="I171" s="27">
        <f t="shared" si="77"/>
        <v>61.04</v>
      </c>
      <c r="J171" s="27">
        <f t="shared" si="77"/>
        <v>82.93</v>
      </c>
      <c r="K171" s="27">
        <f t="shared" si="78"/>
        <v>77.876666666666665</v>
      </c>
      <c r="L171" s="65"/>
      <c r="M171" s="67">
        <f t="shared" si="79"/>
        <v>0</v>
      </c>
      <c r="N171" s="65" t="str">
        <f t="shared" si="68"/>
        <v/>
      </c>
      <c r="O171" s="65" t="str">
        <f t="shared" si="80"/>
        <v/>
      </c>
      <c r="P171" s="65" t="str">
        <f t="shared" si="80"/>
        <v/>
      </c>
      <c r="Q171" s="38"/>
      <c r="R171" s="3" t="str">
        <f t="shared" si="81"/>
        <v>Karur</v>
      </c>
      <c r="S171" s="3" t="str">
        <f t="shared" si="71"/>
        <v>Karur</v>
      </c>
      <c r="T171" s="3" t="str">
        <f t="shared" si="71"/>
        <v>Karur</v>
      </c>
      <c r="U171" s="3" t="str">
        <f t="shared" si="72"/>
        <v>Karur_Karur_Karur</v>
      </c>
      <c r="V171" s="3">
        <f>IF(_xlfn.XLOOKUP($U171,GCA!$H$3:$H$593,GCA!E$3:E$593,"",0,1)="","",_xlfn.XLOOKUP($U171,GCA!$H$3:$H$593,GCA!E$3:E$593,"",0,1))</f>
        <v>89.66</v>
      </c>
      <c r="W171" s="3">
        <f>IF(_xlfn.XLOOKUP($U171,GCA!$H$3:$H$593,GCA!F$3:F$593,"",0,1)="","",_xlfn.XLOOKUP($U171,GCA!$H$3:$H$593,GCA!F$3:F$593,"",0,1))</f>
        <v>61.04</v>
      </c>
      <c r="X171" s="3">
        <f>IF(_xlfn.XLOOKUP($U171,GCA!$H$3:$H$593,GCA!G$3:G$593,"",0,1)="","",_xlfn.XLOOKUP($U171,GCA!$H$3:$H$593,GCA!G$3:G$593,"",0,1))</f>
        <v>82.93</v>
      </c>
    </row>
    <row r="172" spans="1:24" ht="13.2">
      <c r="A172" s="49"/>
      <c r="B172" s="49"/>
      <c r="C172" s="48"/>
      <c r="D172" s="49"/>
      <c r="E172" s="50"/>
      <c r="F172" s="26" t="s">
        <v>236</v>
      </c>
      <c r="G172" s="26" t="s">
        <v>679</v>
      </c>
      <c r="H172" s="27">
        <f t="shared" si="77"/>
        <v>7676.9</v>
      </c>
      <c r="I172" s="27">
        <f t="shared" si="77"/>
        <v>7330.15</v>
      </c>
      <c r="J172" s="27">
        <f t="shared" si="77"/>
        <v>8156.46</v>
      </c>
      <c r="K172" s="27">
        <f t="shared" si="78"/>
        <v>7721.1699999999992</v>
      </c>
      <c r="L172" s="65"/>
      <c r="M172" s="67">
        <f t="shared" si="79"/>
        <v>0</v>
      </c>
      <c r="N172" s="65" t="str">
        <f t="shared" si="68"/>
        <v/>
      </c>
      <c r="O172" s="65" t="str">
        <f t="shared" si="80"/>
        <v/>
      </c>
      <c r="P172" s="65" t="str">
        <f t="shared" si="80"/>
        <v/>
      </c>
      <c r="Q172" s="38"/>
      <c r="R172" s="3" t="str">
        <f t="shared" si="81"/>
        <v>Karur</v>
      </c>
      <c r="S172" s="3" t="str">
        <f t="shared" si="71"/>
        <v>Karur</v>
      </c>
      <c r="T172" s="3" t="str">
        <f t="shared" si="71"/>
        <v>Thanthoni</v>
      </c>
      <c r="U172" s="3" t="str">
        <f t="shared" si="72"/>
        <v>Karur_Karur_Thanthoni</v>
      </c>
      <c r="V172" s="3">
        <f>IF(_xlfn.XLOOKUP($U172,GCA!$H$3:$H$593,GCA!E$3:E$593,"",0,1)="","",_xlfn.XLOOKUP($U172,GCA!$H$3:$H$593,GCA!E$3:E$593,"",0,1))</f>
        <v>7676.9</v>
      </c>
      <c r="W172" s="3">
        <f>IF(_xlfn.XLOOKUP($U172,GCA!$H$3:$H$593,GCA!F$3:F$593,"",0,1)="","",_xlfn.XLOOKUP($U172,GCA!$H$3:$H$593,GCA!F$3:F$593,"",0,1))</f>
        <v>7330.15</v>
      </c>
      <c r="X172" s="3">
        <f>IF(_xlfn.XLOOKUP($U172,GCA!$H$3:$H$593,GCA!G$3:G$593,"",0,1)="","",_xlfn.XLOOKUP($U172,GCA!$H$3:$H$593,GCA!G$3:G$593,"",0,1))</f>
        <v>8156.46</v>
      </c>
    </row>
    <row r="173" spans="1:24" ht="13.2">
      <c r="A173" s="49"/>
      <c r="B173" s="49"/>
      <c r="C173" s="48"/>
      <c r="D173" s="49"/>
      <c r="E173" s="50"/>
      <c r="F173" s="26" t="s">
        <v>678</v>
      </c>
      <c r="G173" s="26" t="s">
        <v>678</v>
      </c>
      <c r="H173" s="27">
        <f t="shared" si="77"/>
        <v>14763.08</v>
      </c>
      <c r="I173" s="27">
        <f t="shared" si="77"/>
        <v>13578.94</v>
      </c>
      <c r="J173" s="27">
        <f t="shared" si="77"/>
        <v>14886.98</v>
      </c>
      <c r="K173" s="27">
        <f t="shared" si="78"/>
        <v>14409.666666666666</v>
      </c>
      <c r="L173" s="65"/>
      <c r="M173" s="67">
        <f t="shared" si="79"/>
        <v>0</v>
      </c>
      <c r="N173" s="65" t="str">
        <f t="shared" si="68"/>
        <v/>
      </c>
      <c r="O173" s="65" t="str">
        <f t="shared" si="80"/>
        <v/>
      </c>
      <c r="P173" s="65" t="str">
        <f t="shared" si="80"/>
        <v/>
      </c>
      <c r="Q173" s="38"/>
      <c r="R173" s="3" t="str">
        <f t="shared" si="81"/>
        <v>Karur</v>
      </c>
      <c r="S173" s="3" t="str">
        <f t="shared" si="71"/>
        <v>Krishnarayapuram</v>
      </c>
      <c r="T173" s="3" t="str">
        <f t="shared" si="71"/>
        <v>Krishnarayapuram</v>
      </c>
      <c r="U173" s="3" t="str">
        <f t="shared" si="72"/>
        <v>Karur_Krishnarayapuram_Krishnarayapuram</v>
      </c>
      <c r="V173" s="3">
        <f>IF(_xlfn.XLOOKUP($U173,GCA!$H$3:$H$593,GCA!E$3:E$593,"",0,1)="","",_xlfn.XLOOKUP($U173,GCA!$H$3:$H$593,GCA!E$3:E$593,"",0,1))</f>
        <v>14763.08</v>
      </c>
      <c r="W173" s="3">
        <f>IF(_xlfn.XLOOKUP($U173,GCA!$H$3:$H$593,GCA!F$3:F$593,"",0,1)="","",_xlfn.XLOOKUP($U173,GCA!$H$3:$H$593,GCA!F$3:F$593,"",0,1))</f>
        <v>13578.94</v>
      </c>
      <c r="X173" s="3">
        <f>IF(_xlfn.XLOOKUP($U173,GCA!$H$3:$H$593,GCA!G$3:G$593,"",0,1)="","",_xlfn.XLOOKUP($U173,GCA!$H$3:$H$593,GCA!G$3:G$593,"",0,1))</f>
        <v>14886.98</v>
      </c>
    </row>
    <row r="174" spans="1:24" ht="13.2">
      <c r="A174" s="49"/>
      <c r="B174" s="49"/>
      <c r="C174" s="48"/>
      <c r="D174" s="49"/>
      <c r="E174" s="50"/>
      <c r="F174" s="26" t="s">
        <v>680</v>
      </c>
      <c r="G174" s="26" t="s">
        <v>680</v>
      </c>
      <c r="H174" s="27">
        <f t="shared" si="77"/>
        <v>10530.04</v>
      </c>
      <c r="I174" s="27">
        <f t="shared" si="77"/>
        <v>6296.5050000000001</v>
      </c>
      <c r="J174" s="27">
        <f t="shared" si="77"/>
        <v>9972.8250000000007</v>
      </c>
      <c r="K174" s="27">
        <f t="shared" si="78"/>
        <v>8933.1233333333348</v>
      </c>
      <c r="L174" s="65"/>
      <c r="M174" s="67">
        <f t="shared" si="79"/>
        <v>0</v>
      </c>
      <c r="N174" s="65" t="str">
        <f t="shared" si="68"/>
        <v/>
      </c>
      <c r="O174" s="65" t="str">
        <f t="shared" si="80"/>
        <v/>
      </c>
      <c r="P174" s="65" t="str">
        <f t="shared" si="80"/>
        <v/>
      </c>
      <c r="Q174" s="38"/>
      <c r="R174" s="3" t="str">
        <f t="shared" si="81"/>
        <v>Karur</v>
      </c>
      <c r="S174" s="3" t="str">
        <f t="shared" si="71"/>
        <v>Kulithalai</v>
      </c>
      <c r="T174" s="3" t="str">
        <f t="shared" si="71"/>
        <v>Kulithalai</v>
      </c>
      <c r="U174" s="3" t="str">
        <f t="shared" si="72"/>
        <v>Karur_Kulithalai_Kulithalai</v>
      </c>
      <c r="V174" s="3">
        <f>IF(_xlfn.XLOOKUP($U174,GCA!$H$3:$H$593,GCA!E$3:E$593,"",0,1)="","",_xlfn.XLOOKUP($U174,GCA!$H$3:$H$593,GCA!E$3:E$593,"",0,1))</f>
        <v>10530.04</v>
      </c>
      <c r="W174" s="3">
        <f>IF(_xlfn.XLOOKUP($U174,GCA!$H$3:$H$593,GCA!F$3:F$593,"",0,1)="","",_xlfn.XLOOKUP($U174,GCA!$H$3:$H$593,GCA!F$3:F$593,"",0,1))</f>
        <v>6296.5050000000001</v>
      </c>
      <c r="X174" s="3">
        <f>IF(_xlfn.XLOOKUP($U174,GCA!$H$3:$H$593,GCA!G$3:G$593,"",0,1)="","",_xlfn.XLOOKUP($U174,GCA!$H$3:$H$593,GCA!G$3:G$593,"",0,1))</f>
        <v>9972.8250000000007</v>
      </c>
    </row>
    <row r="175" spans="1:24" ht="13.2">
      <c r="A175" s="49"/>
      <c r="B175" s="49"/>
      <c r="C175" s="48"/>
      <c r="D175" s="49"/>
      <c r="E175" s="50"/>
      <c r="F175" s="26" t="s">
        <v>680</v>
      </c>
      <c r="G175" s="26" t="s">
        <v>681</v>
      </c>
      <c r="H175" s="27">
        <f t="shared" si="77"/>
        <v>8441.2649999999994</v>
      </c>
      <c r="I175" s="27">
        <f t="shared" si="77"/>
        <v>6996.79</v>
      </c>
      <c r="J175" s="27">
        <f t="shared" si="77"/>
        <v>7839.4250000000002</v>
      </c>
      <c r="K175" s="27">
        <f t="shared" si="78"/>
        <v>7759.16</v>
      </c>
      <c r="L175" s="65"/>
      <c r="M175" s="67">
        <f t="shared" si="79"/>
        <v>0</v>
      </c>
      <c r="N175" s="65" t="str">
        <f t="shared" si="68"/>
        <v/>
      </c>
      <c r="O175" s="65" t="str">
        <f t="shared" si="80"/>
        <v/>
      </c>
      <c r="P175" s="65" t="str">
        <f t="shared" si="80"/>
        <v/>
      </c>
      <c r="Q175" s="38"/>
      <c r="R175" s="3" t="str">
        <f t="shared" si="81"/>
        <v>Karur</v>
      </c>
      <c r="S175" s="3" t="str">
        <f t="shared" si="71"/>
        <v>Kulithalai</v>
      </c>
      <c r="T175" s="3" t="str">
        <f t="shared" si="71"/>
        <v>Thogaimalai</v>
      </c>
      <c r="U175" s="3" t="str">
        <f t="shared" si="72"/>
        <v>Karur_Kulithalai_Thogaimalai</v>
      </c>
      <c r="V175" s="3">
        <f>IF(_xlfn.XLOOKUP($U175,GCA!$H$3:$H$593,GCA!E$3:E$593,"",0,1)="","",_xlfn.XLOOKUP($U175,GCA!$H$3:$H$593,GCA!E$3:E$593,"",0,1))</f>
        <v>8441.2649999999994</v>
      </c>
      <c r="W175" s="3">
        <f>IF(_xlfn.XLOOKUP($U175,GCA!$H$3:$H$593,GCA!F$3:F$593,"",0,1)="","",_xlfn.XLOOKUP($U175,GCA!$H$3:$H$593,GCA!F$3:F$593,"",0,1))</f>
        <v>6996.79</v>
      </c>
      <c r="X175" s="3">
        <f>IF(_xlfn.XLOOKUP($U175,GCA!$H$3:$H$593,GCA!G$3:G$593,"",0,1)="","",_xlfn.XLOOKUP($U175,GCA!$H$3:$H$593,GCA!G$3:G$593,"",0,1))</f>
        <v>7839.4250000000002</v>
      </c>
    </row>
    <row r="176" spans="1:24" ht="13.2">
      <c r="A176" s="49"/>
      <c r="B176" s="49"/>
      <c r="C176" s="48"/>
      <c r="D176" s="49"/>
      <c r="E176" s="50"/>
      <c r="F176" s="26" t="s">
        <v>682</v>
      </c>
      <c r="G176" s="26" t="s">
        <v>236</v>
      </c>
      <c r="H176" s="27">
        <f t="shared" si="77"/>
        <v>4446.41</v>
      </c>
      <c r="I176" s="27">
        <f t="shared" si="77"/>
        <v>4510.2150000000001</v>
      </c>
      <c r="J176" s="27">
        <f t="shared" si="77"/>
        <v>4487.1099999999997</v>
      </c>
      <c r="K176" s="27">
        <f t="shared" si="78"/>
        <v>4481.2449999999999</v>
      </c>
      <c r="L176" s="65"/>
      <c r="M176" s="67">
        <f t="shared" si="79"/>
        <v>0</v>
      </c>
      <c r="N176" s="65" t="str">
        <f t="shared" si="68"/>
        <v/>
      </c>
      <c r="O176" s="65" t="str">
        <f t="shared" si="80"/>
        <v/>
      </c>
      <c r="P176" s="65" t="str">
        <f t="shared" si="80"/>
        <v/>
      </c>
      <c r="Q176" s="38"/>
      <c r="R176" s="3" t="str">
        <f t="shared" si="81"/>
        <v>Karur</v>
      </c>
      <c r="S176" s="3" t="str">
        <f t="shared" si="71"/>
        <v>Manmangalam</v>
      </c>
      <c r="T176" s="3" t="str">
        <f t="shared" si="71"/>
        <v>Karur</v>
      </c>
      <c r="U176" s="3" t="str">
        <f t="shared" si="72"/>
        <v>Karur_Manmangalam_Karur</v>
      </c>
      <c r="V176" s="3">
        <f>IF(_xlfn.XLOOKUP($U176,GCA!$H$3:$H$593,GCA!E$3:E$593,"",0,1)="","",_xlfn.XLOOKUP($U176,GCA!$H$3:$H$593,GCA!E$3:E$593,"",0,1))</f>
        <v>4446.41</v>
      </c>
      <c r="W176" s="3">
        <f>IF(_xlfn.XLOOKUP($U176,GCA!$H$3:$H$593,GCA!F$3:F$593,"",0,1)="","",_xlfn.XLOOKUP($U176,GCA!$H$3:$H$593,GCA!F$3:F$593,"",0,1))</f>
        <v>4510.2150000000001</v>
      </c>
      <c r="X176" s="3">
        <f>IF(_xlfn.XLOOKUP($U176,GCA!$H$3:$H$593,GCA!G$3:G$593,"",0,1)="","",_xlfn.XLOOKUP($U176,GCA!$H$3:$H$593,GCA!G$3:G$593,"",0,1))</f>
        <v>4487.1099999999997</v>
      </c>
    </row>
    <row r="177" spans="1:24" ht="13.2">
      <c r="A177" s="49"/>
      <c r="B177" s="49"/>
      <c r="C177" s="48"/>
      <c r="D177" s="49"/>
      <c r="E177" s="50"/>
      <c r="F177" s="26" t="s">
        <v>682</v>
      </c>
      <c r="G177" s="26" t="s">
        <v>679</v>
      </c>
      <c r="H177" s="27">
        <f t="shared" si="77"/>
        <v>1134.17</v>
      </c>
      <c r="I177" s="27">
        <f t="shared" si="77"/>
        <v>1039.1300000000001</v>
      </c>
      <c r="J177" s="27">
        <f t="shared" si="77"/>
        <v>1336.4549999999999</v>
      </c>
      <c r="K177" s="27">
        <f t="shared" si="78"/>
        <v>1169.9183333333333</v>
      </c>
      <c r="L177" s="65"/>
      <c r="M177" s="67">
        <f t="shared" si="79"/>
        <v>0</v>
      </c>
      <c r="N177" s="65" t="str">
        <f t="shared" si="68"/>
        <v/>
      </c>
      <c r="O177" s="65" t="str">
        <f t="shared" si="80"/>
        <v/>
      </c>
      <c r="P177" s="65" t="str">
        <f t="shared" si="80"/>
        <v/>
      </c>
      <c r="Q177" s="38"/>
      <c r="R177" s="3" t="str">
        <f t="shared" si="81"/>
        <v>Karur</v>
      </c>
      <c r="S177" s="3" t="str">
        <f t="shared" si="71"/>
        <v>Manmangalam</v>
      </c>
      <c r="T177" s="3" t="str">
        <f t="shared" si="71"/>
        <v>Thanthoni</v>
      </c>
      <c r="U177" s="3" t="str">
        <f t="shared" si="72"/>
        <v>Karur_Manmangalam_Thanthoni</v>
      </c>
      <c r="V177" s="3">
        <f>IF(_xlfn.XLOOKUP($U177,GCA!$H$3:$H$593,GCA!E$3:E$593,"",0,1)="","",_xlfn.XLOOKUP($U177,GCA!$H$3:$H$593,GCA!E$3:E$593,"",0,1))</f>
        <v>1134.17</v>
      </c>
      <c r="W177" s="3">
        <f>IF(_xlfn.XLOOKUP($U177,GCA!$H$3:$H$593,GCA!F$3:F$593,"",0,1)="","",_xlfn.XLOOKUP($U177,GCA!$H$3:$H$593,GCA!F$3:F$593,"",0,1))</f>
        <v>1039.1300000000001</v>
      </c>
      <c r="X177" s="3">
        <f>IF(_xlfn.XLOOKUP($U177,GCA!$H$3:$H$593,GCA!G$3:G$593,"",0,1)="","",_xlfn.XLOOKUP($U177,GCA!$H$3:$H$593,GCA!G$3:G$593,"",0,1))</f>
        <v>1336.4549999999999</v>
      </c>
    </row>
    <row r="178" spans="1:24" ht="13.2">
      <c r="A178" s="49"/>
      <c r="B178" s="49"/>
      <c r="C178" s="48"/>
      <c r="D178" s="49"/>
      <c r="E178" s="50"/>
      <c r="F178" s="26" t="s">
        <v>683</v>
      </c>
      <c r="G178" s="26" t="s">
        <v>676</v>
      </c>
      <c r="H178" s="27">
        <f t="shared" si="77"/>
        <v>5703.16</v>
      </c>
      <c r="I178" s="27">
        <f t="shared" si="77"/>
        <v>5649.45</v>
      </c>
      <c r="J178" s="27">
        <f t="shared" si="77"/>
        <v>5202.1750000000002</v>
      </c>
      <c r="K178" s="27">
        <f t="shared" si="78"/>
        <v>5518.2616666666663</v>
      </c>
      <c r="L178" s="65"/>
      <c r="M178" s="67">
        <f t="shared" si="79"/>
        <v>0</v>
      </c>
      <c r="N178" s="65" t="str">
        <f t="shared" si="68"/>
        <v/>
      </c>
      <c r="O178" s="65" t="str">
        <f t="shared" si="80"/>
        <v/>
      </c>
      <c r="P178" s="65" t="str">
        <f t="shared" si="80"/>
        <v/>
      </c>
      <c r="Q178" s="38"/>
      <c r="R178" s="3" t="str">
        <f t="shared" si="81"/>
        <v>Karur</v>
      </c>
      <c r="S178" s="3" t="str">
        <f t="shared" si="71"/>
        <v>Pugalur</v>
      </c>
      <c r="T178" s="3" t="str">
        <f t="shared" si="71"/>
        <v>K.Paramathy</v>
      </c>
      <c r="U178" s="3" t="str">
        <f t="shared" si="72"/>
        <v>Karur_Pugalur_K.Paramathy</v>
      </c>
      <c r="V178" s="3">
        <f>IF(_xlfn.XLOOKUP($U178,GCA!$H$3:$H$593,GCA!E$3:E$593,"",0,1)="","",_xlfn.XLOOKUP($U178,GCA!$H$3:$H$593,GCA!E$3:E$593,"",0,1))</f>
        <v>5703.16</v>
      </c>
      <c r="W178" s="3">
        <f>IF(_xlfn.XLOOKUP($U178,GCA!$H$3:$H$593,GCA!F$3:F$593,"",0,1)="","",_xlfn.XLOOKUP($U178,GCA!$H$3:$H$593,GCA!F$3:F$593,"",0,1))</f>
        <v>5649.45</v>
      </c>
      <c r="X178" s="3">
        <f>IF(_xlfn.XLOOKUP($U178,GCA!$H$3:$H$593,GCA!G$3:G$593,"",0,1)="","",_xlfn.XLOOKUP($U178,GCA!$H$3:$H$593,GCA!G$3:G$593,"",0,1))</f>
        <v>5202.1750000000002</v>
      </c>
    </row>
    <row r="179" spans="1:24" ht="13.2">
      <c r="A179" s="49"/>
      <c r="B179" s="49"/>
      <c r="C179" s="48"/>
      <c r="D179" s="49"/>
      <c r="E179" s="50"/>
      <c r="F179" s="26" t="s">
        <v>683</v>
      </c>
      <c r="G179" s="26" t="s">
        <v>236</v>
      </c>
      <c r="H179" s="27">
        <f t="shared" si="77"/>
        <v>3542.41</v>
      </c>
      <c r="I179" s="27">
        <f t="shared" si="77"/>
        <v>3561.69</v>
      </c>
      <c r="J179" s="27">
        <f t="shared" si="77"/>
        <v>3499.1149999999998</v>
      </c>
      <c r="K179" s="27">
        <f t="shared" si="78"/>
        <v>3534.4050000000002</v>
      </c>
      <c r="L179" s="65"/>
      <c r="M179" s="67">
        <f t="shared" si="79"/>
        <v>0</v>
      </c>
      <c r="N179" s="65" t="str">
        <f t="shared" si="68"/>
        <v/>
      </c>
      <c r="O179" s="65" t="str">
        <f t="shared" si="80"/>
        <v/>
      </c>
      <c r="P179" s="65" t="str">
        <f t="shared" si="80"/>
        <v/>
      </c>
      <c r="Q179" s="38"/>
      <c r="R179" s="3" t="str">
        <f t="shared" si="81"/>
        <v>Karur</v>
      </c>
      <c r="S179" s="3" t="str">
        <f t="shared" si="71"/>
        <v>Pugalur</v>
      </c>
      <c r="T179" s="3" t="str">
        <f t="shared" si="71"/>
        <v>Karur</v>
      </c>
      <c r="U179" s="3" t="str">
        <f t="shared" si="72"/>
        <v>Karur_Pugalur_Karur</v>
      </c>
      <c r="V179" s="3">
        <f>IF(_xlfn.XLOOKUP($U179,GCA!$H$3:$H$593,GCA!E$3:E$593,"",0,1)="","",_xlfn.XLOOKUP($U179,GCA!$H$3:$H$593,GCA!E$3:E$593,"",0,1))</f>
        <v>3542.41</v>
      </c>
      <c r="W179" s="3">
        <f>IF(_xlfn.XLOOKUP($U179,GCA!$H$3:$H$593,GCA!F$3:F$593,"",0,1)="","",_xlfn.XLOOKUP($U179,GCA!$H$3:$H$593,GCA!F$3:F$593,"",0,1))</f>
        <v>3561.69</v>
      </c>
      <c r="X179" s="3">
        <f>IF(_xlfn.XLOOKUP($U179,GCA!$H$3:$H$593,GCA!G$3:G$593,"",0,1)="","",_xlfn.XLOOKUP($U179,GCA!$H$3:$H$593,GCA!G$3:G$593,"",0,1))</f>
        <v>3499.1149999999998</v>
      </c>
    </row>
    <row r="180" spans="1:24" ht="13.2">
      <c r="A180" s="49"/>
      <c r="B180" s="49"/>
      <c r="C180" s="48"/>
      <c r="D180" s="49"/>
      <c r="E180" s="47" t="s">
        <v>564</v>
      </c>
      <c r="F180" s="47"/>
      <c r="G180" s="47"/>
      <c r="H180" s="29">
        <f t="shared" ref="H180:P180" si="82">SUM(H167:H179)</f>
        <v>87019.505000000005</v>
      </c>
      <c r="I180" s="29">
        <f t="shared" si="82"/>
        <v>78436.070000000007</v>
      </c>
      <c r="J180" s="29">
        <f t="shared" si="82"/>
        <v>83735.36500000002</v>
      </c>
      <c r="K180" s="29">
        <f t="shared" si="82"/>
        <v>83063.646666666667</v>
      </c>
      <c r="L180" s="29">
        <f t="shared" si="82"/>
        <v>83063.646666666667</v>
      </c>
      <c r="M180" s="30">
        <f t="shared" si="82"/>
        <v>3.4865164540774738</v>
      </c>
      <c r="N180" s="31">
        <f t="shared" si="82"/>
        <v>3</v>
      </c>
      <c r="O180" s="31">
        <f t="shared" si="82"/>
        <v>3</v>
      </c>
      <c r="P180" s="31">
        <f t="shared" si="82"/>
        <v>3</v>
      </c>
      <c r="Q180" s="38"/>
      <c r="R180" s="3" t="str">
        <f t="shared" si="81"/>
        <v>Karur</v>
      </c>
      <c r="S180" s="3">
        <f t="shared" si="71"/>
        <v>0</v>
      </c>
      <c r="T180" s="3">
        <f t="shared" si="71"/>
        <v>0</v>
      </c>
      <c r="U180" s="3" t="str">
        <f t="shared" si="72"/>
        <v>Karur_0_0</v>
      </c>
      <c r="V180" s="3" t="str">
        <f>IF(_xlfn.XLOOKUP($U180,GCA!$H$3:$H$593,GCA!E$3:E$593,"",0,1)="","",_xlfn.XLOOKUP($U180,GCA!$H$3:$H$593,GCA!E$3:E$593,"",0,1))</f>
        <v/>
      </c>
      <c r="W180" s="3" t="str">
        <f>IF(_xlfn.XLOOKUP($U180,GCA!$H$3:$H$593,GCA!F$3:F$593,"",0,1)="","",_xlfn.XLOOKUP($U180,GCA!$H$3:$H$593,GCA!F$3:F$593,"",0,1))</f>
        <v/>
      </c>
      <c r="X180" s="3" t="str">
        <f>IF(_xlfn.XLOOKUP($U180,GCA!$H$3:$H$593,GCA!G$3:G$593,"",0,1)="","",_xlfn.XLOOKUP($U180,GCA!$H$3:$H$593,GCA!G$3:G$593,"",0,1))</f>
        <v/>
      </c>
    </row>
    <row r="181" spans="1:24" ht="13.2">
      <c r="A181" s="49"/>
      <c r="B181" s="49"/>
      <c r="C181" s="48" t="s">
        <v>356</v>
      </c>
      <c r="D181" s="49" t="s">
        <v>531</v>
      </c>
      <c r="E181" s="50">
        <v>1</v>
      </c>
      <c r="F181" s="26" t="s">
        <v>684</v>
      </c>
      <c r="G181" s="26" t="s">
        <v>684</v>
      </c>
      <c r="H181" s="27">
        <f t="shared" ref="H181:J198" si="83">V181</f>
        <v>18100.665000000001</v>
      </c>
      <c r="I181" s="27">
        <f t="shared" si="83"/>
        <v>14915.58</v>
      </c>
      <c r="J181" s="27">
        <f t="shared" si="83"/>
        <v>18892.38</v>
      </c>
      <c r="K181" s="27">
        <f t="shared" ref="K181:K198" si="84">IFERROR(AVERAGE(H181:J181),"")</f>
        <v>17302.875</v>
      </c>
      <c r="L181" s="65">
        <f>SUM(K181:K184)</f>
        <v>51257.804333333333</v>
      </c>
      <c r="M181" s="67">
        <f t="shared" ref="M181:M198" si="85">L181*$L$643/$L$642</f>
        <v>2.1514968988204424</v>
      </c>
      <c r="N181" s="65">
        <f t="shared" si="68"/>
        <v>2</v>
      </c>
      <c r="O181" s="65">
        <f t="shared" ref="O181:P196" si="86">N181</f>
        <v>2</v>
      </c>
      <c r="P181" s="65">
        <f t="shared" si="86"/>
        <v>2</v>
      </c>
      <c r="Q181" s="38"/>
      <c r="R181" s="3" t="str">
        <f t="shared" si="70"/>
        <v>Tiruchirapalli</v>
      </c>
      <c r="S181" s="3" t="str">
        <f t="shared" si="71"/>
        <v>Lalgudi</v>
      </c>
      <c r="T181" s="3" t="str">
        <f t="shared" si="71"/>
        <v>Lalgudi</v>
      </c>
      <c r="U181" s="3" t="str">
        <f t="shared" si="72"/>
        <v>Tiruchirapalli_Lalgudi_Lalgudi</v>
      </c>
      <c r="V181" s="3">
        <f>IF(_xlfn.XLOOKUP($U181,GCA!$H$3:$H$593,GCA!E$3:E$593,"",0,1)="","",_xlfn.XLOOKUP($U181,GCA!$H$3:$H$593,GCA!E$3:E$593,"",0,1))</f>
        <v>18100.665000000001</v>
      </c>
      <c r="W181" s="3">
        <f>IF(_xlfn.XLOOKUP($U181,GCA!$H$3:$H$593,GCA!F$3:F$593,"",0,1)="","",_xlfn.XLOOKUP($U181,GCA!$H$3:$H$593,GCA!F$3:F$593,"",0,1))</f>
        <v>14915.58</v>
      </c>
      <c r="X181" s="3">
        <f>IF(_xlfn.XLOOKUP($U181,GCA!$H$3:$H$593,GCA!G$3:G$593,"",0,1)="","",_xlfn.XLOOKUP($U181,GCA!$H$3:$H$593,GCA!G$3:G$593,"",0,1))</f>
        <v>18892.38</v>
      </c>
    </row>
    <row r="182" spans="1:24" ht="13.2">
      <c r="A182" s="49"/>
      <c r="B182" s="49"/>
      <c r="C182" s="48"/>
      <c r="D182" s="49"/>
      <c r="E182" s="50"/>
      <c r="F182" s="26" t="s">
        <v>684</v>
      </c>
      <c r="G182" s="26" t="s">
        <v>685</v>
      </c>
      <c r="H182" s="27">
        <f t="shared" si="83"/>
        <v>21594.401000000002</v>
      </c>
      <c r="I182" s="27">
        <f t="shared" si="83"/>
        <v>18609.349999999999</v>
      </c>
      <c r="J182" s="27">
        <f t="shared" si="83"/>
        <v>21577.822</v>
      </c>
      <c r="K182" s="27">
        <f t="shared" si="84"/>
        <v>20593.857666666667</v>
      </c>
      <c r="L182" s="65"/>
      <c r="M182" s="67">
        <f t="shared" si="85"/>
        <v>0</v>
      </c>
      <c r="N182" s="65" t="str">
        <f t="shared" si="68"/>
        <v/>
      </c>
      <c r="O182" s="65" t="str">
        <f t="shared" si="86"/>
        <v/>
      </c>
      <c r="P182" s="65" t="str">
        <f t="shared" si="86"/>
        <v/>
      </c>
      <c r="Q182" s="38"/>
      <c r="R182" s="3" t="str">
        <f t="shared" ref="R182:R199" si="87">R181</f>
        <v>Tiruchirapalli</v>
      </c>
      <c r="S182" s="3" t="str">
        <f t="shared" si="71"/>
        <v>Lalgudi</v>
      </c>
      <c r="T182" s="3" t="str">
        <f t="shared" si="71"/>
        <v>Pullambadi</v>
      </c>
      <c r="U182" s="3" t="str">
        <f t="shared" si="72"/>
        <v>Tiruchirapalli_Lalgudi_Pullambadi</v>
      </c>
      <c r="V182" s="3">
        <f>IF(_xlfn.XLOOKUP($U182,GCA!$H$3:$H$593,GCA!E$3:E$593,"",0,1)="","",_xlfn.XLOOKUP($U182,GCA!$H$3:$H$593,GCA!E$3:E$593,"",0,1))</f>
        <v>21594.401000000002</v>
      </c>
      <c r="W182" s="3">
        <f>IF(_xlfn.XLOOKUP($U182,GCA!$H$3:$H$593,GCA!F$3:F$593,"",0,1)="","",_xlfn.XLOOKUP($U182,GCA!$H$3:$H$593,GCA!F$3:F$593,"",0,1))</f>
        <v>18609.349999999999</v>
      </c>
      <c r="X182" s="3">
        <f>IF(_xlfn.XLOOKUP($U182,GCA!$H$3:$H$593,GCA!G$3:G$593,"",0,1)="","",_xlfn.XLOOKUP($U182,GCA!$H$3:$H$593,GCA!G$3:G$593,"",0,1))</f>
        <v>21577.822</v>
      </c>
    </row>
    <row r="183" spans="1:24" ht="13.2">
      <c r="A183" s="49"/>
      <c r="B183" s="49"/>
      <c r="C183" s="48"/>
      <c r="D183" s="49"/>
      <c r="E183" s="50"/>
      <c r="F183" s="26" t="s">
        <v>686</v>
      </c>
      <c r="G183" s="26" t="s">
        <v>686</v>
      </c>
      <c r="H183" s="27">
        <f t="shared" si="83"/>
        <v>5595.5749999999998</v>
      </c>
      <c r="I183" s="27">
        <f t="shared" si="83"/>
        <v>5267.6850000000004</v>
      </c>
      <c r="J183" s="27">
        <f t="shared" si="83"/>
        <v>5849.69</v>
      </c>
      <c r="K183" s="27">
        <f t="shared" si="84"/>
        <v>5570.9833333333336</v>
      </c>
      <c r="L183" s="65"/>
      <c r="M183" s="67">
        <f t="shared" si="85"/>
        <v>0</v>
      </c>
      <c r="N183" s="65" t="str">
        <f t="shared" si="68"/>
        <v/>
      </c>
      <c r="O183" s="65" t="str">
        <f t="shared" si="86"/>
        <v/>
      </c>
      <c r="P183" s="65" t="str">
        <f t="shared" si="86"/>
        <v/>
      </c>
      <c r="Q183" s="38"/>
      <c r="R183" s="3" t="str">
        <f t="shared" si="87"/>
        <v>Tiruchirapalli</v>
      </c>
      <c r="S183" s="3" t="str">
        <f t="shared" si="71"/>
        <v>Manapparai</v>
      </c>
      <c r="T183" s="3" t="str">
        <f t="shared" si="71"/>
        <v>Manapparai</v>
      </c>
      <c r="U183" s="3" t="str">
        <f t="shared" si="72"/>
        <v>Tiruchirapalli_Manapparai_Manapparai</v>
      </c>
      <c r="V183" s="3">
        <f>IF(_xlfn.XLOOKUP($U183,GCA!$H$3:$H$593,GCA!E$3:E$593,"",0,1)="","",_xlfn.XLOOKUP($U183,GCA!$H$3:$H$593,GCA!E$3:E$593,"",0,1))</f>
        <v>5595.5749999999998</v>
      </c>
      <c r="W183" s="3">
        <f>IF(_xlfn.XLOOKUP($U183,GCA!$H$3:$H$593,GCA!F$3:F$593,"",0,1)="","",_xlfn.XLOOKUP($U183,GCA!$H$3:$H$593,GCA!F$3:F$593,"",0,1))</f>
        <v>5267.6850000000004</v>
      </c>
      <c r="X183" s="3">
        <f>IF(_xlfn.XLOOKUP($U183,GCA!$H$3:$H$593,GCA!G$3:G$593,"",0,1)="","",_xlfn.XLOOKUP($U183,GCA!$H$3:$H$593,GCA!G$3:G$593,"",0,1))</f>
        <v>5849.69</v>
      </c>
    </row>
    <row r="184" spans="1:24" ht="13.2">
      <c r="A184" s="49"/>
      <c r="B184" s="49"/>
      <c r="C184" s="48"/>
      <c r="D184" s="49"/>
      <c r="E184" s="50"/>
      <c r="F184" s="26" t="s">
        <v>686</v>
      </c>
      <c r="G184" s="26" t="s">
        <v>687</v>
      </c>
      <c r="H184" s="27">
        <f t="shared" si="83"/>
        <v>7227.9250000000002</v>
      </c>
      <c r="I184" s="27">
        <f t="shared" si="83"/>
        <v>7690.3450000000003</v>
      </c>
      <c r="J184" s="27">
        <f t="shared" si="83"/>
        <v>8451.9950000000008</v>
      </c>
      <c r="K184" s="27">
        <f t="shared" si="84"/>
        <v>7790.0883333333331</v>
      </c>
      <c r="L184" s="65"/>
      <c r="M184" s="67">
        <f t="shared" si="85"/>
        <v>0</v>
      </c>
      <c r="N184" s="65" t="str">
        <f t="shared" si="68"/>
        <v/>
      </c>
      <c r="O184" s="65" t="str">
        <f t="shared" si="86"/>
        <v/>
      </c>
      <c r="P184" s="65" t="str">
        <f t="shared" si="86"/>
        <v/>
      </c>
      <c r="Q184" s="38"/>
      <c r="R184" s="3" t="str">
        <f t="shared" si="87"/>
        <v>Tiruchirapalli</v>
      </c>
      <c r="S184" s="3" t="str">
        <f t="shared" si="71"/>
        <v>Manapparai</v>
      </c>
      <c r="T184" s="3" t="str">
        <f t="shared" si="71"/>
        <v>Vaiyampatti</v>
      </c>
      <c r="U184" s="3" t="str">
        <f t="shared" si="72"/>
        <v>Tiruchirapalli_Manapparai_Vaiyampatti</v>
      </c>
      <c r="V184" s="3">
        <f>IF(_xlfn.XLOOKUP($U184,GCA!$H$3:$H$593,GCA!E$3:E$593,"",0,1)="","",_xlfn.XLOOKUP($U184,GCA!$H$3:$H$593,GCA!E$3:E$593,"",0,1))</f>
        <v>7227.9250000000002</v>
      </c>
      <c r="W184" s="3">
        <f>IF(_xlfn.XLOOKUP($U184,GCA!$H$3:$H$593,GCA!F$3:F$593,"",0,1)="","",_xlfn.XLOOKUP($U184,GCA!$H$3:$H$593,GCA!F$3:F$593,"",0,1))</f>
        <v>7690.3450000000003</v>
      </c>
      <c r="X184" s="3">
        <f>IF(_xlfn.XLOOKUP($U184,GCA!$H$3:$H$593,GCA!G$3:G$593,"",0,1)="","",_xlfn.XLOOKUP($U184,GCA!$H$3:$H$593,GCA!G$3:G$593,"",0,1))</f>
        <v>8451.9950000000008</v>
      </c>
    </row>
    <row r="185" spans="1:24" ht="13.2">
      <c r="A185" s="49"/>
      <c r="B185" s="49"/>
      <c r="C185" s="48"/>
      <c r="D185" s="49"/>
      <c r="E185" s="50">
        <v>2</v>
      </c>
      <c r="F185" s="26" t="s">
        <v>688</v>
      </c>
      <c r="G185" s="26" t="s">
        <v>688</v>
      </c>
      <c r="H185" s="27">
        <f t="shared" si="83"/>
        <v>14319.605</v>
      </c>
      <c r="I185" s="27">
        <f t="shared" si="83"/>
        <v>12911.965</v>
      </c>
      <c r="J185" s="27">
        <f t="shared" si="83"/>
        <v>14595.594999999999</v>
      </c>
      <c r="K185" s="27">
        <f t="shared" si="84"/>
        <v>13942.388333333334</v>
      </c>
      <c r="L185" s="65">
        <f>SUM(K185:K191)</f>
        <v>67751.44266666667</v>
      </c>
      <c r="M185" s="67">
        <f t="shared" si="85"/>
        <v>2.8438014597740184</v>
      </c>
      <c r="N185" s="65">
        <f t="shared" si="68"/>
        <v>3</v>
      </c>
      <c r="O185" s="65">
        <f t="shared" si="86"/>
        <v>3</v>
      </c>
      <c r="P185" s="65">
        <f t="shared" si="86"/>
        <v>3</v>
      </c>
      <c r="Q185" s="38"/>
      <c r="R185" s="3" t="str">
        <f t="shared" si="87"/>
        <v>Tiruchirapalli</v>
      </c>
      <c r="S185" s="3" t="str">
        <f t="shared" si="71"/>
        <v>Mannachanallur</v>
      </c>
      <c r="T185" s="3" t="str">
        <f t="shared" si="71"/>
        <v>Mannachanallur</v>
      </c>
      <c r="U185" s="3" t="str">
        <f t="shared" si="72"/>
        <v>Tiruchirapalli_Mannachanallur_Mannachanallur</v>
      </c>
      <c r="V185" s="3">
        <f>IF(_xlfn.XLOOKUP($U185,GCA!$H$3:$H$593,GCA!E$3:E$593,"",0,1)="","",_xlfn.XLOOKUP($U185,GCA!$H$3:$H$593,GCA!E$3:E$593,"",0,1))</f>
        <v>14319.605</v>
      </c>
      <c r="W185" s="3">
        <f>IF(_xlfn.XLOOKUP($U185,GCA!$H$3:$H$593,GCA!F$3:F$593,"",0,1)="","",_xlfn.XLOOKUP($U185,GCA!$H$3:$H$593,GCA!F$3:F$593,"",0,1))</f>
        <v>12911.965</v>
      </c>
      <c r="X185" s="3">
        <f>IF(_xlfn.XLOOKUP($U185,GCA!$H$3:$H$593,GCA!G$3:G$593,"",0,1)="","",_xlfn.XLOOKUP($U185,GCA!$H$3:$H$593,GCA!G$3:G$593,"",0,1))</f>
        <v>14595.594999999999</v>
      </c>
    </row>
    <row r="186" spans="1:24" ht="13.2">
      <c r="A186" s="49"/>
      <c r="B186" s="49"/>
      <c r="C186" s="48"/>
      <c r="D186" s="49"/>
      <c r="E186" s="50"/>
      <c r="F186" s="26" t="s">
        <v>689</v>
      </c>
      <c r="G186" s="26" t="s">
        <v>689</v>
      </c>
      <c r="H186" s="27">
        <f t="shared" si="83"/>
        <v>9063.6049999999996</v>
      </c>
      <c r="I186" s="27">
        <f t="shared" si="83"/>
        <v>8122.77</v>
      </c>
      <c r="J186" s="27">
        <f t="shared" si="83"/>
        <v>9297.1049999999996</v>
      </c>
      <c r="K186" s="27">
        <f t="shared" si="84"/>
        <v>8827.8266666666659</v>
      </c>
      <c r="L186" s="65"/>
      <c r="M186" s="67">
        <f t="shared" si="85"/>
        <v>0</v>
      </c>
      <c r="N186" s="65" t="str">
        <f t="shared" si="68"/>
        <v/>
      </c>
      <c r="O186" s="65" t="str">
        <f t="shared" si="86"/>
        <v/>
      </c>
      <c r="P186" s="65" t="str">
        <f t="shared" si="86"/>
        <v/>
      </c>
      <c r="Q186" s="38"/>
      <c r="R186" s="3" t="str">
        <f t="shared" si="87"/>
        <v>Tiruchirapalli</v>
      </c>
      <c r="S186" s="3" t="str">
        <f t="shared" si="71"/>
        <v>Marungapuri</v>
      </c>
      <c r="T186" s="3" t="str">
        <f t="shared" si="71"/>
        <v>Marungapuri</v>
      </c>
      <c r="U186" s="3" t="str">
        <f t="shared" si="72"/>
        <v>Tiruchirapalli_Marungapuri_Marungapuri</v>
      </c>
      <c r="V186" s="3">
        <f>IF(_xlfn.XLOOKUP($U186,GCA!$H$3:$H$593,GCA!E$3:E$593,"",0,1)="","",_xlfn.XLOOKUP($U186,GCA!$H$3:$H$593,GCA!E$3:E$593,"",0,1))</f>
        <v>9063.6049999999996</v>
      </c>
      <c r="W186" s="3">
        <f>IF(_xlfn.XLOOKUP($U186,GCA!$H$3:$H$593,GCA!F$3:F$593,"",0,1)="","",_xlfn.XLOOKUP($U186,GCA!$H$3:$H$593,GCA!F$3:F$593,"",0,1))</f>
        <v>8122.77</v>
      </c>
      <c r="X186" s="3">
        <f>IF(_xlfn.XLOOKUP($U186,GCA!$H$3:$H$593,GCA!G$3:G$593,"",0,1)="","",_xlfn.XLOOKUP($U186,GCA!$H$3:$H$593,GCA!G$3:G$593,"",0,1))</f>
        <v>9297.1049999999996</v>
      </c>
    </row>
    <row r="187" spans="1:24" ht="13.2">
      <c r="A187" s="49"/>
      <c r="B187" s="49"/>
      <c r="C187" s="48"/>
      <c r="D187" s="49"/>
      <c r="E187" s="50"/>
      <c r="F187" s="26" t="s">
        <v>690</v>
      </c>
      <c r="G187" s="26" t="s">
        <v>690</v>
      </c>
      <c r="H187" s="27">
        <f t="shared" si="83"/>
        <v>12070.68</v>
      </c>
      <c r="I187" s="27">
        <f t="shared" si="83"/>
        <v>11263.62</v>
      </c>
      <c r="J187" s="27">
        <f t="shared" si="83"/>
        <v>14058.55</v>
      </c>
      <c r="K187" s="27">
        <f t="shared" si="84"/>
        <v>12464.283333333335</v>
      </c>
      <c r="L187" s="65"/>
      <c r="M187" s="67">
        <f t="shared" si="85"/>
        <v>0</v>
      </c>
      <c r="N187" s="65" t="str">
        <f t="shared" si="68"/>
        <v/>
      </c>
      <c r="O187" s="65" t="str">
        <f t="shared" si="86"/>
        <v/>
      </c>
      <c r="P187" s="65" t="str">
        <f t="shared" si="86"/>
        <v/>
      </c>
      <c r="Q187" s="38"/>
      <c r="R187" s="3" t="str">
        <f t="shared" si="87"/>
        <v>Tiruchirapalli</v>
      </c>
      <c r="S187" s="3" t="str">
        <f t="shared" si="71"/>
        <v>Musiri</v>
      </c>
      <c r="T187" s="3" t="str">
        <f t="shared" si="71"/>
        <v>Musiri</v>
      </c>
      <c r="U187" s="3" t="str">
        <f t="shared" si="72"/>
        <v>Tiruchirapalli_Musiri_Musiri</v>
      </c>
      <c r="V187" s="3">
        <f>IF(_xlfn.XLOOKUP($U187,GCA!$H$3:$H$593,GCA!E$3:E$593,"",0,1)="","",_xlfn.XLOOKUP($U187,GCA!$H$3:$H$593,GCA!E$3:E$593,"",0,1))</f>
        <v>12070.68</v>
      </c>
      <c r="W187" s="3">
        <f>IF(_xlfn.XLOOKUP($U187,GCA!$H$3:$H$593,GCA!F$3:F$593,"",0,1)="","",_xlfn.XLOOKUP($U187,GCA!$H$3:$H$593,GCA!F$3:F$593,"",0,1))</f>
        <v>11263.62</v>
      </c>
      <c r="X187" s="3">
        <f>IF(_xlfn.XLOOKUP($U187,GCA!$H$3:$H$593,GCA!G$3:G$593,"",0,1)="","",_xlfn.XLOOKUP($U187,GCA!$H$3:$H$593,GCA!G$3:G$593,"",0,1))</f>
        <v>14058.55</v>
      </c>
    </row>
    <row r="188" spans="1:24" ht="13.2">
      <c r="A188" s="49"/>
      <c r="B188" s="49"/>
      <c r="C188" s="48"/>
      <c r="D188" s="49"/>
      <c r="E188" s="50"/>
      <c r="F188" s="26" t="s">
        <v>690</v>
      </c>
      <c r="G188" s="26" t="s">
        <v>691</v>
      </c>
      <c r="H188" s="27">
        <f t="shared" si="83"/>
        <v>12619.875</v>
      </c>
      <c r="I188" s="27">
        <f t="shared" si="83"/>
        <v>12149.12</v>
      </c>
      <c r="J188" s="27">
        <f t="shared" si="83"/>
        <v>13357.314</v>
      </c>
      <c r="K188" s="27">
        <f t="shared" si="84"/>
        <v>12708.769666666667</v>
      </c>
      <c r="L188" s="65"/>
      <c r="M188" s="67">
        <f t="shared" si="85"/>
        <v>0</v>
      </c>
      <c r="N188" s="65" t="str">
        <f t="shared" si="68"/>
        <v/>
      </c>
      <c r="O188" s="65" t="str">
        <f t="shared" si="86"/>
        <v/>
      </c>
      <c r="P188" s="65" t="str">
        <f t="shared" si="86"/>
        <v/>
      </c>
      <c r="Q188" s="38"/>
      <c r="R188" s="3" t="str">
        <f t="shared" si="87"/>
        <v>Tiruchirapalli</v>
      </c>
      <c r="S188" s="3" t="str">
        <f t="shared" si="71"/>
        <v>Musiri</v>
      </c>
      <c r="T188" s="3" t="str">
        <f t="shared" si="71"/>
        <v>Thathaiyangarpettai</v>
      </c>
      <c r="U188" s="3" t="str">
        <f t="shared" si="72"/>
        <v>Tiruchirapalli_Musiri_Thathaiyangarpettai</v>
      </c>
      <c r="V188" s="3">
        <f>IF(_xlfn.XLOOKUP($U188,GCA!$H$3:$H$593,GCA!E$3:E$593,"",0,1)="","",_xlfn.XLOOKUP($U188,GCA!$H$3:$H$593,GCA!E$3:E$593,"",0,1))</f>
        <v>12619.875</v>
      </c>
      <c r="W188" s="3">
        <f>IF(_xlfn.XLOOKUP($U188,GCA!$H$3:$H$593,GCA!F$3:F$593,"",0,1)="","",_xlfn.XLOOKUP($U188,GCA!$H$3:$H$593,GCA!F$3:F$593,"",0,1))</f>
        <v>12149.12</v>
      </c>
      <c r="X188" s="3">
        <f>IF(_xlfn.XLOOKUP($U188,GCA!$H$3:$H$593,GCA!G$3:G$593,"",0,1)="","",_xlfn.XLOOKUP($U188,GCA!$H$3:$H$593,GCA!G$3:G$593,"",0,1))</f>
        <v>13357.314</v>
      </c>
    </row>
    <row r="189" spans="1:24" ht="13.2">
      <c r="A189" s="49"/>
      <c r="B189" s="49"/>
      <c r="C189" s="48"/>
      <c r="D189" s="49"/>
      <c r="E189" s="50"/>
      <c r="F189" s="26" t="s">
        <v>692</v>
      </c>
      <c r="G189" s="26" t="s">
        <v>693</v>
      </c>
      <c r="H189" s="27">
        <f t="shared" si="83"/>
        <v>7862.9579999999996</v>
      </c>
      <c r="I189" s="27">
        <f t="shared" si="83"/>
        <v>4575.3019999999997</v>
      </c>
      <c r="J189" s="27">
        <f t="shared" si="83"/>
        <v>8639.5560000000005</v>
      </c>
      <c r="K189" s="27">
        <f t="shared" si="84"/>
        <v>7025.938666666666</v>
      </c>
      <c r="L189" s="65"/>
      <c r="M189" s="67">
        <f t="shared" si="85"/>
        <v>0</v>
      </c>
      <c r="N189" s="65" t="str">
        <f t="shared" si="68"/>
        <v/>
      </c>
      <c r="O189" s="65" t="str">
        <f t="shared" si="86"/>
        <v/>
      </c>
      <c r="P189" s="65" t="str">
        <f t="shared" si="86"/>
        <v/>
      </c>
      <c r="Q189" s="38"/>
      <c r="R189" s="3" t="str">
        <f t="shared" si="87"/>
        <v>Tiruchirapalli</v>
      </c>
      <c r="S189" s="3" t="str">
        <f t="shared" si="71"/>
        <v>Srirangam</v>
      </c>
      <c r="T189" s="3" t="str">
        <f t="shared" si="71"/>
        <v>Andanallur</v>
      </c>
      <c r="U189" s="3" t="str">
        <f t="shared" si="72"/>
        <v>Tiruchirapalli_Srirangam_Andanallur</v>
      </c>
      <c r="V189" s="3">
        <f>IF(_xlfn.XLOOKUP($U189,GCA!$H$3:$H$593,GCA!E$3:E$593,"",0,1)="","",_xlfn.XLOOKUP($U189,GCA!$H$3:$H$593,GCA!E$3:E$593,"",0,1))</f>
        <v>7862.9579999999996</v>
      </c>
      <c r="W189" s="3">
        <f>IF(_xlfn.XLOOKUP($U189,GCA!$H$3:$H$593,GCA!F$3:F$593,"",0,1)="","",_xlfn.XLOOKUP($U189,GCA!$H$3:$H$593,GCA!F$3:F$593,"",0,1))</f>
        <v>4575.3019999999997</v>
      </c>
      <c r="X189" s="3">
        <f>IF(_xlfn.XLOOKUP($U189,GCA!$H$3:$H$593,GCA!G$3:G$593,"",0,1)="","",_xlfn.XLOOKUP($U189,GCA!$H$3:$H$593,GCA!G$3:G$593,"",0,1))</f>
        <v>8639.5560000000005</v>
      </c>
    </row>
    <row r="190" spans="1:24" ht="13.2">
      <c r="A190" s="49"/>
      <c r="B190" s="49"/>
      <c r="C190" s="48"/>
      <c r="D190" s="49"/>
      <c r="E190" s="50"/>
      <c r="F190" s="26" t="s">
        <v>692</v>
      </c>
      <c r="G190" s="26" t="s">
        <v>694</v>
      </c>
      <c r="H190" s="27">
        <f t="shared" si="83"/>
        <v>7515.085</v>
      </c>
      <c r="I190" s="27">
        <f t="shared" si="83"/>
        <v>5225.1970000000001</v>
      </c>
      <c r="J190" s="27">
        <f t="shared" si="83"/>
        <v>7672.11</v>
      </c>
      <c r="K190" s="27">
        <f t="shared" si="84"/>
        <v>6804.1306666666669</v>
      </c>
      <c r="L190" s="65"/>
      <c r="M190" s="67">
        <f t="shared" si="85"/>
        <v>0</v>
      </c>
      <c r="N190" s="65" t="str">
        <f t="shared" si="68"/>
        <v/>
      </c>
      <c r="O190" s="65" t="str">
        <f t="shared" si="86"/>
        <v/>
      </c>
      <c r="P190" s="65" t="str">
        <f t="shared" si="86"/>
        <v/>
      </c>
      <c r="Q190" s="38"/>
      <c r="R190" s="3" t="str">
        <f t="shared" si="87"/>
        <v>Tiruchirapalli</v>
      </c>
      <c r="S190" s="3" t="str">
        <f t="shared" si="71"/>
        <v>Srirangam</v>
      </c>
      <c r="T190" s="3" t="str">
        <f t="shared" si="71"/>
        <v>Manikandam</v>
      </c>
      <c r="U190" s="3" t="str">
        <f t="shared" si="72"/>
        <v>Tiruchirapalli_Srirangam_Manikandam</v>
      </c>
      <c r="V190" s="3">
        <f>IF(_xlfn.XLOOKUP($U190,GCA!$H$3:$H$593,GCA!E$3:E$593,"",0,1)="","",_xlfn.XLOOKUP($U190,GCA!$H$3:$H$593,GCA!E$3:E$593,"",0,1))</f>
        <v>7515.085</v>
      </c>
      <c r="W190" s="3">
        <f>IF(_xlfn.XLOOKUP($U190,GCA!$H$3:$H$593,GCA!F$3:F$593,"",0,1)="","",_xlfn.XLOOKUP($U190,GCA!$H$3:$H$593,GCA!F$3:F$593,"",0,1))</f>
        <v>5225.1970000000001</v>
      </c>
      <c r="X190" s="3">
        <f>IF(_xlfn.XLOOKUP($U190,GCA!$H$3:$H$593,GCA!G$3:G$593,"",0,1)="","",_xlfn.XLOOKUP($U190,GCA!$H$3:$H$593,GCA!G$3:G$593,"",0,1))</f>
        <v>7672.11</v>
      </c>
    </row>
    <row r="191" spans="1:24" ht="13.2">
      <c r="A191" s="49"/>
      <c r="B191" s="49"/>
      <c r="C191" s="48"/>
      <c r="D191" s="49"/>
      <c r="E191" s="50"/>
      <c r="F191" s="26" t="s">
        <v>695</v>
      </c>
      <c r="G191" s="26" t="s">
        <v>696</v>
      </c>
      <c r="H191" s="27">
        <f t="shared" si="83"/>
        <v>8130.0029999999997</v>
      </c>
      <c r="I191" s="27">
        <f t="shared" si="83"/>
        <v>1858.2929999999999</v>
      </c>
      <c r="J191" s="27">
        <f t="shared" si="83"/>
        <v>7946.02</v>
      </c>
      <c r="K191" s="27">
        <f t="shared" si="84"/>
        <v>5978.105333333333</v>
      </c>
      <c r="L191" s="65"/>
      <c r="M191" s="67">
        <f t="shared" si="85"/>
        <v>0</v>
      </c>
      <c r="N191" s="65" t="str">
        <f t="shared" si="68"/>
        <v/>
      </c>
      <c r="O191" s="65" t="str">
        <f t="shared" si="86"/>
        <v/>
      </c>
      <c r="P191" s="65" t="str">
        <f t="shared" si="86"/>
        <v/>
      </c>
      <c r="Q191" s="38"/>
      <c r="R191" s="3" t="str">
        <f t="shared" si="87"/>
        <v>Tiruchirapalli</v>
      </c>
      <c r="S191" s="3" t="str">
        <f t="shared" si="71"/>
        <v>Thiruverumbur</v>
      </c>
      <c r="T191" s="3" t="str">
        <f t="shared" si="71"/>
        <v>Tiruverumbur</v>
      </c>
      <c r="U191" s="3" t="str">
        <f t="shared" si="72"/>
        <v>Tiruchirapalli_Thiruverumbur_Tiruverumbur</v>
      </c>
      <c r="V191" s="3">
        <f>IF(_xlfn.XLOOKUP($U191,GCA!$H$3:$H$593,GCA!E$3:E$593,"",0,1)="","",_xlfn.XLOOKUP($U191,GCA!$H$3:$H$593,GCA!E$3:E$593,"",0,1))</f>
        <v>8130.0029999999997</v>
      </c>
      <c r="W191" s="3">
        <f>IF(_xlfn.XLOOKUP($U191,GCA!$H$3:$H$593,GCA!F$3:F$593,"",0,1)="","",_xlfn.XLOOKUP($U191,GCA!$H$3:$H$593,GCA!F$3:F$593,"",0,1))</f>
        <v>1858.2929999999999</v>
      </c>
      <c r="X191" s="3">
        <f>IF(_xlfn.XLOOKUP($U191,GCA!$H$3:$H$593,GCA!G$3:G$593,"",0,1)="","",_xlfn.XLOOKUP($U191,GCA!$H$3:$H$593,GCA!G$3:G$593,"",0,1))</f>
        <v>7946.02</v>
      </c>
    </row>
    <row r="192" spans="1:24" ht="13.2">
      <c r="A192" s="49"/>
      <c r="B192" s="49"/>
      <c r="C192" s="48"/>
      <c r="D192" s="49"/>
      <c r="E192" s="50">
        <v>3</v>
      </c>
      <c r="F192" s="26" t="s">
        <v>697</v>
      </c>
      <c r="G192" s="26" t="s">
        <v>697</v>
      </c>
      <c r="H192" s="27">
        <f t="shared" si="83"/>
        <v>13106.14</v>
      </c>
      <c r="I192" s="27">
        <f t="shared" si="83"/>
        <v>11546.477000000001</v>
      </c>
      <c r="J192" s="27">
        <f t="shared" si="83"/>
        <v>14034.458000000001</v>
      </c>
      <c r="K192" s="27">
        <f t="shared" si="84"/>
        <v>12895.691666666666</v>
      </c>
      <c r="L192" s="65">
        <f>SUM(K192:K198)</f>
        <v>50677.64</v>
      </c>
      <c r="M192" s="67">
        <f t="shared" si="85"/>
        <v>2.1271450604963578</v>
      </c>
      <c r="N192" s="65">
        <f t="shared" si="68"/>
        <v>2</v>
      </c>
      <c r="O192" s="65">
        <f t="shared" si="86"/>
        <v>2</v>
      </c>
      <c r="P192" s="65">
        <f t="shared" si="86"/>
        <v>2</v>
      </c>
      <c r="Q192" s="38"/>
      <c r="R192" s="3" t="str">
        <f t="shared" si="87"/>
        <v>Tiruchirapalli</v>
      </c>
      <c r="S192" s="3" t="str">
        <f t="shared" si="71"/>
        <v>Thottiyam</v>
      </c>
      <c r="T192" s="3" t="str">
        <f t="shared" si="71"/>
        <v>Thottiyam</v>
      </c>
      <c r="U192" s="3" t="str">
        <f t="shared" si="72"/>
        <v>Tiruchirapalli_Thottiyam_Thottiyam</v>
      </c>
      <c r="V192" s="3">
        <f>IF(_xlfn.XLOOKUP($U192,GCA!$H$3:$H$593,GCA!E$3:E$593,"",0,1)="","",_xlfn.XLOOKUP($U192,GCA!$H$3:$H$593,GCA!E$3:E$593,"",0,1))</f>
        <v>13106.14</v>
      </c>
      <c r="W192" s="3">
        <f>IF(_xlfn.XLOOKUP($U192,GCA!$H$3:$H$593,GCA!F$3:F$593,"",0,1)="","",_xlfn.XLOOKUP($U192,GCA!$H$3:$H$593,GCA!F$3:F$593,"",0,1))</f>
        <v>11546.477000000001</v>
      </c>
      <c r="X192" s="3">
        <f>IF(_xlfn.XLOOKUP($U192,GCA!$H$3:$H$593,GCA!G$3:G$593,"",0,1)="","",_xlfn.XLOOKUP($U192,GCA!$H$3:$H$593,GCA!G$3:G$593,"",0,1))</f>
        <v>14034.458000000001</v>
      </c>
    </row>
    <row r="193" spans="1:24" ht="13.2">
      <c r="A193" s="49"/>
      <c r="B193" s="49"/>
      <c r="C193" s="48"/>
      <c r="D193" s="49"/>
      <c r="E193" s="50"/>
      <c r="F193" s="26" t="s">
        <v>698</v>
      </c>
      <c r="G193" s="26" t="s">
        <v>698</v>
      </c>
      <c r="H193" s="27">
        <f t="shared" si="83"/>
        <v>17192.666000000001</v>
      </c>
      <c r="I193" s="27">
        <f t="shared" si="83"/>
        <v>17869.005000000001</v>
      </c>
      <c r="J193" s="27">
        <f t="shared" si="83"/>
        <v>17830.95</v>
      </c>
      <c r="K193" s="27">
        <f t="shared" si="84"/>
        <v>17630.873666666666</v>
      </c>
      <c r="L193" s="65"/>
      <c r="M193" s="67">
        <f t="shared" si="85"/>
        <v>0</v>
      </c>
      <c r="N193" s="65" t="str">
        <f t="shared" si="68"/>
        <v/>
      </c>
      <c r="O193" s="65" t="str">
        <f t="shared" si="86"/>
        <v/>
      </c>
      <c r="P193" s="65" t="str">
        <f t="shared" si="86"/>
        <v/>
      </c>
      <c r="Q193" s="38"/>
      <c r="R193" s="3" t="str">
        <f t="shared" si="87"/>
        <v>Tiruchirapalli</v>
      </c>
      <c r="S193" s="3" t="str">
        <f t="shared" si="71"/>
        <v>Thuraiyur</v>
      </c>
      <c r="T193" s="3" t="str">
        <f t="shared" si="71"/>
        <v>Thuraiyur</v>
      </c>
      <c r="U193" s="3" t="str">
        <f t="shared" si="72"/>
        <v>Tiruchirapalli_Thuraiyur_Thuraiyur</v>
      </c>
      <c r="V193" s="3">
        <f>IF(_xlfn.XLOOKUP($U193,GCA!$H$3:$H$593,GCA!E$3:E$593,"",0,1)="","",_xlfn.XLOOKUP($U193,GCA!$H$3:$H$593,GCA!E$3:E$593,"",0,1))</f>
        <v>17192.666000000001</v>
      </c>
      <c r="W193" s="3">
        <f>IF(_xlfn.XLOOKUP($U193,GCA!$H$3:$H$593,GCA!F$3:F$593,"",0,1)="","",_xlfn.XLOOKUP($U193,GCA!$H$3:$H$593,GCA!F$3:F$593,"",0,1))</f>
        <v>17869.005000000001</v>
      </c>
      <c r="X193" s="3">
        <f>IF(_xlfn.XLOOKUP($U193,GCA!$H$3:$H$593,GCA!G$3:G$593,"",0,1)="","",_xlfn.XLOOKUP($U193,GCA!$H$3:$H$593,GCA!G$3:G$593,"",0,1))</f>
        <v>17830.95</v>
      </c>
    </row>
    <row r="194" spans="1:24" ht="13.2">
      <c r="A194" s="49"/>
      <c r="B194" s="49"/>
      <c r="C194" s="48"/>
      <c r="D194" s="49"/>
      <c r="E194" s="50"/>
      <c r="F194" s="26" t="s">
        <v>698</v>
      </c>
      <c r="G194" s="26" t="s">
        <v>699</v>
      </c>
      <c r="H194" s="27">
        <f t="shared" si="83"/>
        <v>18441.275000000001</v>
      </c>
      <c r="I194" s="27">
        <f t="shared" si="83"/>
        <v>18493.14</v>
      </c>
      <c r="J194" s="27">
        <f t="shared" si="83"/>
        <v>20262.924999999999</v>
      </c>
      <c r="K194" s="27">
        <f t="shared" si="84"/>
        <v>19065.78</v>
      </c>
      <c r="L194" s="65"/>
      <c r="M194" s="67">
        <f t="shared" si="85"/>
        <v>0</v>
      </c>
      <c r="N194" s="65" t="str">
        <f t="shared" si="68"/>
        <v/>
      </c>
      <c r="O194" s="65" t="str">
        <f t="shared" si="86"/>
        <v/>
      </c>
      <c r="P194" s="65" t="str">
        <f t="shared" si="86"/>
        <v/>
      </c>
      <c r="Q194" s="38"/>
      <c r="R194" s="3" t="str">
        <f t="shared" si="87"/>
        <v>Tiruchirapalli</v>
      </c>
      <c r="S194" s="3" t="str">
        <f t="shared" si="71"/>
        <v>Thuraiyur</v>
      </c>
      <c r="T194" s="3" t="str">
        <f t="shared" si="71"/>
        <v>Uppiliyapuram</v>
      </c>
      <c r="U194" s="3" t="str">
        <f t="shared" si="72"/>
        <v>Tiruchirapalli_Thuraiyur_Uppiliyapuram</v>
      </c>
      <c r="V194" s="3">
        <f>IF(_xlfn.XLOOKUP($U194,GCA!$H$3:$H$593,GCA!E$3:E$593,"",0,1)="","",_xlfn.XLOOKUP($U194,GCA!$H$3:$H$593,GCA!E$3:E$593,"",0,1))</f>
        <v>18441.275000000001</v>
      </c>
      <c r="W194" s="3">
        <f>IF(_xlfn.XLOOKUP($U194,GCA!$H$3:$H$593,GCA!F$3:F$593,"",0,1)="","",_xlfn.XLOOKUP($U194,GCA!$H$3:$H$593,GCA!F$3:F$593,"",0,1))</f>
        <v>18493.14</v>
      </c>
      <c r="X194" s="3">
        <f>IF(_xlfn.XLOOKUP($U194,GCA!$H$3:$H$593,GCA!G$3:G$593,"",0,1)="","",_xlfn.XLOOKUP($U194,GCA!$H$3:$H$593,GCA!G$3:G$593,"",0,1))</f>
        <v>20262.924999999999</v>
      </c>
    </row>
    <row r="195" spans="1:24" ht="13.2">
      <c r="A195" s="49"/>
      <c r="B195" s="49"/>
      <c r="C195" s="48"/>
      <c r="D195" s="49"/>
      <c r="E195" s="50"/>
      <c r="F195" s="26" t="s">
        <v>700</v>
      </c>
      <c r="G195" s="26" t="s">
        <v>694</v>
      </c>
      <c r="H195" s="27">
        <f t="shared" si="83"/>
        <v>477.85500000000002</v>
      </c>
      <c r="I195" s="27">
        <f t="shared" si="83"/>
        <v>211.375</v>
      </c>
      <c r="J195" s="27">
        <f t="shared" si="83"/>
        <v>439.09</v>
      </c>
      <c r="K195" s="27">
        <f t="shared" si="84"/>
        <v>376.10666666666663</v>
      </c>
      <c r="L195" s="65"/>
      <c r="M195" s="67">
        <f t="shared" si="85"/>
        <v>0</v>
      </c>
      <c r="N195" s="65" t="str">
        <f t="shared" si="68"/>
        <v/>
      </c>
      <c r="O195" s="65" t="str">
        <f t="shared" si="86"/>
        <v/>
      </c>
      <c r="P195" s="65" t="str">
        <f t="shared" si="86"/>
        <v/>
      </c>
      <c r="Q195" s="38"/>
      <c r="R195" s="3" t="str">
        <f t="shared" si="87"/>
        <v>Tiruchirapalli</v>
      </c>
      <c r="S195" s="3" t="str">
        <f t="shared" si="71"/>
        <v>Tiruchirapalli East</v>
      </c>
      <c r="T195" s="3" t="str">
        <f t="shared" si="71"/>
        <v>Manikandam</v>
      </c>
      <c r="U195" s="3" t="str">
        <f t="shared" si="72"/>
        <v>Tiruchirapalli_Tiruchirapalli East_Manikandam</v>
      </c>
      <c r="V195" s="3">
        <f>IF(_xlfn.XLOOKUP($U195,GCA!$H$3:$H$593,GCA!E$3:E$593,"",0,1)="","",_xlfn.XLOOKUP($U195,GCA!$H$3:$H$593,GCA!E$3:E$593,"",0,1))</f>
        <v>477.85500000000002</v>
      </c>
      <c r="W195" s="3">
        <f>IF(_xlfn.XLOOKUP($U195,GCA!$H$3:$H$593,GCA!F$3:F$593,"",0,1)="","",_xlfn.XLOOKUP($U195,GCA!$H$3:$H$593,GCA!F$3:F$593,"",0,1))</f>
        <v>211.375</v>
      </c>
      <c r="X195" s="3">
        <f>IF(_xlfn.XLOOKUP($U195,GCA!$H$3:$H$593,GCA!G$3:G$593,"",0,1)="","",_xlfn.XLOOKUP($U195,GCA!$H$3:$H$593,GCA!G$3:G$593,"",0,1))</f>
        <v>439.09</v>
      </c>
    </row>
    <row r="196" spans="1:24" ht="13.2">
      <c r="A196" s="49"/>
      <c r="B196" s="49"/>
      <c r="C196" s="48"/>
      <c r="D196" s="49"/>
      <c r="E196" s="50"/>
      <c r="F196" s="26" t="s">
        <v>700</v>
      </c>
      <c r="G196" s="26" t="s">
        <v>696</v>
      </c>
      <c r="H196" s="27">
        <f t="shared" si="83"/>
        <v>391.84399999999999</v>
      </c>
      <c r="I196" s="27">
        <f t="shared" si="83"/>
        <v>224.89500000000001</v>
      </c>
      <c r="J196" s="27">
        <f t="shared" si="83"/>
        <v>478.33</v>
      </c>
      <c r="K196" s="27">
        <f t="shared" si="84"/>
        <v>365.02299999999997</v>
      </c>
      <c r="L196" s="65"/>
      <c r="M196" s="67">
        <f t="shared" si="85"/>
        <v>0</v>
      </c>
      <c r="N196" s="65" t="str">
        <f t="shared" si="68"/>
        <v/>
      </c>
      <c r="O196" s="65" t="str">
        <f t="shared" si="86"/>
        <v/>
      </c>
      <c r="P196" s="65" t="str">
        <f t="shared" si="86"/>
        <v/>
      </c>
      <c r="Q196" s="38"/>
      <c r="R196" s="3" t="str">
        <f t="shared" si="87"/>
        <v>Tiruchirapalli</v>
      </c>
      <c r="S196" s="3" t="str">
        <f t="shared" si="71"/>
        <v>Tiruchirapalli East</v>
      </c>
      <c r="T196" s="3" t="str">
        <f t="shared" si="71"/>
        <v>Tiruverumbur</v>
      </c>
      <c r="U196" s="3" t="str">
        <f t="shared" si="72"/>
        <v>Tiruchirapalli_Tiruchirapalli East_Tiruverumbur</v>
      </c>
      <c r="V196" s="3">
        <f>IF(_xlfn.XLOOKUP($U196,GCA!$H$3:$H$593,GCA!E$3:E$593,"",0,1)="","",_xlfn.XLOOKUP($U196,GCA!$H$3:$H$593,GCA!E$3:E$593,"",0,1))</f>
        <v>391.84399999999999</v>
      </c>
      <c r="W196" s="3">
        <f>IF(_xlfn.XLOOKUP($U196,GCA!$H$3:$H$593,GCA!F$3:F$593,"",0,1)="","",_xlfn.XLOOKUP($U196,GCA!$H$3:$H$593,GCA!F$3:F$593,"",0,1))</f>
        <v>224.89500000000001</v>
      </c>
      <c r="X196" s="3">
        <f>IF(_xlfn.XLOOKUP($U196,GCA!$H$3:$H$593,GCA!G$3:G$593,"",0,1)="","",_xlfn.XLOOKUP($U196,GCA!$H$3:$H$593,GCA!G$3:G$593,"",0,1))</f>
        <v>478.33</v>
      </c>
    </row>
    <row r="197" spans="1:24" ht="13.2">
      <c r="A197" s="49"/>
      <c r="B197" s="49"/>
      <c r="C197" s="48"/>
      <c r="D197" s="49"/>
      <c r="E197" s="50"/>
      <c r="F197" s="26" t="s">
        <v>701</v>
      </c>
      <c r="G197" s="26" t="s">
        <v>694</v>
      </c>
      <c r="H197" s="27">
        <f t="shared" si="83"/>
        <v>307.76499999999999</v>
      </c>
      <c r="I197" s="27">
        <f t="shared" si="83"/>
        <v>148.93</v>
      </c>
      <c r="J197" s="27">
        <f t="shared" si="83"/>
        <v>342.37</v>
      </c>
      <c r="K197" s="27">
        <f t="shared" si="84"/>
        <v>266.35500000000002</v>
      </c>
      <c r="L197" s="65"/>
      <c r="M197" s="67">
        <f t="shared" si="85"/>
        <v>0</v>
      </c>
      <c r="N197" s="65" t="str">
        <f t="shared" si="68"/>
        <v/>
      </c>
      <c r="O197" s="65" t="str">
        <f t="shared" ref="O197:P198" si="88">N197</f>
        <v/>
      </c>
      <c r="P197" s="65" t="str">
        <f t="shared" si="88"/>
        <v/>
      </c>
      <c r="Q197" s="38"/>
      <c r="R197" s="3" t="str">
        <f t="shared" si="87"/>
        <v>Tiruchirapalli</v>
      </c>
      <c r="S197" s="3" t="str">
        <f t="shared" si="71"/>
        <v>Tiruchirapalli West</v>
      </c>
      <c r="T197" s="3" t="str">
        <f t="shared" si="71"/>
        <v>Manikandam</v>
      </c>
      <c r="U197" s="3" t="str">
        <f t="shared" si="72"/>
        <v>Tiruchirapalli_Tiruchirapalli West_Manikandam</v>
      </c>
      <c r="V197" s="3">
        <f>IF(_xlfn.XLOOKUP($U197,GCA!$H$3:$H$593,GCA!E$3:E$593,"",0,1)="","",_xlfn.XLOOKUP($U197,GCA!$H$3:$H$593,GCA!E$3:E$593,"",0,1))</f>
        <v>307.76499999999999</v>
      </c>
      <c r="W197" s="3">
        <f>IF(_xlfn.XLOOKUP($U197,GCA!$H$3:$H$593,GCA!F$3:F$593,"",0,1)="","",_xlfn.XLOOKUP($U197,GCA!$H$3:$H$593,GCA!F$3:F$593,"",0,1))</f>
        <v>148.93</v>
      </c>
      <c r="X197" s="3">
        <f>IF(_xlfn.XLOOKUP($U197,GCA!$H$3:$H$593,GCA!G$3:G$593,"",0,1)="","",_xlfn.XLOOKUP($U197,GCA!$H$3:$H$593,GCA!G$3:G$593,"",0,1))</f>
        <v>342.37</v>
      </c>
    </row>
    <row r="198" spans="1:24" ht="13.2">
      <c r="A198" s="49"/>
      <c r="B198" s="49"/>
      <c r="C198" s="48"/>
      <c r="D198" s="49"/>
      <c r="E198" s="50"/>
      <c r="F198" s="26" t="s">
        <v>701</v>
      </c>
      <c r="G198" s="26" t="s">
        <v>696</v>
      </c>
      <c r="H198" s="27">
        <f t="shared" si="83"/>
        <v>67.400000000000006</v>
      </c>
      <c r="I198" s="27">
        <f t="shared" si="83"/>
        <v>75.38</v>
      </c>
      <c r="J198" s="27">
        <f t="shared" si="83"/>
        <v>90.65</v>
      </c>
      <c r="K198" s="27">
        <f t="shared" si="84"/>
        <v>77.81</v>
      </c>
      <c r="L198" s="65"/>
      <c r="M198" s="67">
        <f t="shared" si="85"/>
        <v>0</v>
      </c>
      <c r="N198" s="65" t="str">
        <f t="shared" si="68"/>
        <v/>
      </c>
      <c r="O198" s="65" t="str">
        <f t="shared" si="88"/>
        <v/>
      </c>
      <c r="P198" s="65" t="str">
        <f t="shared" si="88"/>
        <v/>
      </c>
      <c r="Q198" s="38"/>
      <c r="R198" s="3" t="str">
        <f t="shared" si="87"/>
        <v>Tiruchirapalli</v>
      </c>
      <c r="S198" s="3" t="str">
        <f t="shared" si="71"/>
        <v>Tiruchirapalli West</v>
      </c>
      <c r="T198" s="3" t="str">
        <f t="shared" si="71"/>
        <v>Tiruverumbur</v>
      </c>
      <c r="U198" s="3" t="str">
        <f t="shared" si="72"/>
        <v>Tiruchirapalli_Tiruchirapalli West_Tiruverumbur</v>
      </c>
      <c r="V198" s="3">
        <f>IF(_xlfn.XLOOKUP($U198,GCA!$H$3:$H$593,GCA!E$3:E$593,"",0,1)="","",_xlfn.XLOOKUP($U198,GCA!$H$3:$H$593,GCA!E$3:E$593,"",0,1))</f>
        <v>67.400000000000006</v>
      </c>
      <c r="W198" s="3">
        <f>IF(_xlfn.XLOOKUP($U198,GCA!$H$3:$H$593,GCA!F$3:F$593,"",0,1)="","",_xlfn.XLOOKUP($U198,GCA!$H$3:$H$593,GCA!F$3:F$593,"",0,1))</f>
        <v>75.38</v>
      </c>
      <c r="X198" s="3">
        <f>IF(_xlfn.XLOOKUP($U198,GCA!$H$3:$H$593,GCA!G$3:G$593,"",0,1)="","",_xlfn.XLOOKUP($U198,GCA!$H$3:$H$593,GCA!G$3:G$593,"",0,1))</f>
        <v>90.65</v>
      </c>
    </row>
    <row r="199" spans="1:24" ht="13.2">
      <c r="A199" s="49"/>
      <c r="B199" s="49"/>
      <c r="C199" s="48"/>
      <c r="D199" s="49"/>
      <c r="E199" s="47" t="s">
        <v>564</v>
      </c>
      <c r="F199" s="47"/>
      <c r="G199" s="47"/>
      <c r="H199" s="29">
        <f t="shared" ref="H199:P199" si="89">SUM(H181:H198)</f>
        <v>174085.32200000001</v>
      </c>
      <c r="I199" s="29">
        <f t="shared" si="89"/>
        <v>151158.42899999997</v>
      </c>
      <c r="J199" s="29">
        <f t="shared" si="89"/>
        <v>183816.90999999997</v>
      </c>
      <c r="K199" s="29">
        <f t="shared" si="89"/>
        <v>169686.88700000002</v>
      </c>
      <c r="L199" s="29">
        <f t="shared" si="89"/>
        <v>169686.88699999999</v>
      </c>
      <c r="M199" s="30">
        <f t="shared" si="89"/>
        <v>7.1224434190908186</v>
      </c>
      <c r="N199" s="31">
        <f t="shared" si="89"/>
        <v>7</v>
      </c>
      <c r="O199" s="31">
        <f t="shared" si="89"/>
        <v>7</v>
      </c>
      <c r="P199" s="31">
        <f t="shared" si="89"/>
        <v>7</v>
      </c>
      <c r="Q199" s="38"/>
      <c r="R199" s="3" t="str">
        <f t="shared" si="87"/>
        <v>Tiruchirapalli</v>
      </c>
      <c r="S199" s="3">
        <f t="shared" si="71"/>
        <v>0</v>
      </c>
      <c r="T199" s="3">
        <f t="shared" si="71"/>
        <v>0</v>
      </c>
      <c r="U199" s="3" t="str">
        <f t="shared" si="72"/>
        <v>Tiruchirapalli_0_0</v>
      </c>
      <c r="V199" s="3" t="str">
        <f>IF(_xlfn.XLOOKUP($U199,GCA!$H$3:$H$593,GCA!E$3:E$593,"",0,1)="","",_xlfn.XLOOKUP($U199,GCA!$H$3:$H$593,GCA!E$3:E$593,"",0,1))</f>
        <v/>
      </c>
      <c r="W199" s="3" t="str">
        <f>IF(_xlfn.XLOOKUP($U199,GCA!$H$3:$H$593,GCA!F$3:F$593,"",0,1)="","",_xlfn.XLOOKUP($U199,GCA!$H$3:$H$593,GCA!F$3:F$593,"",0,1))</f>
        <v/>
      </c>
      <c r="X199" s="3" t="str">
        <f>IF(_xlfn.XLOOKUP($U199,GCA!$H$3:$H$593,GCA!G$3:G$593,"",0,1)="","",_xlfn.XLOOKUP($U199,GCA!$H$3:$H$593,GCA!G$3:G$593,"",0,1))</f>
        <v/>
      </c>
    </row>
    <row r="200" spans="1:24" ht="13.2">
      <c r="A200" s="49"/>
      <c r="B200" s="49"/>
      <c r="C200" s="48" t="s">
        <v>237</v>
      </c>
      <c r="D200" s="49" t="s">
        <v>532</v>
      </c>
      <c r="E200" s="50">
        <v>1</v>
      </c>
      <c r="F200" s="26" t="s">
        <v>702</v>
      </c>
      <c r="G200" s="26" t="s">
        <v>702</v>
      </c>
      <c r="H200" s="27">
        <f t="shared" ref="H200:J203" si="90">V200</f>
        <v>23968</v>
      </c>
      <c r="I200" s="27">
        <f t="shared" si="90"/>
        <v>23142.15</v>
      </c>
      <c r="J200" s="27">
        <f t="shared" si="90"/>
        <v>24583.165000000001</v>
      </c>
      <c r="K200" s="27">
        <f t="shared" ref="K200:K203" si="91">IFERROR(AVERAGE(H200:J200),"")</f>
        <v>23897.771666666667</v>
      </c>
      <c r="L200" s="65">
        <f>SUM(K200:K202)</f>
        <v>69627.721666666665</v>
      </c>
      <c r="M200" s="67">
        <f>L200*$L$643/$L$642</f>
        <v>2.9225564611308896</v>
      </c>
      <c r="N200" s="65">
        <f t="shared" si="68"/>
        <v>3</v>
      </c>
      <c r="O200" s="65">
        <f t="shared" ref="O200:P203" si="92">N200</f>
        <v>3</v>
      </c>
      <c r="P200" s="65">
        <f t="shared" si="92"/>
        <v>3</v>
      </c>
      <c r="Q200" s="38"/>
      <c r="R200" s="3" t="str">
        <f t="shared" si="70"/>
        <v>Perambalur</v>
      </c>
      <c r="S200" s="3" t="str">
        <f t="shared" si="71"/>
        <v>Alathur</v>
      </c>
      <c r="T200" s="3" t="str">
        <f t="shared" si="71"/>
        <v>Alathur</v>
      </c>
      <c r="U200" s="3" t="str">
        <f t="shared" si="72"/>
        <v>Perambalur_Alathur_Alathur</v>
      </c>
      <c r="V200" s="3">
        <f>IF(_xlfn.XLOOKUP($U200,GCA!$H$3:$H$593,GCA!E$3:E$593,"",0,1)="","",_xlfn.XLOOKUP($U200,GCA!$H$3:$H$593,GCA!E$3:E$593,"",0,1))</f>
        <v>23968</v>
      </c>
      <c r="W200" s="3">
        <f>IF(_xlfn.XLOOKUP($U200,GCA!$H$3:$H$593,GCA!F$3:F$593,"",0,1)="","",_xlfn.XLOOKUP($U200,GCA!$H$3:$H$593,GCA!F$3:F$593,"",0,1))</f>
        <v>23142.15</v>
      </c>
      <c r="X200" s="3">
        <f>IF(_xlfn.XLOOKUP($U200,GCA!$H$3:$H$593,GCA!G$3:G$593,"",0,1)="","",_xlfn.XLOOKUP($U200,GCA!$H$3:$H$593,GCA!G$3:G$593,"",0,1))</f>
        <v>24583.165000000001</v>
      </c>
    </row>
    <row r="201" spans="1:24" ht="13.2">
      <c r="A201" s="49"/>
      <c r="B201" s="49"/>
      <c r="C201" s="48"/>
      <c r="D201" s="49"/>
      <c r="E201" s="50"/>
      <c r="F201" s="26" t="s">
        <v>703</v>
      </c>
      <c r="G201" s="26" t="s">
        <v>704</v>
      </c>
      <c r="H201" s="27">
        <f t="shared" si="90"/>
        <v>28314.965</v>
      </c>
      <c r="I201" s="27">
        <f t="shared" si="90"/>
        <v>27983.697</v>
      </c>
      <c r="J201" s="27">
        <f t="shared" si="90"/>
        <v>28129.251</v>
      </c>
      <c r="K201" s="27">
        <f t="shared" si="91"/>
        <v>28142.637666666666</v>
      </c>
      <c r="L201" s="65"/>
      <c r="M201" s="67">
        <f>L201*$L$643/$L$642</f>
        <v>0</v>
      </c>
      <c r="N201" s="65" t="str">
        <f t="shared" si="68"/>
        <v/>
      </c>
      <c r="O201" s="65" t="str">
        <f t="shared" si="92"/>
        <v/>
      </c>
      <c r="P201" s="65" t="str">
        <f t="shared" si="92"/>
        <v/>
      </c>
      <c r="Q201" s="38"/>
      <c r="R201" s="3" t="str">
        <f t="shared" ref="R201:R204" si="93">R200</f>
        <v>Perambalur</v>
      </c>
      <c r="S201" s="3" t="str">
        <f t="shared" si="71"/>
        <v>Kunnam</v>
      </c>
      <c r="T201" s="3" t="str">
        <f t="shared" si="71"/>
        <v>Veppur</v>
      </c>
      <c r="U201" s="3" t="str">
        <f t="shared" si="72"/>
        <v>Perambalur_Kunnam_Veppur</v>
      </c>
      <c r="V201" s="3">
        <f>IF(_xlfn.XLOOKUP($U201,GCA!$H$3:$H$593,GCA!E$3:E$593,"",0,1)="","",_xlfn.XLOOKUP($U201,GCA!$H$3:$H$593,GCA!E$3:E$593,"",0,1))</f>
        <v>28314.965</v>
      </c>
      <c r="W201" s="3">
        <f>IF(_xlfn.XLOOKUP($U201,GCA!$H$3:$H$593,GCA!F$3:F$593,"",0,1)="","",_xlfn.XLOOKUP($U201,GCA!$H$3:$H$593,GCA!F$3:F$593,"",0,1))</f>
        <v>27983.697</v>
      </c>
      <c r="X201" s="3">
        <f>IF(_xlfn.XLOOKUP($U201,GCA!$H$3:$H$593,GCA!G$3:G$593,"",0,1)="","",_xlfn.XLOOKUP($U201,GCA!$H$3:$H$593,GCA!G$3:G$593,"",0,1))</f>
        <v>28129.251</v>
      </c>
    </row>
    <row r="202" spans="1:24" ht="13.2">
      <c r="A202" s="49"/>
      <c r="B202" s="49"/>
      <c r="C202" s="48"/>
      <c r="D202" s="49"/>
      <c r="E202" s="50"/>
      <c r="F202" s="26" t="s">
        <v>237</v>
      </c>
      <c r="G202" s="26" t="s">
        <v>237</v>
      </c>
      <c r="H202" s="27">
        <f t="shared" si="90"/>
        <v>17739.715</v>
      </c>
      <c r="I202" s="27">
        <f t="shared" si="90"/>
        <v>16990.327000000001</v>
      </c>
      <c r="J202" s="27">
        <f t="shared" si="90"/>
        <v>18031.895</v>
      </c>
      <c r="K202" s="27">
        <f t="shared" si="91"/>
        <v>17587.312333333335</v>
      </c>
      <c r="L202" s="65"/>
      <c r="M202" s="67">
        <f>L202*$L$643/$L$642</f>
        <v>0</v>
      </c>
      <c r="N202" s="65" t="str">
        <f t="shared" si="68"/>
        <v/>
      </c>
      <c r="O202" s="65" t="str">
        <f t="shared" si="92"/>
        <v/>
      </c>
      <c r="P202" s="65" t="str">
        <f t="shared" si="92"/>
        <v/>
      </c>
      <c r="Q202" s="38"/>
      <c r="R202" s="3" t="str">
        <f t="shared" si="93"/>
        <v>Perambalur</v>
      </c>
      <c r="S202" s="3" t="str">
        <f t="shared" si="71"/>
        <v>Perambalur</v>
      </c>
      <c r="T202" s="3" t="str">
        <f t="shared" si="71"/>
        <v>Perambalur</v>
      </c>
      <c r="U202" s="3" t="str">
        <f t="shared" si="72"/>
        <v>Perambalur_Perambalur_Perambalur</v>
      </c>
      <c r="V202" s="3">
        <f>IF(_xlfn.XLOOKUP($U202,GCA!$H$3:$H$593,GCA!E$3:E$593,"",0,1)="","",_xlfn.XLOOKUP($U202,GCA!$H$3:$H$593,GCA!E$3:E$593,"",0,1))</f>
        <v>17739.715</v>
      </c>
      <c r="W202" s="3">
        <f>IF(_xlfn.XLOOKUP($U202,GCA!$H$3:$H$593,GCA!F$3:F$593,"",0,1)="","",_xlfn.XLOOKUP($U202,GCA!$H$3:$H$593,GCA!F$3:F$593,"",0,1))</f>
        <v>16990.327000000001</v>
      </c>
      <c r="X202" s="3">
        <f>IF(_xlfn.XLOOKUP($U202,GCA!$H$3:$H$593,GCA!G$3:G$593,"",0,1)="","",_xlfn.XLOOKUP($U202,GCA!$H$3:$H$593,GCA!G$3:G$593,"",0,1))</f>
        <v>18031.895</v>
      </c>
    </row>
    <row r="203" spans="1:24" ht="13.2">
      <c r="A203" s="49"/>
      <c r="B203" s="49"/>
      <c r="C203" s="48"/>
      <c r="D203" s="49"/>
      <c r="E203" s="25">
        <v>2</v>
      </c>
      <c r="F203" s="26" t="s">
        <v>705</v>
      </c>
      <c r="G203" s="26" t="s">
        <v>705</v>
      </c>
      <c r="H203" s="27">
        <f t="shared" si="90"/>
        <v>40507.230000000003</v>
      </c>
      <c r="I203" s="27">
        <f t="shared" si="90"/>
        <v>39209.415000000001</v>
      </c>
      <c r="J203" s="27">
        <f t="shared" si="90"/>
        <v>39551.495000000003</v>
      </c>
      <c r="K203" s="27">
        <f t="shared" si="91"/>
        <v>39756.046666666669</v>
      </c>
      <c r="L203" s="27">
        <f>SUM(K203)</f>
        <v>39756.046666666669</v>
      </c>
      <c r="M203" s="28">
        <f>L203*$L$643/$L$642</f>
        <v>1.6687217141891906</v>
      </c>
      <c r="N203" s="27">
        <f t="shared" si="68"/>
        <v>2</v>
      </c>
      <c r="O203" s="27">
        <f t="shared" si="92"/>
        <v>2</v>
      </c>
      <c r="P203" s="27">
        <f t="shared" si="92"/>
        <v>2</v>
      </c>
      <c r="Q203" s="38"/>
      <c r="R203" s="3" t="str">
        <f t="shared" si="93"/>
        <v>Perambalur</v>
      </c>
      <c r="S203" s="3" t="str">
        <f t="shared" si="71"/>
        <v>Veppanthattai</v>
      </c>
      <c r="T203" s="3" t="str">
        <f t="shared" si="71"/>
        <v>Veppanthattai</v>
      </c>
      <c r="U203" s="3" t="str">
        <f t="shared" si="72"/>
        <v>Perambalur_Veppanthattai_Veppanthattai</v>
      </c>
      <c r="V203" s="3">
        <f>IF(_xlfn.XLOOKUP($U203,GCA!$H$3:$H$593,GCA!E$3:E$593,"",0,1)="","",_xlfn.XLOOKUP($U203,GCA!$H$3:$H$593,GCA!E$3:E$593,"",0,1))</f>
        <v>40507.230000000003</v>
      </c>
      <c r="W203" s="3">
        <f>IF(_xlfn.XLOOKUP($U203,GCA!$H$3:$H$593,GCA!F$3:F$593,"",0,1)="","",_xlfn.XLOOKUP($U203,GCA!$H$3:$H$593,GCA!F$3:F$593,"",0,1))</f>
        <v>39209.415000000001</v>
      </c>
      <c r="X203" s="3">
        <f>IF(_xlfn.XLOOKUP($U203,GCA!$H$3:$H$593,GCA!G$3:G$593,"",0,1)="","",_xlfn.XLOOKUP($U203,GCA!$H$3:$H$593,GCA!G$3:G$593,"",0,1))</f>
        <v>39551.495000000003</v>
      </c>
    </row>
    <row r="204" spans="1:24" ht="13.2">
      <c r="A204" s="49"/>
      <c r="B204" s="49"/>
      <c r="C204" s="48"/>
      <c r="D204" s="49"/>
      <c r="E204" s="47" t="s">
        <v>564</v>
      </c>
      <c r="F204" s="47"/>
      <c r="G204" s="47"/>
      <c r="H204" s="29">
        <f t="shared" ref="H204:P204" si="94">SUM(H200:H203)</f>
        <v>110529.91</v>
      </c>
      <c r="I204" s="29">
        <f t="shared" si="94"/>
        <v>107325.58900000001</v>
      </c>
      <c r="J204" s="29">
        <f t="shared" si="94"/>
        <v>110295.80600000001</v>
      </c>
      <c r="K204" s="29">
        <f t="shared" si="94"/>
        <v>109383.76833333334</v>
      </c>
      <c r="L204" s="29">
        <f t="shared" si="94"/>
        <v>109383.76833333334</v>
      </c>
      <c r="M204" s="30">
        <f t="shared" si="94"/>
        <v>4.5912781753200802</v>
      </c>
      <c r="N204" s="31">
        <f t="shared" si="94"/>
        <v>5</v>
      </c>
      <c r="O204" s="31">
        <f t="shared" si="94"/>
        <v>5</v>
      </c>
      <c r="P204" s="31">
        <f t="shared" si="94"/>
        <v>5</v>
      </c>
      <c r="Q204" s="38"/>
      <c r="R204" s="3" t="str">
        <f t="shared" si="93"/>
        <v>Perambalur</v>
      </c>
      <c r="S204" s="3">
        <f t="shared" si="71"/>
        <v>0</v>
      </c>
      <c r="T204" s="3">
        <f t="shared" si="71"/>
        <v>0</v>
      </c>
      <c r="U204" s="3" t="str">
        <f t="shared" si="72"/>
        <v>Perambalur_0_0</v>
      </c>
      <c r="V204" s="3" t="str">
        <f>IF(_xlfn.XLOOKUP($U204,GCA!$H$3:$H$593,GCA!E$3:E$593,"",0,1)="","",_xlfn.XLOOKUP($U204,GCA!$H$3:$H$593,GCA!E$3:E$593,"",0,1))</f>
        <v/>
      </c>
      <c r="W204" s="3" t="str">
        <f>IF(_xlfn.XLOOKUP($U204,GCA!$H$3:$H$593,GCA!F$3:F$593,"",0,1)="","",_xlfn.XLOOKUP($U204,GCA!$H$3:$H$593,GCA!F$3:F$593,"",0,1))</f>
        <v/>
      </c>
      <c r="X204" s="3" t="str">
        <f>IF(_xlfn.XLOOKUP($U204,GCA!$H$3:$H$593,GCA!G$3:G$593,"",0,1)="","",_xlfn.XLOOKUP($U204,GCA!$H$3:$H$593,GCA!G$3:G$593,"",0,1))</f>
        <v/>
      </c>
    </row>
    <row r="205" spans="1:24" ht="13.2">
      <c r="A205" s="49"/>
      <c r="B205" s="49"/>
      <c r="C205" s="48" t="s">
        <v>238</v>
      </c>
      <c r="D205" s="49" t="s">
        <v>533</v>
      </c>
      <c r="E205" s="50">
        <v>1</v>
      </c>
      <c r="F205" s="26" t="s">
        <v>706</v>
      </c>
      <c r="G205" s="26" t="s">
        <v>706</v>
      </c>
      <c r="H205" s="27">
        <f t="shared" ref="H205:J210" si="95">V205</f>
        <v>21571.296999999999</v>
      </c>
      <c r="I205" s="27">
        <f t="shared" si="95"/>
        <v>21937.5</v>
      </c>
      <c r="J205" s="27">
        <f t="shared" si="95"/>
        <v>21630.84</v>
      </c>
      <c r="K205" s="27">
        <f t="shared" ref="K205:K210" si="96">IFERROR(AVERAGE(H205:J205),"")</f>
        <v>21713.212333333333</v>
      </c>
      <c r="L205" s="65">
        <f>SUM(K205:K207)</f>
        <v>58350.755666666664</v>
      </c>
      <c r="M205" s="67">
        <f t="shared" ref="M205:M210" si="97">L205*$L$643/$L$642</f>
        <v>2.449216689896764</v>
      </c>
      <c r="N205" s="65">
        <f t="shared" si="68"/>
        <v>2</v>
      </c>
      <c r="O205" s="65">
        <f t="shared" ref="O205:P210" si="98">N205</f>
        <v>2</v>
      </c>
      <c r="P205" s="65">
        <f t="shared" si="98"/>
        <v>2</v>
      </c>
      <c r="Q205" s="38"/>
      <c r="R205" s="3" t="str">
        <f t="shared" si="70"/>
        <v>Ariyalur</v>
      </c>
      <c r="S205" s="3" t="str">
        <f t="shared" si="71"/>
        <v>Andimadam</v>
      </c>
      <c r="T205" s="3" t="str">
        <f t="shared" si="71"/>
        <v>Andimadam</v>
      </c>
      <c r="U205" s="3" t="str">
        <f t="shared" si="72"/>
        <v>Ariyalur_Andimadam_Andimadam</v>
      </c>
      <c r="V205" s="3">
        <f>IF(_xlfn.XLOOKUP($U205,GCA!$H$3:$H$593,GCA!E$3:E$593,"",0,1)="","",_xlfn.XLOOKUP($U205,GCA!$H$3:$H$593,GCA!E$3:E$593,"",0,1))</f>
        <v>21571.296999999999</v>
      </c>
      <c r="W205" s="3">
        <f>IF(_xlfn.XLOOKUP($U205,GCA!$H$3:$H$593,GCA!F$3:F$593,"",0,1)="","",_xlfn.XLOOKUP($U205,GCA!$H$3:$H$593,GCA!F$3:F$593,"",0,1))</f>
        <v>21937.5</v>
      </c>
      <c r="X205" s="3">
        <f>IF(_xlfn.XLOOKUP($U205,GCA!$H$3:$H$593,GCA!G$3:G$593,"",0,1)="","",_xlfn.XLOOKUP($U205,GCA!$H$3:$H$593,GCA!G$3:G$593,"",0,1))</f>
        <v>21630.84</v>
      </c>
    </row>
    <row r="206" spans="1:24" ht="13.2">
      <c r="A206" s="49"/>
      <c r="B206" s="49"/>
      <c r="C206" s="48"/>
      <c r="D206" s="49"/>
      <c r="E206" s="50"/>
      <c r="F206" s="26" t="s">
        <v>238</v>
      </c>
      <c r="G206" s="26" t="s">
        <v>238</v>
      </c>
      <c r="H206" s="27">
        <f t="shared" si="95"/>
        <v>15329.844999999999</v>
      </c>
      <c r="I206" s="27">
        <f t="shared" si="95"/>
        <v>15690.225</v>
      </c>
      <c r="J206" s="27">
        <f t="shared" si="95"/>
        <v>15423.815000000001</v>
      </c>
      <c r="K206" s="27">
        <f t="shared" si="96"/>
        <v>15481.295</v>
      </c>
      <c r="L206" s="65"/>
      <c r="M206" s="67">
        <f t="shared" si="97"/>
        <v>0</v>
      </c>
      <c r="N206" s="65" t="str">
        <f t="shared" si="68"/>
        <v/>
      </c>
      <c r="O206" s="65" t="str">
        <f t="shared" si="98"/>
        <v/>
      </c>
      <c r="P206" s="65" t="str">
        <f t="shared" si="98"/>
        <v/>
      </c>
      <c r="Q206" s="38"/>
      <c r="R206" s="3" t="str">
        <f t="shared" ref="R206:R211" si="99">R205</f>
        <v>Ariyalur</v>
      </c>
      <c r="S206" s="3" t="str">
        <f t="shared" si="71"/>
        <v>Ariyalur</v>
      </c>
      <c r="T206" s="3" t="str">
        <f t="shared" si="71"/>
        <v>Ariyalur</v>
      </c>
      <c r="U206" s="3" t="str">
        <f t="shared" si="72"/>
        <v>Ariyalur_Ariyalur_Ariyalur</v>
      </c>
      <c r="V206" s="3">
        <f>IF(_xlfn.XLOOKUP($U206,GCA!$H$3:$H$593,GCA!E$3:E$593,"",0,1)="","",_xlfn.XLOOKUP($U206,GCA!$H$3:$H$593,GCA!E$3:E$593,"",0,1))</f>
        <v>15329.844999999999</v>
      </c>
      <c r="W206" s="3">
        <f>IF(_xlfn.XLOOKUP($U206,GCA!$H$3:$H$593,GCA!F$3:F$593,"",0,1)="","",_xlfn.XLOOKUP($U206,GCA!$H$3:$H$593,GCA!F$3:F$593,"",0,1))</f>
        <v>15690.225</v>
      </c>
      <c r="X206" s="3">
        <f>IF(_xlfn.XLOOKUP($U206,GCA!$H$3:$H$593,GCA!G$3:G$593,"",0,1)="","",_xlfn.XLOOKUP($U206,GCA!$H$3:$H$593,GCA!G$3:G$593,"",0,1))</f>
        <v>15423.815000000001</v>
      </c>
    </row>
    <row r="207" spans="1:24" ht="13.2">
      <c r="A207" s="49"/>
      <c r="B207" s="49"/>
      <c r="C207" s="48"/>
      <c r="D207" s="49"/>
      <c r="E207" s="50"/>
      <c r="F207" s="26" t="s">
        <v>238</v>
      </c>
      <c r="G207" s="26" t="s">
        <v>707</v>
      </c>
      <c r="H207" s="27">
        <f t="shared" si="95"/>
        <v>21167.06</v>
      </c>
      <c r="I207" s="27">
        <f t="shared" si="95"/>
        <v>20610.330000000002</v>
      </c>
      <c r="J207" s="27">
        <f t="shared" si="95"/>
        <v>21691.355</v>
      </c>
      <c r="K207" s="27">
        <f t="shared" si="96"/>
        <v>21156.248333333333</v>
      </c>
      <c r="L207" s="65"/>
      <c r="M207" s="67">
        <f t="shared" si="97"/>
        <v>0</v>
      </c>
      <c r="N207" s="65" t="str">
        <f t="shared" si="68"/>
        <v/>
      </c>
      <c r="O207" s="65" t="str">
        <f t="shared" si="98"/>
        <v/>
      </c>
      <c r="P207" s="65" t="str">
        <f t="shared" si="98"/>
        <v/>
      </c>
      <c r="Q207" s="38"/>
      <c r="R207" s="3" t="str">
        <f t="shared" si="99"/>
        <v>Ariyalur</v>
      </c>
      <c r="S207" s="3" t="str">
        <f t="shared" si="71"/>
        <v>Ariyalur</v>
      </c>
      <c r="T207" s="3" t="str">
        <f t="shared" si="71"/>
        <v>Thirumanur</v>
      </c>
      <c r="U207" s="3" t="str">
        <f t="shared" si="72"/>
        <v>Ariyalur_Ariyalur_Thirumanur</v>
      </c>
      <c r="V207" s="3">
        <f>IF(_xlfn.XLOOKUP($U207,GCA!$H$3:$H$593,GCA!E$3:E$593,"",0,1)="","",_xlfn.XLOOKUP($U207,GCA!$H$3:$H$593,GCA!E$3:E$593,"",0,1))</f>
        <v>21167.06</v>
      </c>
      <c r="W207" s="3">
        <f>IF(_xlfn.XLOOKUP($U207,GCA!$H$3:$H$593,GCA!F$3:F$593,"",0,1)="","",_xlfn.XLOOKUP($U207,GCA!$H$3:$H$593,GCA!F$3:F$593,"",0,1))</f>
        <v>20610.330000000002</v>
      </c>
      <c r="X207" s="3">
        <f>IF(_xlfn.XLOOKUP($U207,GCA!$H$3:$H$593,GCA!G$3:G$593,"",0,1)="","",_xlfn.XLOOKUP($U207,GCA!$H$3:$H$593,GCA!G$3:G$593,"",0,1))</f>
        <v>21691.355</v>
      </c>
    </row>
    <row r="208" spans="1:24" ht="13.2">
      <c r="A208" s="49"/>
      <c r="B208" s="49"/>
      <c r="C208" s="48"/>
      <c r="D208" s="49"/>
      <c r="E208" s="50">
        <v>2</v>
      </c>
      <c r="F208" s="26" t="s">
        <v>708</v>
      </c>
      <c r="G208" s="26" t="s">
        <v>708</v>
      </c>
      <c r="H208" s="27">
        <f t="shared" si="95"/>
        <v>23545.394</v>
      </c>
      <c r="I208" s="27">
        <f t="shared" si="95"/>
        <v>23545.42</v>
      </c>
      <c r="J208" s="27">
        <f t="shared" si="95"/>
        <v>23514.965</v>
      </c>
      <c r="K208" s="27">
        <f t="shared" si="96"/>
        <v>23535.259666666665</v>
      </c>
      <c r="L208" s="65">
        <f>SUM(K208:K210)</f>
        <v>60334.224666666676</v>
      </c>
      <c r="M208" s="67">
        <f t="shared" si="97"/>
        <v>2.5324708881190507</v>
      </c>
      <c r="N208" s="65">
        <f t="shared" si="68"/>
        <v>3</v>
      </c>
      <c r="O208" s="65">
        <f t="shared" si="98"/>
        <v>3</v>
      </c>
      <c r="P208" s="65">
        <f t="shared" si="98"/>
        <v>3</v>
      </c>
      <c r="Q208" s="38"/>
      <c r="R208" s="3" t="str">
        <f t="shared" si="99"/>
        <v>Ariyalur</v>
      </c>
      <c r="S208" s="3" t="str">
        <f t="shared" si="71"/>
        <v>Sendurai</v>
      </c>
      <c r="T208" s="3" t="str">
        <f t="shared" si="71"/>
        <v>Sendurai</v>
      </c>
      <c r="U208" s="3" t="str">
        <f t="shared" si="72"/>
        <v>Ariyalur_Sendurai_Sendurai</v>
      </c>
      <c r="V208" s="3">
        <f>IF(_xlfn.XLOOKUP($U208,GCA!$H$3:$H$593,GCA!E$3:E$593,"",0,1)="","",_xlfn.XLOOKUP($U208,GCA!$H$3:$H$593,GCA!E$3:E$593,"",0,1))</f>
        <v>23545.394</v>
      </c>
      <c r="W208" s="3">
        <f>IF(_xlfn.XLOOKUP($U208,GCA!$H$3:$H$593,GCA!F$3:F$593,"",0,1)="","",_xlfn.XLOOKUP($U208,GCA!$H$3:$H$593,GCA!F$3:F$593,"",0,1))</f>
        <v>23545.42</v>
      </c>
      <c r="X208" s="3">
        <f>IF(_xlfn.XLOOKUP($U208,GCA!$H$3:$H$593,GCA!G$3:G$593,"",0,1)="","",_xlfn.XLOOKUP($U208,GCA!$H$3:$H$593,GCA!G$3:G$593,"",0,1))</f>
        <v>23514.965</v>
      </c>
    </row>
    <row r="209" spans="1:24" ht="13.2">
      <c r="A209" s="49"/>
      <c r="B209" s="49"/>
      <c r="C209" s="48"/>
      <c r="D209" s="49"/>
      <c r="E209" s="50"/>
      <c r="F209" s="26" t="s">
        <v>709</v>
      </c>
      <c r="G209" s="26" t="s">
        <v>710</v>
      </c>
      <c r="H209" s="27">
        <f t="shared" si="95"/>
        <v>18012.39</v>
      </c>
      <c r="I209" s="27">
        <f t="shared" si="95"/>
        <v>16495.535</v>
      </c>
      <c r="J209" s="27">
        <f t="shared" si="95"/>
        <v>16649.215</v>
      </c>
      <c r="K209" s="27">
        <f t="shared" si="96"/>
        <v>17052.38</v>
      </c>
      <c r="L209" s="65"/>
      <c r="M209" s="67">
        <f t="shared" si="97"/>
        <v>0</v>
      </c>
      <c r="N209" s="65" t="str">
        <f t="shared" si="68"/>
        <v/>
      </c>
      <c r="O209" s="65" t="str">
        <f t="shared" si="98"/>
        <v/>
      </c>
      <c r="P209" s="65" t="str">
        <f t="shared" si="98"/>
        <v/>
      </c>
      <c r="Q209" s="38"/>
      <c r="R209" s="3" t="str">
        <f t="shared" si="99"/>
        <v>Ariyalur</v>
      </c>
      <c r="S209" s="3" t="str">
        <f t="shared" si="71"/>
        <v>Udayarpalayam</v>
      </c>
      <c r="T209" s="3" t="str">
        <f t="shared" si="71"/>
        <v>Jayankondam</v>
      </c>
      <c r="U209" s="3" t="str">
        <f t="shared" si="72"/>
        <v>Ariyalur_Udayarpalayam_Jayankondam</v>
      </c>
      <c r="V209" s="3">
        <f>IF(_xlfn.XLOOKUP($U209,GCA!$H$3:$H$593,GCA!E$3:E$593,"",0,1)="","",_xlfn.XLOOKUP($U209,GCA!$H$3:$H$593,GCA!E$3:E$593,"",0,1))</f>
        <v>18012.39</v>
      </c>
      <c r="W209" s="3">
        <f>IF(_xlfn.XLOOKUP($U209,GCA!$H$3:$H$593,GCA!F$3:F$593,"",0,1)="","",_xlfn.XLOOKUP($U209,GCA!$H$3:$H$593,GCA!F$3:F$593,"",0,1))</f>
        <v>16495.535</v>
      </c>
      <c r="X209" s="3">
        <f>IF(_xlfn.XLOOKUP($U209,GCA!$H$3:$H$593,GCA!G$3:G$593,"",0,1)="","",_xlfn.XLOOKUP($U209,GCA!$H$3:$H$593,GCA!G$3:G$593,"",0,1))</f>
        <v>16649.215</v>
      </c>
    </row>
    <row r="210" spans="1:24" ht="13.2">
      <c r="A210" s="49"/>
      <c r="B210" s="49"/>
      <c r="C210" s="48"/>
      <c r="D210" s="49"/>
      <c r="E210" s="50"/>
      <c r="F210" s="26" t="s">
        <v>709</v>
      </c>
      <c r="G210" s="26" t="s">
        <v>711</v>
      </c>
      <c r="H210" s="27">
        <f t="shared" si="95"/>
        <v>19559.490000000002</v>
      </c>
      <c r="I210" s="27">
        <f t="shared" si="95"/>
        <v>19847.685000000001</v>
      </c>
      <c r="J210" s="27">
        <f t="shared" si="95"/>
        <v>19832.580000000002</v>
      </c>
      <c r="K210" s="27">
        <f t="shared" si="96"/>
        <v>19746.585000000003</v>
      </c>
      <c r="L210" s="65"/>
      <c r="M210" s="67">
        <f t="shared" si="97"/>
        <v>0</v>
      </c>
      <c r="N210" s="65" t="str">
        <f t="shared" ref="N210:N245" si="100">IF(M210&gt;=2, ROUND(M210,0), IF(M210&gt;1.1,2,""))</f>
        <v/>
      </c>
      <c r="O210" s="65" t="str">
        <f t="shared" si="98"/>
        <v/>
      </c>
      <c r="P210" s="65" t="str">
        <f t="shared" si="98"/>
        <v/>
      </c>
      <c r="Q210" s="38"/>
      <c r="R210" s="3" t="str">
        <f t="shared" si="99"/>
        <v>Ariyalur</v>
      </c>
      <c r="S210" s="3" t="str">
        <f t="shared" ref="S210:T251" si="101">F210</f>
        <v>Udayarpalayam</v>
      </c>
      <c r="T210" s="3" t="str">
        <f t="shared" si="101"/>
        <v>T.Palur</v>
      </c>
      <c r="U210" s="3" t="str">
        <f t="shared" ref="U210:U273" si="102">CONCATENATE(R210,"_",S210,"_",T210)</f>
        <v>Ariyalur_Udayarpalayam_T.Palur</v>
      </c>
      <c r="V210" s="3">
        <f>IF(_xlfn.XLOOKUP($U210,GCA!$H$3:$H$593,GCA!E$3:E$593,"",0,1)="","",_xlfn.XLOOKUP($U210,GCA!$H$3:$H$593,GCA!E$3:E$593,"",0,1))</f>
        <v>19559.490000000002</v>
      </c>
      <c r="W210" s="3">
        <f>IF(_xlfn.XLOOKUP($U210,GCA!$H$3:$H$593,GCA!F$3:F$593,"",0,1)="","",_xlfn.XLOOKUP($U210,GCA!$H$3:$H$593,GCA!F$3:F$593,"",0,1))</f>
        <v>19847.685000000001</v>
      </c>
      <c r="X210" s="3">
        <f>IF(_xlfn.XLOOKUP($U210,GCA!$H$3:$H$593,GCA!G$3:G$593,"",0,1)="","",_xlfn.XLOOKUP($U210,GCA!$H$3:$H$593,GCA!G$3:G$593,"",0,1))</f>
        <v>19832.580000000002</v>
      </c>
    </row>
    <row r="211" spans="1:24" ht="13.2">
      <c r="A211" s="49"/>
      <c r="B211" s="49"/>
      <c r="C211" s="48"/>
      <c r="D211" s="49"/>
      <c r="E211" s="47" t="s">
        <v>564</v>
      </c>
      <c r="F211" s="47"/>
      <c r="G211" s="47"/>
      <c r="H211" s="29">
        <f t="shared" ref="H211:P211" si="103">SUM(H205:H210)</f>
        <v>119185.47600000001</v>
      </c>
      <c r="I211" s="29">
        <f t="shared" si="103"/>
        <v>118126.69500000001</v>
      </c>
      <c r="J211" s="29">
        <f t="shared" si="103"/>
        <v>118742.76999999999</v>
      </c>
      <c r="K211" s="29">
        <f t="shared" si="103"/>
        <v>118684.98033333334</v>
      </c>
      <c r="L211" s="29">
        <f t="shared" si="103"/>
        <v>118684.98033333334</v>
      </c>
      <c r="M211" s="30">
        <f t="shared" si="103"/>
        <v>4.9816875780158147</v>
      </c>
      <c r="N211" s="31">
        <f t="shared" si="103"/>
        <v>5</v>
      </c>
      <c r="O211" s="31">
        <f t="shared" si="103"/>
        <v>5</v>
      </c>
      <c r="P211" s="31">
        <f t="shared" si="103"/>
        <v>5</v>
      </c>
      <c r="Q211" s="38"/>
      <c r="R211" s="3" t="str">
        <f t="shared" si="99"/>
        <v>Ariyalur</v>
      </c>
      <c r="S211" s="3">
        <f t="shared" si="101"/>
        <v>0</v>
      </c>
      <c r="T211" s="3">
        <f t="shared" si="101"/>
        <v>0</v>
      </c>
      <c r="U211" s="3" t="str">
        <f t="shared" si="102"/>
        <v>Ariyalur_0_0</v>
      </c>
      <c r="V211" s="3" t="str">
        <f>IF(_xlfn.XLOOKUP($U211,GCA!$H$3:$H$593,GCA!E$3:E$593,"",0,1)="","",_xlfn.XLOOKUP($U211,GCA!$H$3:$H$593,GCA!E$3:E$593,"",0,1))</f>
        <v/>
      </c>
      <c r="W211" s="3" t="str">
        <f>IF(_xlfn.XLOOKUP($U211,GCA!$H$3:$H$593,GCA!F$3:F$593,"",0,1)="","",_xlfn.XLOOKUP($U211,GCA!$H$3:$H$593,GCA!F$3:F$593,"",0,1))</f>
        <v/>
      </c>
      <c r="X211" s="3" t="str">
        <f>IF(_xlfn.XLOOKUP($U211,GCA!$H$3:$H$593,GCA!G$3:G$593,"",0,1)="","",_xlfn.XLOOKUP($U211,GCA!$H$3:$H$593,GCA!G$3:G$593,"",0,1))</f>
        <v/>
      </c>
    </row>
    <row r="212" spans="1:24" ht="13.2">
      <c r="A212" s="49"/>
      <c r="B212" s="49"/>
      <c r="C212" s="54" t="s">
        <v>521</v>
      </c>
      <c r="D212" s="54"/>
      <c r="E212" s="54"/>
      <c r="F212" s="54"/>
      <c r="G212" s="54"/>
      <c r="H212" s="32">
        <f t="shared" ref="H212:P212" si="104">SUM(H211,H204,H199,H180)</f>
        <v>490820.21299999999</v>
      </c>
      <c r="I212" s="32">
        <f t="shared" si="104"/>
        <v>455046.783</v>
      </c>
      <c r="J212" s="32">
        <f t="shared" si="104"/>
        <v>496590.85100000002</v>
      </c>
      <c r="K212" s="32">
        <f t="shared" si="104"/>
        <v>480819.28233333334</v>
      </c>
      <c r="L212" s="32">
        <f t="shared" si="104"/>
        <v>480819.28233333334</v>
      </c>
      <c r="M212" s="46">
        <f t="shared" si="104"/>
        <v>20.181925626504189</v>
      </c>
      <c r="N212" s="32">
        <f t="shared" si="104"/>
        <v>20</v>
      </c>
      <c r="O212" s="32">
        <f t="shared" si="104"/>
        <v>20</v>
      </c>
      <c r="P212" s="32">
        <f t="shared" si="104"/>
        <v>20</v>
      </c>
      <c r="Q212" s="38"/>
      <c r="R212" s="3" t="str">
        <f t="shared" ref="R212:R241" si="105">C212</f>
        <v>SRO TOTAL</v>
      </c>
      <c r="S212" s="3">
        <f t="shared" si="101"/>
        <v>0</v>
      </c>
      <c r="T212" s="3">
        <f t="shared" si="101"/>
        <v>0</v>
      </c>
      <c r="U212" s="3" t="str">
        <f t="shared" si="102"/>
        <v>SRO TOTAL_0_0</v>
      </c>
      <c r="V212" s="3" t="str">
        <f>IF(_xlfn.XLOOKUP($U212,GCA!$H$3:$H$593,GCA!E$3:E$593,"",0,1)="","",_xlfn.XLOOKUP($U212,GCA!$H$3:$H$593,GCA!E$3:E$593,"",0,1))</f>
        <v/>
      </c>
      <c r="W212" s="3" t="str">
        <f>IF(_xlfn.XLOOKUP($U212,GCA!$H$3:$H$593,GCA!F$3:F$593,"",0,1)="","",_xlfn.XLOOKUP($U212,GCA!$H$3:$H$593,GCA!F$3:F$593,"",0,1))</f>
        <v/>
      </c>
      <c r="X212" s="3" t="str">
        <f>IF(_xlfn.XLOOKUP($U212,GCA!$H$3:$H$593,GCA!G$3:G$593,"",0,1)="","",_xlfn.XLOOKUP($U212,GCA!$H$3:$H$593,GCA!G$3:G$593,"",0,1))</f>
        <v/>
      </c>
    </row>
    <row r="213" spans="1:24" ht="13.2">
      <c r="A213" s="49"/>
      <c r="B213" s="55" t="s">
        <v>522</v>
      </c>
      <c r="C213" s="55"/>
      <c r="D213" s="55"/>
      <c r="E213" s="55"/>
      <c r="F213" s="55"/>
      <c r="G213" s="55"/>
      <c r="H213" s="43">
        <f t="shared" ref="H213:P213" si="106">SUM(H212,H166,H118,H73)</f>
        <v>2234407.6680000001</v>
      </c>
      <c r="I213" s="43">
        <f t="shared" si="106"/>
        <v>2145506.6859999998</v>
      </c>
      <c r="J213" s="43">
        <f t="shared" si="106"/>
        <v>2212378.2719999999</v>
      </c>
      <c r="K213" s="43">
        <f t="shared" si="106"/>
        <v>2197430.8753333334</v>
      </c>
      <c r="L213" s="43">
        <f t="shared" si="106"/>
        <v>2197430.8753333334</v>
      </c>
      <c r="M213" s="44">
        <f t="shared" si="106"/>
        <v>92.235041573512248</v>
      </c>
      <c r="N213" s="45">
        <f t="shared" si="106"/>
        <v>92</v>
      </c>
      <c r="O213" s="45">
        <f t="shared" si="106"/>
        <v>92</v>
      </c>
      <c r="P213" s="45">
        <f t="shared" si="106"/>
        <v>92</v>
      </c>
      <c r="Q213" s="38"/>
      <c r="R213" s="3" t="str">
        <f>R212</f>
        <v>SRO TOTAL</v>
      </c>
      <c r="S213" s="3">
        <f t="shared" si="101"/>
        <v>0</v>
      </c>
      <c r="T213" s="3">
        <f t="shared" si="101"/>
        <v>0</v>
      </c>
      <c r="U213" s="3" t="str">
        <f t="shared" si="102"/>
        <v>SRO TOTAL_0_0</v>
      </c>
      <c r="V213" s="3" t="str">
        <f>IF(_xlfn.XLOOKUP($U213,GCA!$H$3:$H$593,GCA!E$3:E$593,"",0,1)="","",_xlfn.XLOOKUP($U213,GCA!$H$3:$H$593,GCA!E$3:E$593,"",0,1))</f>
        <v/>
      </c>
      <c r="W213" s="3" t="str">
        <f>IF(_xlfn.XLOOKUP($U213,GCA!$H$3:$H$593,GCA!F$3:F$593,"",0,1)="","",_xlfn.XLOOKUP($U213,GCA!$H$3:$H$593,GCA!F$3:F$593,"",0,1))</f>
        <v/>
      </c>
      <c r="X213" s="3" t="str">
        <f>IF(_xlfn.XLOOKUP($U213,GCA!$H$3:$H$593,GCA!G$3:G$593,"",0,1)="","",_xlfn.XLOOKUP($U213,GCA!$H$3:$H$593,GCA!G$3:G$593,"",0,1))</f>
        <v/>
      </c>
    </row>
    <row r="214" spans="1:24" ht="13.2">
      <c r="A214" s="49" t="s">
        <v>260</v>
      </c>
      <c r="B214" s="49" t="s">
        <v>260</v>
      </c>
      <c r="C214" s="48" t="s">
        <v>223</v>
      </c>
      <c r="D214" s="49" t="s">
        <v>537</v>
      </c>
      <c r="E214" s="50">
        <v>1</v>
      </c>
      <c r="F214" s="26" t="s">
        <v>727</v>
      </c>
      <c r="G214" s="26" t="s">
        <v>728</v>
      </c>
      <c r="H214" s="27">
        <f t="shared" ref="H214:J231" si="107">V214</f>
        <v>558.65499999999997</v>
      </c>
      <c r="I214" s="27">
        <f t="shared" si="107"/>
        <v>543.48</v>
      </c>
      <c r="J214" s="27">
        <f t="shared" si="107"/>
        <v>583.26499999999999</v>
      </c>
      <c r="K214" s="27">
        <f t="shared" ref="K214:K231" si="108">IFERROR(AVERAGE(H214:J214),"")</f>
        <v>561.80000000000007</v>
      </c>
      <c r="L214" s="65">
        <f>SUM(K214:K220)</f>
        <v>77077.921666666662</v>
      </c>
      <c r="M214" s="67">
        <f t="shared" ref="M214:M231" si="109">L214*$L$643/$L$642</f>
        <v>3.235271420424771</v>
      </c>
      <c r="N214" s="65">
        <f t="shared" si="100"/>
        <v>3</v>
      </c>
      <c r="O214" s="65">
        <f t="shared" ref="O214:P229" si="110">N214</f>
        <v>3</v>
      </c>
      <c r="P214" s="65">
        <f t="shared" si="110"/>
        <v>3</v>
      </c>
      <c r="Q214" s="38"/>
      <c r="R214" s="3" t="str">
        <f t="shared" si="105"/>
        <v>Thiruvallur</v>
      </c>
      <c r="S214" s="3" t="str">
        <f t="shared" si="101"/>
        <v>Avadi</v>
      </c>
      <c r="T214" s="3" t="str">
        <f t="shared" si="101"/>
        <v>Poonamallee</v>
      </c>
      <c r="U214" s="3" t="str">
        <f t="shared" si="102"/>
        <v>Thiruvallur_Avadi_Poonamallee</v>
      </c>
      <c r="V214" s="3">
        <f>IF(_xlfn.XLOOKUP($U214,GCA!$H$3:$H$593,GCA!E$3:E$593,"",0,1)="","",_xlfn.XLOOKUP($U214,GCA!$H$3:$H$593,GCA!E$3:E$593,"",0,1))</f>
        <v>558.65499999999997</v>
      </c>
      <c r="W214" s="3">
        <f>IF(_xlfn.XLOOKUP($U214,GCA!$H$3:$H$593,GCA!F$3:F$593,"",0,1)="","",_xlfn.XLOOKUP($U214,GCA!$H$3:$H$593,GCA!F$3:F$593,"",0,1))</f>
        <v>543.48</v>
      </c>
      <c r="X214" s="3">
        <f>IF(_xlfn.XLOOKUP($U214,GCA!$H$3:$H$593,GCA!G$3:G$593,"",0,1)="","",_xlfn.XLOOKUP($U214,GCA!$H$3:$H$593,GCA!G$3:G$593,"",0,1))</f>
        <v>583.26499999999999</v>
      </c>
    </row>
    <row r="215" spans="1:24" ht="13.2">
      <c r="A215" s="49"/>
      <c r="B215" s="49"/>
      <c r="C215" s="48"/>
      <c r="D215" s="49"/>
      <c r="E215" s="50"/>
      <c r="F215" s="26" t="s">
        <v>727</v>
      </c>
      <c r="G215" s="26" t="s">
        <v>729</v>
      </c>
      <c r="H215" s="27">
        <f t="shared" si="107"/>
        <v>2275.1770000000001</v>
      </c>
      <c r="I215" s="27">
        <f t="shared" si="107"/>
        <v>2184.15</v>
      </c>
      <c r="J215" s="27">
        <f t="shared" si="107"/>
        <v>2493.4899999999998</v>
      </c>
      <c r="K215" s="27">
        <f t="shared" si="108"/>
        <v>2317.6056666666668</v>
      </c>
      <c r="L215" s="65"/>
      <c r="M215" s="67">
        <f t="shared" si="109"/>
        <v>0</v>
      </c>
      <c r="N215" s="65" t="str">
        <f t="shared" si="100"/>
        <v/>
      </c>
      <c r="O215" s="65" t="str">
        <f t="shared" si="110"/>
        <v/>
      </c>
      <c r="P215" s="65" t="str">
        <f t="shared" si="110"/>
        <v/>
      </c>
      <c r="Q215" s="38"/>
      <c r="R215" s="3" t="str">
        <f t="shared" ref="R215:R232" si="111">R214</f>
        <v>Thiruvallur</v>
      </c>
      <c r="S215" s="3" t="str">
        <f t="shared" si="101"/>
        <v>Avadi</v>
      </c>
      <c r="T215" s="3" t="str">
        <f t="shared" si="101"/>
        <v>Villivakkam</v>
      </c>
      <c r="U215" s="3" t="str">
        <f t="shared" si="102"/>
        <v>Thiruvallur_Avadi_Villivakkam</v>
      </c>
      <c r="V215" s="3">
        <f>IF(_xlfn.XLOOKUP($U215,GCA!$H$3:$H$593,GCA!E$3:E$593,"",0,1)="","",_xlfn.XLOOKUP($U215,GCA!$H$3:$H$593,GCA!E$3:E$593,"",0,1))</f>
        <v>2275.1770000000001</v>
      </c>
      <c r="W215" s="3">
        <f>IF(_xlfn.XLOOKUP($U215,GCA!$H$3:$H$593,GCA!F$3:F$593,"",0,1)="","",_xlfn.XLOOKUP($U215,GCA!$H$3:$H$593,GCA!F$3:F$593,"",0,1))</f>
        <v>2184.15</v>
      </c>
      <c r="X215" s="3">
        <f>IF(_xlfn.XLOOKUP($U215,GCA!$H$3:$H$593,GCA!G$3:G$593,"",0,1)="","",_xlfn.XLOOKUP($U215,GCA!$H$3:$H$593,GCA!G$3:G$593,"",0,1))</f>
        <v>2493.4899999999998</v>
      </c>
    </row>
    <row r="216" spans="1:24" ht="13.2">
      <c r="A216" s="49"/>
      <c r="B216" s="49"/>
      <c r="C216" s="48"/>
      <c r="D216" s="49"/>
      <c r="E216" s="50"/>
      <c r="F216" s="26" t="s">
        <v>730</v>
      </c>
      <c r="G216" s="26" t="s">
        <v>730</v>
      </c>
      <c r="H216" s="27">
        <f t="shared" si="107"/>
        <v>26233.42</v>
      </c>
      <c r="I216" s="27">
        <f t="shared" si="107"/>
        <v>25219.361000000001</v>
      </c>
      <c r="J216" s="27">
        <f t="shared" si="107"/>
        <v>25455.412</v>
      </c>
      <c r="K216" s="27">
        <f t="shared" si="108"/>
        <v>25636.064333333332</v>
      </c>
      <c r="L216" s="65"/>
      <c r="M216" s="67">
        <f t="shared" si="109"/>
        <v>0</v>
      </c>
      <c r="N216" s="65" t="str">
        <f t="shared" si="100"/>
        <v/>
      </c>
      <c r="O216" s="65" t="str">
        <f t="shared" si="110"/>
        <v/>
      </c>
      <c r="P216" s="65" t="str">
        <f t="shared" si="110"/>
        <v/>
      </c>
      <c r="Q216" s="38"/>
      <c r="R216" s="3" t="str">
        <f t="shared" si="111"/>
        <v>Thiruvallur</v>
      </c>
      <c r="S216" s="3" t="str">
        <f t="shared" si="101"/>
        <v>Gummidipoondi</v>
      </c>
      <c r="T216" s="3" t="str">
        <f t="shared" si="101"/>
        <v>Gummidipoondi</v>
      </c>
      <c r="U216" s="3" t="str">
        <f t="shared" si="102"/>
        <v>Thiruvallur_Gummidipoondi_Gummidipoondi</v>
      </c>
      <c r="V216" s="3">
        <f>IF(_xlfn.XLOOKUP($U216,GCA!$H$3:$H$593,GCA!E$3:E$593,"",0,1)="","",_xlfn.XLOOKUP($U216,GCA!$H$3:$H$593,GCA!E$3:E$593,"",0,1))</f>
        <v>26233.42</v>
      </c>
      <c r="W216" s="3">
        <f>IF(_xlfn.XLOOKUP($U216,GCA!$H$3:$H$593,GCA!F$3:F$593,"",0,1)="","",_xlfn.XLOOKUP($U216,GCA!$H$3:$H$593,GCA!F$3:F$593,"",0,1))</f>
        <v>25219.361000000001</v>
      </c>
      <c r="X216" s="3">
        <f>IF(_xlfn.XLOOKUP($U216,GCA!$H$3:$H$593,GCA!G$3:G$593,"",0,1)="","",_xlfn.XLOOKUP($U216,GCA!$H$3:$H$593,GCA!G$3:G$593,"",0,1))</f>
        <v>25455.412</v>
      </c>
    </row>
    <row r="217" spans="1:24" ht="13.2">
      <c r="A217" s="49"/>
      <c r="B217" s="49"/>
      <c r="C217" s="48"/>
      <c r="D217" s="49"/>
      <c r="E217" s="50"/>
      <c r="F217" s="26" t="s">
        <v>731</v>
      </c>
      <c r="G217" s="26" t="s">
        <v>732</v>
      </c>
      <c r="H217" s="27">
        <f t="shared" si="107"/>
        <v>6760.625</v>
      </c>
      <c r="I217" s="27">
        <f t="shared" si="107"/>
        <v>6153.585</v>
      </c>
      <c r="J217" s="27">
        <f t="shared" si="107"/>
        <v>5948.8249999999998</v>
      </c>
      <c r="K217" s="27">
        <f t="shared" si="108"/>
        <v>6287.6783333333333</v>
      </c>
      <c r="L217" s="65"/>
      <c r="M217" s="67">
        <f t="shared" si="109"/>
        <v>0</v>
      </c>
      <c r="N217" s="65" t="str">
        <f t="shared" si="100"/>
        <v/>
      </c>
      <c r="O217" s="65" t="str">
        <f t="shared" si="110"/>
        <v/>
      </c>
      <c r="P217" s="65" t="str">
        <f t="shared" si="110"/>
        <v/>
      </c>
      <c r="Q217" s="38"/>
      <c r="R217" s="3" t="str">
        <f t="shared" si="111"/>
        <v>Thiruvallur</v>
      </c>
      <c r="S217" s="3" t="str">
        <f t="shared" si="101"/>
        <v>Pallipet</v>
      </c>
      <c r="T217" s="3" t="str">
        <f t="shared" si="101"/>
        <v>Pallipattu</v>
      </c>
      <c r="U217" s="3" t="str">
        <f t="shared" si="102"/>
        <v>Thiruvallur_Pallipet_Pallipattu</v>
      </c>
      <c r="V217" s="3">
        <f>IF(_xlfn.XLOOKUP($U217,GCA!$H$3:$H$593,GCA!E$3:E$593,"",0,1)="","",_xlfn.XLOOKUP($U217,GCA!$H$3:$H$593,GCA!E$3:E$593,"",0,1))</f>
        <v>6760.625</v>
      </c>
      <c r="W217" s="3">
        <f>IF(_xlfn.XLOOKUP($U217,GCA!$H$3:$H$593,GCA!F$3:F$593,"",0,1)="","",_xlfn.XLOOKUP($U217,GCA!$H$3:$H$593,GCA!F$3:F$593,"",0,1))</f>
        <v>6153.585</v>
      </c>
      <c r="X217" s="3">
        <f>IF(_xlfn.XLOOKUP($U217,GCA!$H$3:$H$593,GCA!G$3:G$593,"",0,1)="","",_xlfn.XLOOKUP($U217,GCA!$H$3:$H$593,GCA!G$3:G$593,"",0,1))</f>
        <v>5948.8249999999998</v>
      </c>
    </row>
    <row r="218" spans="1:24" ht="13.2">
      <c r="A218" s="49"/>
      <c r="B218" s="49"/>
      <c r="C218" s="48"/>
      <c r="D218" s="49"/>
      <c r="E218" s="50"/>
      <c r="F218" s="26" t="s">
        <v>733</v>
      </c>
      <c r="G218" s="26" t="s">
        <v>734</v>
      </c>
      <c r="H218" s="27">
        <f t="shared" si="107"/>
        <v>24446.615000000002</v>
      </c>
      <c r="I218" s="27">
        <f t="shared" si="107"/>
        <v>23998.564999999999</v>
      </c>
      <c r="J218" s="27">
        <f t="shared" si="107"/>
        <v>24371.25</v>
      </c>
      <c r="K218" s="27">
        <f t="shared" si="108"/>
        <v>24272.14333333333</v>
      </c>
      <c r="L218" s="65"/>
      <c r="M218" s="67">
        <f t="shared" si="109"/>
        <v>0</v>
      </c>
      <c r="N218" s="65" t="str">
        <f t="shared" si="100"/>
        <v/>
      </c>
      <c r="O218" s="65" t="str">
        <f t="shared" si="110"/>
        <v/>
      </c>
      <c r="P218" s="65" t="str">
        <f t="shared" si="110"/>
        <v/>
      </c>
      <c r="Q218" s="38"/>
      <c r="R218" s="3" t="str">
        <f t="shared" si="111"/>
        <v>Thiruvallur</v>
      </c>
      <c r="S218" s="3" t="str">
        <f t="shared" si="101"/>
        <v>Ponneri</v>
      </c>
      <c r="T218" s="3" t="str">
        <f t="shared" si="101"/>
        <v>Minjur</v>
      </c>
      <c r="U218" s="3" t="str">
        <f t="shared" si="102"/>
        <v>Thiruvallur_Ponneri_Minjur</v>
      </c>
      <c r="V218" s="3">
        <f>IF(_xlfn.XLOOKUP($U218,GCA!$H$3:$H$593,GCA!E$3:E$593,"",0,1)="","",_xlfn.XLOOKUP($U218,GCA!$H$3:$H$593,GCA!E$3:E$593,"",0,1))</f>
        <v>24446.615000000002</v>
      </c>
      <c r="W218" s="3">
        <f>IF(_xlfn.XLOOKUP($U218,GCA!$H$3:$H$593,GCA!F$3:F$593,"",0,1)="","",_xlfn.XLOOKUP($U218,GCA!$H$3:$H$593,GCA!F$3:F$593,"",0,1))</f>
        <v>23998.564999999999</v>
      </c>
      <c r="X218" s="3">
        <f>IF(_xlfn.XLOOKUP($U218,GCA!$H$3:$H$593,GCA!G$3:G$593,"",0,1)="","",_xlfn.XLOOKUP($U218,GCA!$H$3:$H$593,GCA!G$3:G$593,"",0,1))</f>
        <v>24371.25</v>
      </c>
    </row>
    <row r="219" spans="1:24" ht="13.2">
      <c r="A219" s="49"/>
      <c r="B219" s="49"/>
      <c r="C219" s="48"/>
      <c r="D219" s="49"/>
      <c r="E219" s="50"/>
      <c r="F219" s="26" t="s">
        <v>733</v>
      </c>
      <c r="G219" s="26" t="s">
        <v>735</v>
      </c>
      <c r="H219" s="27">
        <f t="shared" si="107"/>
        <v>85.2</v>
      </c>
      <c r="I219" s="27">
        <f t="shared" si="107"/>
        <v>113.63</v>
      </c>
      <c r="J219" s="27">
        <f t="shared" si="107"/>
        <v>119.63</v>
      </c>
      <c r="K219" s="27">
        <f t="shared" si="108"/>
        <v>106.15333333333332</v>
      </c>
      <c r="L219" s="65"/>
      <c r="M219" s="67">
        <f t="shared" si="109"/>
        <v>0</v>
      </c>
      <c r="N219" s="65" t="str">
        <f t="shared" si="100"/>
        <v/>
      </c>
      <c r="O219" s="65" t="str">
        <f t="shared" si="110"/>
        <v/>
      </c>
      <c r="P219" s="65" t="str">
        <f t="shared" si="110"/>
        <v/>
      </c>
      <c r="Q219" s="38"/>
      <c r="R219" s="3" t="str">
        <f t="shared" si="111"/>
        <v>Thiruvallur</v>
      </c>
      <c r="S219" s="3" t="str">
        <f t="shared" si="101"/>
        <v>Ponneri</v>
      </c>
      <c r="T219" s="3" t="str">
        <f t="shared" si="101"/>
        <v>Puzhal</v>
      </c>
      <c r="U219" s="3" t="str">
        <f t="shared" si="102"/>
        <v>Thiruvallur_Ponneri_Puzhal</v>
      </c>
      <c r="V219" s="3">
        <f>IF(_xlfn.XLOOKUP($U219,GCA!$H$3:$H$593,GCA!E$3:E$593,"",0,1)="","",_xlfn.XLOOKUP($U219,GCA!$H$3:$H$593,GCA!E$3:E$593,"",0,1))</f>
        <v>85.2</v>
      </c>
      <c r="W219" s="3">
        <f>IF(_xlfn.XLOOKUP($U219,GCA!$H$3:$H$593,GCA!F$3:F$593,"",0,1)="","",_xlfn.XLOOKUP($U219,GCA!$H$3:$H$593,GCA!F$3:F$593,"",0,1))</f>
        <v>113.63</v>
      </c>
      <c r="X219" s="3">
        <f>IF(_xlfn.XLOOKUP($U219,GCA!$H$3:$H$593,GCA!G$3:G$593,"",0,1)="","",_xlfn.XLOOKUP($U219,GCA!$H$3:$H$593,GCA!G$3:G$593,"",0,1))</f>
        <v>119.63</v>
      </c>
    </row>
    <row r="220" spans="1:24" ht="13.2">
      <c r="A220" s="49"/>
      <c r="B220" s="49"/>
      <c r="C220" s="48"/>
      <c r="D220" s="49"/>
      <c r="E220" s="50"/>
      <c r="F220" s="26" t="s">
        <v>733</v>
      </c>
      <c r="G220" s="26" t="s">
        <v>736</v>
      </c>
      <c r="H220" s="27">
        <f t="shared" si="107"/>
        <v>17636.490000000002</v>
      </c>
      <c r="I220" s="27">
        <f t="shared" si="107"/>
        <v>17692.7</v>
      </c>
      <c r="J220" s="27">
        <f t="shared" si="107"/>
        <v>18360.240000000002</v>
      </c>
      <c r="K220" s="27">
        <f t="shared" si="108"/>
        <v>17896.476666666669</v>
      </c>
      <c r="L220" s="65"/>
      <c r="M220" s="67">
        <f t="shared" si="109"/>
        <v>0</v>
      </c>
      <c r="N220" s="65" t="str">
        <f t="shared" si="100"/>
        <v/>
      </c>
      <c r="O220" s="65" t="str">
        <f t="shared" si="110"/>
        <v/>
      </c>
      <c r="P220" s="65" t="str">
        <f t="shared" si="110"/>
        <v/>
      </c>
      <c r="Q220" s="38"/>
      <c r="R220" s="3" t="str">
        <f t="shared" si="111"/>
        <v>Thiruvallur</v>
      </c>
      <c r="S220" s="3" t="str">
        <f t="shared" si="101"/>
        <v>Ponneri</v>
      </c>
      <c r="T220" s="3" t="str">
        <f t="shared" si="101"/>
        <v>Sholavaram</v>
      </c>
      <c r="U220" s="3" t="str">
        <f t="shared" si="102"/>
        <v>Thiruvallur_Ponneri_Sholavaram</v>
      </c>
      <c r="V220" s="3">
        <f>IF(_xlfn.XLOOKUP($U220,GCA!$H$3:$H$593,GCA!E$3:E$593,"",0,1)="","",_xlfn.XLOOKUP($U220,GCA!$H$3:$H$593,GCA!E$3:E$593,"",0,1))</f>
        <v>17636.490000000002</v>
      </c>
      <c r="W220" s="3">
        <f>IF(_xlfn.XLOOKUP($U220,GCA!$H$3:$H$593,GCA!F$3:F$593,"",0,1)="","",_xlfn.XLOOKUP($U220,GCA!$H$3:$H$593,GCA!F$3:F$593,"",0,1))</f>
        <v>17692.7</v>
      </c>
      <c r="X220" s="3">
        <f>IF(_xlfn.XLOOKUP($U220,GCA!$H$3:$H$593,GCA!G$3:G$593,"",0,1)="","",_xlfn.XLOOKUP($U220,GCA!$H$3:$H$593,GCA!G$3:G$593,"",0,1))</f>
        <v>18360.240000000002</v>
      </c>
    </row>
    <row r="221" spans="1:24" ht="13.2">
      <c r="A221" s="49"/>
      <c r="B221" s="49"/>
      <c r="C221" s="48"/>
      <c r="D221" s="49"/>
      <c r="E221" s="50">
        <v>2</v>
      </c>
      <c r="F221" s="26" t="s">
        <v>728</v>
      </c>
      <c r="G221" s="26" t="s">
        <v>728</v>
      </c>
      <c r="H221" s="27">
        <f t="shared" si="107"/>
        <v>2241.665</v>
      </c>
      <c r="I221" s="27">
        <f t="shared" si="107"/>
        <v>2052.6799999999998</v>
      </c>
      <c r="J221" s="27">
        <f t="shared" si="107"/>
        <v>2230.047</v>
      </c>
      <c r="K221" s="27">
        <f t="shared" si="108"/>
        <v>2174.7973333333334</v>
      </c>
      <c r="L221" s="65">
        <f>SUM(K221:K231)</f>
        <v>72835.33</v>
      </c>
      <c r="M221" s="67">
        <f t="shared" si="109"/>
        <v>3.0571927271893911</v>
      </c>
      <c r="N221" s="65">
        <f t="shared" si="100"/>
        <v>3</v>
      </c>
      <c r="O221" s="65">
        <f t="shared" si="110"/>
        <v>3</v>
      </c>
      <c r="P221" s="65">
        <f t="shared" si="110"/>
        <v>3</v>
      </c>
      <c r="Q221" s="38"/>
      <c r="R221" s="3" t="str">
        <f t="shared" si="111"/>
        <v>Thiruvallur</v>
      </c>
      <c r="S221" s="3" t="str">
        <f t="shared" si="101"/>
        <v>Poonamallee</v>
      </c>
      <c r="T221" s="3" t="str">
        <f t="shared" si="101"/>
        <v>Poonamallee</v>
      </c>
      <c r="U221" s="3" t="str">
        <f t="shared" si="102"/>
        <v>Thiruvallur_Poonamallee_Poonamallee</v>
      </c>
      <c r="V221" s="3">
        <f>IF(_xlfn.XLOOKUP($U221,GCA!$H$3:$H$593,GCA!E$3:E$593,"",0,1)="","",_xlfn.XLOOKUP($U221,GCA!$H$3:$H$593,GCA!E$3:E$593,"",0,1))</f>
        <v>2241.665</v>
      </c>
      <c r="W221" s="3">
        <f>IF(_xlfn.XLOOKUP($U221,GCA!$H$3:$H$593,GCA!F$3:F$593,"",0,1)="","",_xlfn.XLOOKUP($U221,GCA!$H$3:$H$593,GCA!F$3:F$593,"",0,1))</f>
        <v>2052.6799999999998</v>
      </c>
      <c r="X221" s="3">
        <f>IF(_xlfn.XLOOKUP($U221,GCA!$H$3:$H$593,GCA!G$3:G$593,"",0,1)="","",_xlfn.XLOOKUP($U221,GCA!$H$3:$H$593,GCA!G$3:G$593,"",0,1))</f>
        <v>2230.047</v>
      </c>
    </row>
    <row r="222" spans="1:24" ht="13.2">
      <c r="A222" s="49"/>
      <c r="B222" s="49"/>
      <c r="C222" s="48"/>
      <c r="D222" s="49"/>
      <c r="E222" s="50"/>
      <c r="F222" s="26" t="s">
        <v>728</v>
      </c>
      <c r="G222" s="26" t="s">
        <v>729</v>
      </c>
      <c r="H222" s="27">
        <f t="shared" si="107"/>
        <v>7.4450000000000003</v>
      </c>
      <c r="I222" s="27">
        <f t="shared" si="107"/>
        <v>9.4649999999999999</v>
      </c>
      <c r="J222" s="27">
        <f t="shared" si="107"/>
        <v>7.84</v>
      </c>
      <c r="K222" s="27">
        <f t="shared" si="108"/>
        <v>8.25</v>
      </c>
      <c r="L222" s="65"/>
      <c r="M222" s="67">
        <f t="shared" si="109"/>
        <v>0</v>
      </c>
      <c r="N222" s="65" t="str">
        <f t="shared" si="100"/>
        <v/>
      </c>
      <c r="O222" s="65" t="str">
        <f t="shared" si="110"/>
        <v/>
      </c>
      <c r="P222" s="65" t="str">
        <f t="shared" si="110"/>
        <v/>
      </c>
      <c r="Q222" s="38"/>
      <c r="R222" s="3" t="str">
        <f t="shared" si="111"/>
        <v>Thiruvallur</v>
      </c>
      <c r="S222" s="3" t="str">
        <f t="shared" si="101"/>
        <v>Poonamallee</v>
      </c>
      <c r="T222" s="3" t="str">
        <f t="shared" si="101"/>
        <v>Villivakkam</v>
      </c>
      <c r="U222" s="3" t="str">
        <f t="shared" si="102"/>
        <v>Thiruvallur_Poonamallee_Villivakkam</v>
      </c>
      <c r="V222" s="3">
        <f>IF(_xlfn.XLOOKUP($U222,GCA!$H$3:$H$593,GCA!E$3:E$593,"",0,1)="","",_xlfn.XLOOKUP($U222,GCA!$H$3:$H$593,GCA!E$3:E$593,"",0,1))</f>
        <v>7.4450000000000003</v>
      </c>
      <c r="W222" s="3">
        <f>IF(_xlfn.XLOOKUP($U222,GCA!$H$3:$H$593,GCA!F$3:F$593,"",0,1)="","",_xlfn.XLOOKUP($U222,GCA!$H$3:$H$593,GCA!F$3:F$593,"",0,1))</f>
        <v>9.4649999999999999</v>
      </c>
      <c r="X222" s="3">
        <f>IF(_xlfn.XLOOKUP($U222,GCA!$H$3:$H$593,GCA!G$3:G$593,"",0,1)="","",_xlfn.XLOOKUP($U222,GCA!$H$3:$H$593,GCA!G$3:G$593,"",0,1))</f>
        <v>7.84</v>
      </c>
    </row>
    <row r="223" spans="1:24" ht="13.2">
      <c r="A223" s="49"/>
      <c r="B223" s="49"/>
      <c r="C223" s="48"/>
      <c r="D223" s="49"/>
      <c r="E223" s="50"/>
      <c r="F223" s="26" t="s">
        <v>737</v>
      </c>
      <c r="G223" s="26" t="s">
        <v>737</v>
      </c>
      <c r="H223" s="27">
        <f t="shared" si="107"/>
        <v>4948.6899999999996</v>
      </c>
      <c r="I223" s="27">
        <f t="shared" si="107"/>
        <v>4584.3180000000002</v>
      </c>
      <c r="J223" s="27">
        <f t="shared" si="107"/>
        <v>4427.5649999999996</v>
      </c>
      <c r="K223" s="27">
        <f t="shared" si="108"/>
        <v>4653.5243333333337</v>
      </c>
      <c r="L223" s="65"/>
      <c r="M223" s="67">
        <f t="shared" si="109"/>
        <v>0</v>
      </c>
      <c r="N223" s="65" t="str">
        <f t="shared" si="100"/>
        <v/>
      </c>
      <c r="O223" s="65" t="str">
        <f t="shared" si="110"/>
        <v/>
      </c>
      <c r="P223" s="65" t="str">
        <f t="shared" si="110"/>
        <v/>
      </c>
      <c r="Q223" s="38"/>
      <c r="R223" s="3" t="str">
        <f t="shared" si="111"/>
        <v>Thiruvallur</v>
      </c>
      <c r="S223" s="3" t="str">
        <f t="shared" si="101"/>
        <v>R.K.Pet</v>
      </c>
      <c r="T223" s="3" t="str">
        <f t="shared" si="101"/>
        <v>R.K.Pet</v>
      </c>
      <c r="U223" s="3" t="str">
        <f t="shared" si="102"/>
        <v>Thiruvallur_R.K.Pet_R.K.Pet</v>
      </c>
      <c r="V223" s="3">
        <f>IF(_xlfn.XLOOKUP($U223,GCA!$H$3:$H$593,GCA!E$3:E$593,"",0,1)="","",_xlfn.XLOOKUP($U223,GCA!$H$3:$H$593,GCA!E$3:E$593,"",0,1))</f>
        <v>4948.6899999999996</v>
      </c>
      <c r="W223" s="3">
        <f>IF(_xlfn.XLOOKUP($U223,GCA!$H$3:$H$593,GCA!F$3:F$593,"",0,1)="","",_xlfn.XLOOKUP($U223,GCA!$H$3:$H$593,GCA!F$3:F$593,"",0,1))</f>
        <v>4584.3180000000002</v>
      </c>
      <c r="X223" s="3">
        <f>IF(_xlfn.XLOOKUP($U223,GCA!$H$3:$H$593,GCA!G$3:G$593,"",0,1)="","",_xlfn.XLOOKUP($U223,GCA!$H$3:$H$593,GCA!G$3:G$593,"",0,1))</f>
        <v>4427.5649999999996</v>
      </c>
    </row>
    <row r="224" spans="1:24" ht="13.2">
      <c r="A224" s="49"/>
      <c r="B224" s="49"/>
      <c r="C224" s="48"/>
      <c r="D224" s="49"/>
      <c r="E224" s="50"/>
      <c r="F224" s="26" t="s">
        <v>223</v>
      </c>
      <c r="G224" s="26" t="s">
        <v>738</v>
      </c>
      <c r="H224" s="27">
        <f t="shared" si="107"/>
        <v>2520.5349999999999</v>
      </c>
      <c r="I224" s="27">
        <f t="shared" si="107"/>
        <v>2618.58</v>
      </c>
      <c r="J224" s="27">
        <f t="shared" si="107"/>
        <v>2671.45</v>
      </c>
      <c r="K224" s="27">
        <f t="shared" si="108"/>
        <v>2603.5216666666665</v>
      </c>
      <c r="L224" s="65"/>
      <c r="M224" s="67">
        <f t="shared" si="109"/>
        <v>0</v>
      </c>
      <c r="N224" s="65" t="str">
        <f t="shared" si="100"/>
        <v/>
      </c>
      <c r="O224" s="65" t="str">
        <f t="shared" si="110"/>
        <v/>
      </c>
      <c r="P224" s="65" t="str">
        <f t="shared" si="110"/>
        <v/>
      </c>
      <c r="Q224" s="38"/>
      <c r="R224" s="3" t="str">
        <f t="shared" si="111"/>
        <v>Thiruvallur</v>
      </c>
      <c r="S224" s="3" t="str">
        <f t="shared" si="101"/>
        <v>Thiruvallur</v>
      </c>
      <c r="T224" s="3" t="str">
        <f t="shared" si="101"/>
        <v>Ellapuram</v>
      </c>
      <c r="U224" s="3" t="str">
        <f t="shared" si="102"/>
        <v>Thiruvallur_Thiruvallur_Ellapuram</v>
      </c>
      <c r="V224" s="3">
        <f>IF(_xlfn.XLOOKUP($U224,GCA!$H$3:$H$593,GCA!E$3:E$593,"",0,1)="","",_xlfn.XLOOKUP($U224,GCA!$H$3:$H$593,GCA!E$3:E$593,"",0,1))</f>
        <v>2520.5349999999999</v>
      </c>
      <c r="W224" s="3">
        <f>IF(_xlfn.XLOOKUP($U224,GCA!$H$3:$H$593,GCA!F$3:F$593,"",0,1)="","",_xlfn.XLOOKUP($U224,GCA!$H$3:$H$593,GCA!F$3:F$593,"",0,1))</f>
        <v>2618.58</v>
      </c>
      <c r="X224" s="3">
        <f>IF(_xlfn.XLOOKUP($U224,GCA!$H$3:$H$593,GCA!G$3:G$593,"",0,1)="","",_xlfn.XLOOKUP($U224,GCA!$H$3:$H$593,GCA!G$3:G$593,"",0,1))</f>
        <v>2671.45</v>
      </c>
    </row>
    <row r="225" spans="1:24" ht="13.2">
      <c r="A225" s="49"/>
      <c r="B225" s="49"/>
      <c r="C225" s="48"/>
      <c r="D225" s="49"/>
      <c r="E225" s="50"/>
      <c r="F225" s="26" t="s">
        <v>223</v>
      </c>
      <c r="G225" s="26" t="s">
        <v>739</v>
      </c>
      <c r="H225" s="27">
        <f t="shared" si="107"/>
        <v>11113.362999999999</v>
      </c>
      <c r="I225" s="27">
        <f t="shared" si="107"/>
        <v>10829.763999999999</v>
      </c>
      <c r="J225" s="27">
        <f t="shared" si="107"/>
        <v>11222.968999999999</v>
      </c>
      <c r="K225" s="27">
        <f t="shared" si="108"/>
        <v>11055.365333333333</v>
      </c>
      <c r="L225" s="65"/>
      <c r="M225" s="67">
        <f t="shared" si="109"/>
        <v>0</v>
      </c>
      <c r="N225" s="65" t="str">
        <f t="shared" si="100"/>
        <v/>
      </c>
      <c r="O225" s="65" t="str">
        <f t="shared" si="110"/>
        <v/>
      </c>
      <c r="P225" s="65" t="str">
        <f t="shared" si="110"/>
        <v/>
      </c>
      <c r="Q225" s="38"/>
      <c r="R225" s="3" t="str">
        <f t="shared" si="111"/>
        <v>Thiruvallur</v>
      </c>
      <c r="S225" s="3" t="str">
        <f t="shared" si="101"/>
        <v>Thiruvallur</v>
      </c>
      <c r="T225" s="3" t="str">
        <f t="shared" si="101"/>
        <v>Kadambathur</v>
      </c>
      <c r="U225" s="3" t="str">
        <f t="shared" si="102"/>
        <v>Thiruvallur_Thiruvallur_Kadambathur</v>
      </c>
      <c r="V225" s="3">
        <f>IF(_xlfn.XLOOKUP($U225,GCA!$H$3:$H$593,GCA!E$3:E$593,"",0,1)="","",_xlfn.XLOOKUP($U225,GCA!$H$3:$H$593,GCA!E$3:E$593,"",0,1))</f>
        <v>11113.362999999999</v>
      </c>
      <c r="W225" s="3">
        <f>IF(_xlfn.XLOOKUP($U225,GCA!$H$3:$H$593,GCA!F$3:F$593,"",0,1)="","",_xlfn.XLOOKUP($U225,GCA!$H$3:$H$593,GCA!F$3:F$593,"",0,1))</f>
        <v>10829.763999999999</v>
      </c>
      <c r="X225" s="3">
        <f>IF(_xlfn.XLOOKUP($U225,GCA!$H$3:$H$593,GCA!G$3:G$593,"",0,1)="","",_xlfn.XLOOKUP($U225,GCA!$H$3:$H$593,GCA!G$3:G$593,"",0,1))</f>
        <v>11222.968999999999</v>
      </c>
    </row>
    <row r="226" spans="1:24" ht="13.2">
      <c r="A226" s="49"/>
      <c r="B226" s="49"/>
      <c r="C226" s="48"/>
      <c r="D226" s="49"/>
      <c r="E226" s="50"/>
      <c r="F226" s="26" t="s">
        <v>223</v>
      </c>
      <c r="G226" s="26" t="s">
        <v>740</v>
      </c>
      <c r="H226" s="27">
        <f t="shared" si="107"/>
        <v>5107.0910000000003</v>
      </c>
      <c r="I226" s="27">
        <f t="shared" si="107"/>
        <v>5507.23</v>
      </c>
      <c r="J226" s="27">
        <f t="shared" si="107"/>
        <v>5498.4719999999998</v>
      </c>
      <c r="K226" s="27">
        <f t="shared" si="108"/>
        <v>5370.9309999999996</v>
      </c>
      <c r="L226" s="65"/>
      <c r="M226" s="67">
        <f t="shared" si="109"/>
        <v>0</v>
      </c>
      <c r="N226" s="65" t="str">
        <f t="shared" si="100"/>
        <v/>
      </c>
      <c r="O226" s="65" t="str">
        <f t="shared" si="110"/>
        <v/>
      </c>
      <c r="P226" s="65" t="str">
        <f t="shared" si="110"/>
        <v/>
      </c>
      <c r="Q226" s="38"/>
      <c r="R226" s="3" t="str">
        <f t="shared" si="111"/>
        <v>Thiruvallur</v>
      </c>
      <c r="S226" s="3" t="str">
        <f t="shared" si="101"/>
        <v>Thiruvallur</v>
      </c>
      <c r="T226" s="3" t="str">
        <f t="shared" si="101"/>
        <v>Poondi</v>
      </c>
      <c r="U226" s="3" t="str">
        <f t="shared" si="102"/>
        <v>Thiruvallur_Thiruvallur_Poondi</v>
      </c>
      <c r="V226" s="3">
        <f>IF(_xlfn.XLOOKUP($U226,GCA!$H$3:$H$593,GCA!E$3:E$593,"",0,1)="","",_xlfn.XLOOKUP($U226,GCA!$H$3:$H$593,GCA!E$3:E$593,"",0,1))</f>
        <v>5107.0910000000003</v>
      </c>
      <c r="W226" s="3">
        <f>IF(_xlfn.XLOOKUP($U226,GCA!$H$3:$H$593,GCA!F$3:F$593,"",0,1)="","",_xlfn.XLOOKUP($U226,GCA!$H$3:$H$593,GCA!F$3:F$593,"",0,1))</f>
        <v>5507.23</v>
      </c>
      <c r="X226" s="3">
        <f>IF(_xlfn.XLOOKUP($U226,GCA!$H$3:$H$593,GCA!G$3:G$593,"",0,1)="","",_xlfn.XLOOKUP($U226,GCA!$H$3:$H$593,GCA!G$3:G$593,"",0,1))</f>
        <v>5498.4719999999998</v>
      </c>
    </row>
    <row r="227" spans="1:24" ht="13.2">
      <c r="A227" s="49"/>
      <c r="B227" s="49"/>
      <c r="C227" s="48"/>
      <c r="D227" s="49"/>
      <c r="E227" s="50"/>
      <c r="F227" s="26" t="s">
        <v>223</v>
      </c>
      <c r="G227" s="26" t="s">
        <v>223</v>
      </c>
      <c r="H227" s="27">
        <f t="shared" si="107"/>
        <v>9076.8340000000007</v>
      </c>
      <c r="I227" s="27">
        <f t="shared" si="107"/>
        <v>8882.5969999999998</v>
      </c>
      <c r="J227" s="27">
        <f t="shared" si="107"/>
        <v>9125.59</v>
      </c>
      <c r="K227" s="27">
        <f t="shared" si="108"/>
        <v>9028.3403333333335</v>
      </c>
      <c r="L227" s="65"/>
      <c r="M227" s="67">
        <f t="shared" si="109"/>
        <v>0</v>
      </c>
      <c r="N227" s="65" t="str">
        <f t="shared" si="100"/>
        <v/>
      </c>
      <c r="O227" s="65" t="str">
        <f t="shared" si="110"/>
        <v/>
      </c>
      <c r="P227" s="65" t="str">
        <f t="shared" si="110"/>
        <v/>
      </c>
      <c r="Q227" s="38"/>
      <c r="R227" s="3" t="str">
        <f t="shared" si="111"/>
        <v>Thiruvallur</v>
      </c>
      <c r="S227" s="3" t="str">
        <f t="shared" si="101"/>
        <v>Thiruvallur</v>
      </c>
      <c r="T227" s="3" t="str">
        <f t="shared" si="101"/>
        <v>Thiruvallur</v>
      </c>
      <c r="U227" s="3" t="str">
        <f t="shared" si="102"/>
        <v>Thiruvallur_Thiruvallur_Thiruvallur</v>
      </c>
      <c r="V227" s="3">
        <f>IF(_xlfn.XLOOKUP($U227,GCA!$H$3:$H$593,GCA!E$3:E$593,"",0,1)="","",_xlfn.XLOOKUP($U227,GCA!$H$3:$H$593,GCA!E$3:E$593,"",0,1))</f>
        <v>9076.8340000000007</v>
      </c>
      <c r="W227" s="3">
        <f>IF(_xlfn.XLOOKUP($U227,GCA!$H$3:$H$593,GCA!F$3:F$593,"",0,1)="","",_xlfn.XLOOKUP($U227,GCA!$H$3:$H$593,GCA!F$3:F$593,"",0,1))</f>
        <v>8882.5969999999998</v>
      </c>
      <c r="X227" s="3">
        <f>IF(_xlfn.XLOOKUP($U227,GCA!$H$3:$H$593,GCA!G$3:G$593,"",0,1)="","",_xlfn.XLOOKUP($U227,GCA!$H$3:$H$593,GCA!G$3:G$593,"",0,1))</f>
        <v>9125.59</v>
      </c>
    </row>
    <row r="228" spans="1:24" ht="13.2">
      <c r="A228" s="49"/>
      <c r="B228" s="49"/>
      <c r="C228" s="48"/>
      <c r="D228" s="49"/>
      <c r="E228" s="50"/>
      <c r="F228" s="26" t="s">
        <v>741</v>
      </c>
      <c r="G228" s="26" t="s">
        <v>742</v>
      </c>
      <c r="H228" s="27">
        <f t="shared" si="107"/>
        <v>8601.4240000000009</v>
      </c>
      <c r="I228" s="27">
        <f t="shared" si="107"/>
        <v>8279.9539999999997</v>
      </c>
      <c r="J228" s="27">
        <f t="shared" si="107"/>
        <v>8109.49</v>
      </c>
      <c r="K228" s="27">
        <f t="shared" si="108"/>
        <v>8330.2893333333341</v>
      </c>
      <c r="L228" s="65"/>
      <c r="M228" s="67">
        <f t="shared" si="109"/>
        <v>0</v>
      </c>
      <c r="N228" s="65" t="str">
        <f t="shared" si="100"/>
        <v/>
      </c>
      <c r="O228" s="65" t="str">
        <f t="shared" si="110"/>
        <v/>
      </c>
      <c r="P228" s="65" t="str">
        <f t="shared" si="110"/>
        <v/>
      </c>
      <c r="Q228" s="38"/>
      <c r="R228" s="3" t="str">
        <f t="shared" si="111"/>
        <v>Thiruvallur</v>
      </c>
      <c r="S228" s="3" t="str">
        <f t="shared" si="101"/>
        <v>Tiruttani</v>
      </c>
      <c r="T228" s="3" t="str">
        <f t="shared" si="101"/>
        <v>Thiruvalangadu</v>
      </c>
      <c r="U228" s="3" t="str">
        <f t="shared" si="102"/>
        <v>Thiruvallur_Tiruttani_Thiruvalangadu</v>
      </c>
      <c r="V228" s="3">
        <f>IF(_xlfn.XLOOKUP($U228,GCA!$H$3:$H$593,GCA!E$3:E$593,"",0,1)="","",_xlfn.XLOOKUP($U228,GCA!$H$3:$H$593,GCA!E$3:E$593,"",0,1))</f>
        <v>8601.4240000000009</v>
      </c>
      <c r="W228" s="3">
        <f>IF(_xlfn.XLOOKUP($U228,GCA!$H$3:$H$593,GCA!F$3:F$593,"",0,1)="","",_xlfn.XLOOKUP($U228,GCA!$H$3:$H$593,GCA!F$3:F$593,"",0,1))</f>
        <v>8279.9539999999997</v>
      </c>
      <c r="X228" s="3">
        <f>IF(_xlfn.XLOOKUP($U228,GCA!$H$3:$H$593,GCA!G$3:G$593,"",0,1)="","",_xlfn.XLOOKUP($U228,GCA!$H$3:$H$593,GCA!G$3:G$593,"",0,1))</f>
        <v>8109.49</v>
      </c>
    </row>
    <row r="229" spans="1:24" ht="13.2">
      <c r="A229" s="49"/>
      <c r="B229" s="49"/>
      <c r="C229" s="48"/>
      <c r="D229" s="49"/>
      <c r="E229" s="50"/>
      <c r="F229" s="26" t="s">
        <v>741</v>
      </c>
      <c r="G229" s="26" t="s">
        <v>741</v>
      </c>
      <c r="H229" s="27">
        <f t="shared" si="107"/>
        <v>5979.5110000000004</v>
      </c>
      <c r="I229" s="27">
        <f t="shared" si="107"/>
        <v>5831.4059999999999</v>
      </c>
      <c r="J229" s="27">
        <f t="shared" si="107"/>
        <v>5447.13</v>
      </c>
      <c r="K229" s="27">
        <f t="shared" si="108"/>
        <v>5752.6823333333341</v>
      </c>
      <c r="L229" s="65"/>
      <c r="M229" s="67">
        <f t="shared" si="109"/>
        <v>0</v>
      </c>
      <c r="N229" s="65" t="str">
        <f t="shared" si="100"/>
        <v/>
      </c>
      <c r="O229" s="65" t="str">
        <f t="shared" si="110"/>
        <v/>
      </c>
      <c r="P229" s="65" t="str">
        <f t="shared" si="110"/>
        <v/>
      </c>
      <c r="Q229" s="38"/>
      <c r="R229" s="3" t="str">
        <f t="shared" si="111"/>
        <v>Thiruvallur</v>
      </c>
      <c r="S229" s="3" t="str">
        <f t="shared" si="101"/>
        <v>Tiruttani</v>
      </c>
      <c r="T229" s="3" t="str">
        <f t="shared" si="101"/>
        <v>Tiruttani</v>
      </c>
      <c r="U229" s="3" t="str">
        <f t="shared" si="102"/>
        <v>Thiruvallur_Tiruttani_Tiruttani</v>
      </c>
      <c r="V229" s="3">
        <f>IF(_xlfn.XLOOKUP($U229,GCA!$H$3:$H$593,GCA!E$3:E$593,"",0,1)="","",_xlfn.XLOOKUP($U229,GCA!$H$3:$H$593,GCA!E$3:E$593,"",0,1))</f>
        <v>5979.5110000000004</v>
      </c>
      <c r="W229" s="3">
        <f>IF(_xlfn.XLOOKUP($U229,GCA!$H$3:$H$593,GCA!F$3:F$593,"",0,1)="","",_xlfn.XLOOKUP($U229,GCA!$H$3:$H$593,GCA!F$3:F$593,"",0,1))</f>
        <v>5831.4059999999999</v>
      </c>
      <c r="X229" s="3">
        <f>IF(_xlfn.XLOOKUP($U229,GCA!$H$3:$H$593,GCA!G$3:G$593,"",0,1)="","",_xlfn.XLOOKUP($U229,GCA!$H$3:$H$593,GCA!G$3:G$593,"",0,1))</f>
        <v>5447.13</v>
      </c>
    </row>
    <row r="230" spans="1:24" ht="13.2">
      <c r="A230" s="49"/>
      <c r="B230" s="49"/>
      <c r="C230" s="48"/>
      <c r="D230" s="49"/>
      <c r="E230" s="50"/>
      <c r="F230" s="26" t="s">
        <v>743</v>
      </c>
      <c r="G230" s="26" t="s">
        <v>738</v>
      </c>
      <c r="H230" s="27">
        <f t="shared" si="107"/>
        <v>15432.775</v>
      </c>
      <c r="I230" s="27">
        <f t="shared" si="107"/>
        <v>15120.825000000001</v>
      </c>
      <c r="J230" s="27">
        <f t="shared" si="107"/>
        <v>15186.47</v>
      </c>
      <c r="K230" s="27">
        <f t="shared" si="108"/>
        <v>15246.69</v>
      </c>
      <c r="L230" s="65"/>
      <c r="M230" s="67">
        <f t="shared" si="109"/>
        <v>0</v>
      </c>
      <c r="N230" s="65" t="str">
        <f t="shared" si="100"/>
        <v/>
      </c>
      <c r="O230" s="65" t="str">
        <f t="shared" ref="O230:P231" si="112">N230</f>
        <v/>
      </c>
      <c r="P230" s="65" t="str">
        <f t="shared" si="112"/>
        <v/>
      </c>
      <c r="Q230" s="38"/>
      <c r="R230" s="3" t="str">
        <f t="shared" si="111"/>
        <v>Thiruvallur</v>
      </c>
      <c r="S230" s="3" t="str">
        <f t="shared" si="101"/>
        <v>Uthukottai</v>
      </c>
      <c r="T230" s="3" t="str">
        <f t="shared" si="101"/>
        <v>Ellapuram</v>
      </c>
      <c r="U230" s="3" t="str">
        <f t="shared" si="102"/>
        <v>Thiruvallur_Uthukottai_Ellapuram</v>
      </c>
      <c r="V230" s="3">
        <f>IF(_xlfn.XLOOKUP($U230,GCA!$H$3:$H$593,GCA!E$3:E$593,"",0,1)="","",_xlfn.XLOOKUP($U230,GCA!$H$3:$H$593,GCA!E$3:E$593,"",0,1))</f>
        <v>15432.775</v>
      </c>
      <c r="W230" s="3">
        <f>IF(_xlfn.XLOOKUP($U230,GCA!$H$3:$H$593,GCA!F$3:F$593,"",0,1)="","",_xlfn.XLOOKUP($U230,GCA!$H$3:$H$593,GCA!F$3:F$593,"",0,1))</f>
        <v>15120.825000000001</v>
      </c>
      <c r="X230" s="3">
        <f>IF(_xlfn.XLOOKUP($U230,GCA!$H$3:$H$593,GCA!G$3:G$593,"",0,1)="","",_xlfn.XLOOKUP($U230,GCA!$H$3:$H$593,GCA!G$3:G$593,"",0,1))</f>
        <v>15186.47</v>
      </c>
    </row>
    <row r="231" spans="1:24" ht="13.2">
      <c r="A231" s="49"/>
      <c r="B231" s="49"/>
      <c r="C231" s="48"/>
      <c r="D231" s="49"/>
      <c r="E231" s="50"/>
      <c r="F231" s="26" t="s">
        <v>743</v>
      </c>
      <c r="G231" s="26" t="s">
        <v>740</v>
      </c>
      <c r="H231" s="27">
        <f t="shared" si="107"/>
        <v>8534.4950000000008</v>
      </c>
      <c r="I231" s="27">
        <f t="shared" si="107"/>
        <v>8667.9599999999991</v>
      </c>
      <c r="J231" s="27">
        <f t="shared" si="107"/>
        <v>8630.36</v>
      </c>
      <c r="K231" s="27">
        <f t="shared" si="108"/>
        <v>8610.9383333333335</v>
      </c>
      <c r="L231" s="65"/>
      <c r="M231" s="67">
        <f t="shared" si="109"/>
        <v>0</v>
      </c>
      <c r="N231" s="65" t="str">
        <f t="shared" si="100"/>
        <v/>
      </c>
      <c r="O231" s="65" t="str">
        <f t="shared" si="112"/>
        <v/>
      </c>
      <c r="P231" s="65" t="str">
        <f t="shared" si="112"/>
        <v/>
      </c>
      <c r="Q231" s="38"/>
      <c r="R231" s="3" t="str">
        <f t="shared" si="111"/>
        <v>Thiruvallur</v>
      </c>
      <c r="S231" s="3" t="str">
        <f t="shared" si="101"/>
        <v>Uthukottai</v>
      </c>
      <c r="T231" s="3" t="str">
        <f t="shared" si="101"/>
        <v>Poondi</v>
      </c>
      <c r="U231" s="3" t="str">
        <f t="shared" si="102"/>
        <v>Thiruvallur_Uthukottai_Poondi</v>
      </c>
      <c r="V231" s="3">
        <f>IF(_xlfn.XLOOKUP($U231,GCA!$H$3:$H$593,GCA!E$3:E$593,"",0,1)="","",_xlfn.XLOOKUP($U231,GCA!$H$3:$H$593,GCA!E$3:E$593,"",0,1))</f>
        <v>8534.4950000000008</v>
      </c>
      <c r="W231" s="3">
        <f>IF(_xlfn.XLOOKUP($U231,GCA!$H$3:$H$593,GCA!F$3:F$593,"",0,1)="","",_xlfn.XLOOKUP($U231,GCA!$H$3:$H$593,GCA!F$3:F$593,"",0,1))</f>
        <v>8667.9599999999991</v>
      </c>
      <c r="X231" s="3">
        <f>IF(_xlfn.XLOOKUP($U231,GCA!$H$3:$H$593,GCA!G$3:G$593,"",0,1)="","",_xlfn.XLOOKUP($U231,GCA!$H$3:$H$593,GCA!G$3:G$593,"",0,1))</f>
        <v>8630.36</v>
      </c>
    </row>
    <row r="232" spans="1:24" ht="13.2">
      <c r="A232" s="49"/>
      <c r="B232" s="49"/>
      <c r="C232" s="48"/>
      <c r="D232" s="49"/>
      <c r="E232" s="47" t="s">
        <v>564</v>
      </c>
      <c r="F232" s="47"/>
      <c r="G232" s="47"/>
      <c r="H232" s="29">
        <f t="shared" ref="H232:P232" si="113">SUM(H214:H231)</f>
        <v>151560.01</v>
      </c>
      <c r="I232" s="29">
        <f t="shared" si="113"/>
        <v>148290.24999999997</v>
      </c>
      <c r="J232" s="29">
        <f t="shared" si="113"/>
        <v>149889.495</v>
      </c>
      <c r="K232" s="29">
        <f t="shared" si="113"/>
        <v>149913.25166666665</v>
      </c>
      <c r="L232" s="29">
        <f t="shared" si="113"/>
        <v>149913.25166666665</v>
      </c>
      <c r="M232" s="30">
        <f t="shared" si="113"/>
        <v>6.2924641476141616</v>
      </c>
      <c r="N232" s="31">
        <f t="shared" si="113"/>
        <v>6</v>
      </c>
      <c r="O232" s="31">
        <f t="shared" si="113"/>
        <v>6</v>
      </c>
      <c r="P232" s="31">
        <f t="shared" si="113"/>
        <v>6</v>
      </c>
      <c r="Q232" s="38"/>
      <c r="R232" s="3" t="str">
        <f t="shared" si="111"/>
        <v>Thiruvallur</v>
      </c>
      <c r="S232" s="3">
        <f t="shared" si="101"/>
        <v>0</v>
      </c>
      <c r="T232" s="3">
        <f t="shared" si="101"/>
        <v>0</v>
      </c>
      <c r="U232" s="3" t="str">
        <f t="shared" si="102"/>
        <v>Thiruvallur_0_0</v>
      </c>
      <c r="V232" s="3" t="str">
        <f>IF(_xlfn.XLOOKUP($U232,GCA!$H$3:$H$593,GCA!E$3:E$593,"",0,1)="","",_xlfn.XLOOKUP($U232,GCA!$H$3:$H$593,GCA!E$3:E$593,"",0,1))</f>
        <v/>
      </c>
      <c r="W232" s="3" t="str">
        <f>IF(_xlfn.XLOOKUP($U232,GCA!$H$3:$H$593,GCA!F$3:F$593,"",0,1)="","",_xlfn.XLOOKUP($U232,GCA!$H$3:$H$593,GCA!F$3:F$593,"",0,1))</f>
        <v/>
      </c>
      <c r="X232" s="3" t="str">
        <f>IF(_xlfn.XLOOKUP($U232,GCA!$H$3:$H$593,GCA!G$3:G$593,"",0,1)="","",_xlfn.XLOOKUP($U232,GCA!$H$3:$H$593,GCA!G$3:G$593,"",0,1))</f>
        <v/>
      </c>
    </row>
    <row r="233" spans="1:24" ht="13.2">
      <c r="A233" s="49"/>
      <c r="B233" s="49"/>
      <c r="C233" s="48" t="s">
        <v>224</v>
      </c>
      <c r="D233" s="49" t="s">
        <v>538</v>
      </c>
      <c r="E233" s="50">
        <v>1</v>
      </c>
      <c r="F233" s="26" t="s">
        <v>224</v>
      </c>
      <c r="G233" s="26" t="s">
        <v>224</v>
      </c>
      <c r="H233" s="27">
        <f t="shared" ref="H233:J239" si="114">V233</f>
        <v>9150.0589999999993</v>
      </c>
      <c r="I233" s="27">
        <f t="shared" si="114"/>
        <v>9108.18</v>
      </c>
      <c r="J233" s="27">
        <f t="shared" si="114"/>
        <v>8282.3379999999997</v>
      </c>
      <c r="K233" s="27">
        <f t="shared" ref="K233:K239" si="115">IFERROR(AVERAGE(H233:J233),"")</f>
        <v>8846.8590000000004</v>
      </c>
      <c r="L233" s="65">
        <f>SUM(K233:K239)</f>
        <v>60314.813666666676</v>
      </c>
      <c r="M233" s="67">
        <f t="shared" ref="M233:M239" si="116">L233*$L$643/$L$642</f>
        <v>2.5316561301159295</v>
      </c>
      <c r="N233" s="66">
        <v>2</v>
      </c>
      <c r="O233" s="65">
        <f t="shared" ref="O233:P239" si="117">N233</f>
        <v>2</v>
      </c>
      <c r="P233" s="65">
        <f t="shared" si="117"/>
        <v>2</v>
      </c>
      <c r="Q233" s="38"/>
      <c r="R233" s="3" t="str">
        <f t="shared" si="105"/>
        <v>Kancheepuram</v>
      </c>
      <c r="S233" s="3" t="str">
        <f t="shared" si="101"/>
        <v>Kancheepuram</v>
      </c>
      <c r="T233" s="3" t="str">
        <f t="shared" si="101"/>
        <v>Kancheepuram</v>
      </c>
      <c r="U233" s="3" t="str">
        <f t="shared" si="102"/>
        <v>Kancheepuram_Kancheepuram_Kancheepuram</v>
      </c>
      <c r="V233" s="3">
        <f>IF(_xlfn.XLOOKUP($U233,GCA!$H$3:$H$593,GCA!E$3:E$593,"",0,1)="","",_xlfn.XLOOKUP($U233,GCA!$H$3:$H$593,GCA!E$3:E$593,"",0,1))</f>
        <v>9150.0589999999993</v>
      </c>
      <c r="W233" s="3">
        <f>IF(_xlfn.XLOOKUP($U233,GCA!$H$3:$H$593,GCA!F$3:F$593,"",0,1)="","",_xlfn.XLOOKUP($U233,GCA!$H$3:$H$593,GCA!F$3:F$593,"",0,1))</f>
        <v>9108.18</v>
      </c>
      <c r="X233" s="3">
        <f>IF(_xlfn.XLOOKUP($U233,GCA!$H$3:$H$593,GCA!G$3:G$593,"",0,1)="","",_xlfn.XLOOKUP($U233,GCA!$H$3:$H$593,GCA!G$3:G$593,"",0,1))</f>
        <v>8282.3379999999997</v>
      </c>
    </row>
    <row r="234" spans="1:24" ht="13.2">
      <c r="A234" s="49"/>
      <c r="B234" s="49"/>
      <c r="C234" s="48"/>
      <c r="D234" s="49"/>
      <c r="E234" s="50"/>
      <c r="F234" s="26" t="s">
        <v>224</v>
      </c>
      <c r="G234" s="26" t="s">
        <v>744</v>
      </c>
      <c r="H234" s="27">
        <f t="shared" si="114"/>
        <v>10453.964</v>
      </c>
      <c r="I234" s="27">
        <f t="shared" si="114"/>
        <v>10944.727000000001</v>
      </c>
      <c r="J234" s="27">
        <f t="shared" si="114"/>
        <v>11010.536</v>
      </c>
      <c r="K234" s="27">
        <f t="shared" si="115"/>
        <v>10803.075666666666</v>
      </c>
      <c r="L234" s="65"/>
      <c r="M234" s="67">
        <f t="shared" si="116"/>
        <v>0</v>
      </c>
      <c r="N234" s="66" t="str">
        <f t="shared" ref="N234:N239" si="118">IF(M234&gt;=2, ROUND(M234,0), IF(M234&gt;1.1,2,""))</f>
        <v/>
      </c>
      <c r="O234" s="65" t="str">
        <f t="shared" si="117"/>
        <v/>
      </c>
      <c r="P234" s="65" t="str">
        <f t="shared" si="117"/>
        <v/>
      </c>
      <c r="Q234" s="38"/>
      <c r="R234" s="3" t="str">
        <f t="shared" ref="R234:R240" si="119">R233</f>
        <v>Kancheepuram</v>
      </c>
      <c r="S234" s="3" t="str">
        <f t="shared" si="101"/>
        <v>Kancheepuram</v>
      </c>
      <c r="T234" s="3" t="str">
        <f t="shared" si="101"/>
        <v>Walajabad</v>
      </c>
      <c r="U234" s="3" t="str">
        <f t="shared" si="102"/>
        <v>Kancheepuram_Kancheepuram_Walajabad</v>
      </c>
      <c r="V234" s="3">
        <f>IF(_xlfn.XLOOKUP($U234,GCA!$H$3:$H$593,GCA!E$3:E$593,"",0,1)="","",_xlfn.XLOOKUP($U234,GCA!$H$3:$H$593,GCA!E$3:E$593,"",0,1))</f>
        <v>10453.964</v>
      </c>
      <c r="W234" s="3">
        <f>IF(_xlfn.XLOOKUP($U234,GCA!$H$3:$H$593,GCA!F$3:F$593,"",0,1)="","",_xlfn.XLOOKUP($U234,GCA!$H$3:$H$593,GCA!F$3:F$593,"",0,1))</f>
        <v>10944.727000000001</v>
      </c>
      <c r="X234" s="3">
        <f>IF(_xlfn.XLOOKUP($U234,GCA!$H$3:$H$593,GCA!G$3:G$593,"",0,1)="","",_xlfn.XLOOKUP($U234,GCA!$H$3:$H$593,GCA!G$3:G$593,"",0,1))</f>
        <v>11010.536</v>
      </c>
    </row>
    <row r="235" spans="1:24" ht="13.2">
      <c r="A235" s="49"/>
      <c r="B235" s="49"/>
      <c r="C235" s="48"/>
      <c r="D235" s="49"/>
      <c r="E235" s="50"/>
      <c r="F235" s="26" t="s">
        <v>745</v>
      </c>
      <c r="G235" s="26" t="s">
        <v>745</v>
      </c>
      <c r="H235" s="27">
        <f t="shared" si="114"/>
        <v>3437.279</v>
      </c>
      <c r="I235" s="27">
        <f t="shared" si="114"/>
        <v>3295.2339999999999</v>
      </c>
      <c r="J235" s="27">
        <f t="shared" si="114"/>
        <v>3148.9749999999999</v>
      </c>
      <c r="K235" s="27">
        <f t="shared" si="115"/>
        <v>3293.8293333333331</v>
      </c>
      <c r="L235" s="65"/>
      <c r="M235" s="67">
        <f t="shared" si="116"/>
        <v>0</v>
      </c>
      <c r="N235" s="66" t="str">
        <f t="shared" si="118"/>
        <v/>
      </c>
      <c r="O235" s="65" t="str">
        <f t="shared" si="117"/>
        <v/>
      </c>
      <c r="P235" s="65" t="str">
        <f t="shared" si="117"/>
        <v/>
      </c>
      <c r="Q235" s="38"/>
      <c r="R235" s="3" t="str">
        <f t="shared" si="119"/>
        <v>Kancheepuram</v>
      </c>
      <c r="S235" s="3" t="str">
        <f t="shared" si="101"/>
        <v>Kundrathur</v>
      </c>
      <c r="T235" s="3" t="str">
        <f t="shared" si="101"/>
        <v>Kundrathur</v>
      </c>
      <c r="U235" s="3" t="str">
        <f t="shared" si="102"/>
        <v>Kancheepuram_Kundrathur_Kundrathur</v>
      </c>
      <c r="V235" s="3">
        <f>IF(_xlfn.XLOOKUP($U235,GCA!$H$3:$H$593,GCA!E$3:E$593,"",0,1)="","",_xlfn.XLOOKUP($U235,GCA!$H$3:$H$593,GCA!E$3:E$593,"",0,1))</f>
        <v>3437.279</v>
      </c>
      <c r="W235" s="3">
        <f>IF(_xlfn.XLOOKUP($U235,GCA!$H$3:$H$593,GCA!F$3:F$593,"",0,1)="","",_xlfn.XLOOKUP($U235,GCA!$H$3:$H$593,GCA!F$3:F$593,"",0,1))</f>
        <v>3295.2339999999999</v>
      </c>
      <c r="X235" s="3">
        <f>IF(_xlfn.XLOOKUP($U235,GCA!$H$3:$H$593,GCA!G$3:G$593,"",0,1)="","",_xlfn.XLOOKUP($U235,GCA!$H$3:$H$593,GCA!G$3:G$593,"",0,1))</f>
        <v>3148.9749999999999</v>
      </c>
    </row>
    <row r="236" spans="1:24" ht="13.2">
      <c r="A236" s="49"/>
      <c r="B236" s="49"/>
      <c r="C236" s="48"/>
      <c r="D236" s="49"/>
      <c r="E236" s="50"/>
      <c r="F236" s="26" t="s">
        <v>746</v>
      </c>
      <c r="G236" s="26" t="s">
        <v>746</v>
      </c>
      <c r="H236" s="27">
        <f t="shared" si="114"/>
        <v>9001.2080000000005</v>
      </c>
      <c r="I236" s="27">
        <f t="shared" si="114"/>
        <v>8996.1959999999999</v>
      </c>
      <c r="J236" s="27">
        <f t="shared" si="114"/>
        <v>9588.7450000000008</v>
      </c>
      <c r="K236" s="27">
        <f t="shared" si="115"/>
        <v>9195.3830000000016</v>
      </c>
      <c r="L236" s="65"/>
      <c r="M236" s="67">
        <f t="shared" si="116"/>
        <v>0</v>
      </c>
      <c r="N236" s="66" t="str">
        <f t="shared" si="118"/>
        <v/>
      </c>
      <c r="O236" s="65" t="str">
        <f t="shared" si="117"/>
        <v/>
      </c>
      <c r="P236" s="65" t="str">
        <f t="shared" si="117"/>
        <v/>
      </c>
      <c r="Q236" s="38"/>
      <c r="R236" s="3" t="str">
        <f t="shared" si="119"/>
        <v>Kancheepuram</v>
      </c>
      <c r="S236" s="3" t="str">
        <f t="shared" si="101"/>
        <v>Sriperumpudur</v>
      </c>
      <c r="T236" s="3" t="str">
        <f t="shared" si="101"/>
        <v>Sriperumpudur</v>
      </c>
      <c r="U236" s="3" t="str">
        <f t="shared" si="102"/>
        <v>Kancheepuram_Sriperumpudur_Sriperumpudur</v>
      </c>
      <c r="V236" s="3">
        <f>IF(_xlfn.XLOOKUP($U236,GCA!$H$3:$H$593,GCA!E$3:E$593,"",0,1)="","",_xlfn.XLOOKUP($U236,GCA!$H$3:$H$593,GCA!E$3:E$593,"",0,1))</f>
        <v>9001.2080000000005</v>
      </c>
      <c r="W236" s="3">
        <f>IF(_xlfn.XLOOKUP($U236,GCA!$H$3:$H$593,GCA!F$3:F$593,"",0,1)="","",_xlfn.XLOOKUP($U236,GCA!$H$3:$H$593,GCA!F$3:F$593,"",0,1))</f>
        <v>8996.1959999999999</v>
      </c>
      <c r="X236" s="3">
        <f>IF(_xlfn.XLOOKUP($U236,GCA!$H$3:$H$593,GCA!G$3:G$593,"",0,1)="","",_xlfn.XLOOKUP($U236,GCA!$H$3:$H$593,GCA!G$3:G$593,"",0,1))</f>
        <v>9588.7450000000008</v>
      </c>
    </row>
    <row r="237" spans="1:24" ht="13.2">
      <c r="A237" s="49"/>
      <c r="B237" s="49"/>
      <c r="C237" s="48"/>
      <c r="D237" s="49"/>
      <c r="E237" s="50"/>
      <c r="F237" s="26" t="s">
        <v>747</v>
      </c>
      <c r="G237" s="26" t="s">
        <v>747</v>
      </c>
      <c r="H237" s="27">
        <f t="shared" si="114"/>
        <v>18947.91</v>
      </c>
      <c r="I237" s="27">
        <f t="shared" si="114"/>
        <v>18242.976999999999</v>
      </c>
      <c r="J237" s="27">
        <f t="shared" si="114"/>
        <v>17500.435000000001</v>
      </c>
      <c r="K237" s="27">
        <f t="shared" si="115"/>
        <v>18230.440666666665</v>
      </c>
      <c r="L237" s="65"/>
      <c r="M237" s="67">
        <f t="shared" si="116"/>
        <v>0</v>
      </c>
      <c r="N237" s="66" t="str">
        <f t="shared" si="118"/>
        <v/>
      </c>
      <c r="O237" s="65" t="str">
        <f t="shared" si="117"/>
        <v/>
      </c>
      <c r="P237" s="65" t="str">
        <f t="shared" si="117"/>
        <v/>
      </c>
      <c r="Q237" s="38"/>
      <c r="R237" s="3" t="str">
        <f t="shared" si="119"/>
        <v>Kancheepuram</v>
      </c>
      <c r="S237" s="3" t="str">
        <f t="shared" si="101"/>
        <v>Uthiramerur</v>
      </c>
      <c r="T237" s="3" t="str">
        <f t="shared" si="101"/>
        <v>Uthiramerur</v>
      </c>
      <c r="U237" s="3" t="str">
        <f t="shared" si="102"/>
        <v>Kancheepuram_Uthiramerur_Uthiramerur</v>
      </c>
      <c r="V237" s="3">
        <f>IF(_xlfn.XLOOKUP($U237,GCA!$H$3:$H$593,GCA!E$3:E$593,"",0,1)="","",_xlfn.XLOOKUP($U237,GCA!$H$3:$H$593,GCA!E$3:E$593,"",0,1))</f>
        <v>18947.91</v>
      </c>
      <c r="W237" s="3">
        <f>IF(_xlfn.XLOOKUP($U237,GCA!$H$3:$H$593,GCA!F$3:F$593,"",0,1)="","",_xlfn.XLOOKUP($U237,GCA!$H$3:$H$593,GCA!F$3:F$593,"",0,1))</f>
        <v>18242.976999999999</v>
      </c>
      <c r="X237" s="3">
        <f>IF(_xlfn.XLOOKUP($U237,GCA!$H$3:$H$593,GCA!G$3:G$593,"",0,1)="","",_xlfn.XLOOKUP($U237,GCA!$H$3:$H$593,GCA!G$3:G$593,"",0,1))</f>
        <v>17500.435000000001</v>
      </c>
    </row>
    <row r="238" spans="1:24" ht="13.2">
      <c r="A238" s="49"/>
      <c r="B238" s="49"/>
      <c r="C238" s="48"/>
      <c r="D238" s="49"/>
      <c r="E238" s="50"/>
      <c r="F238" s="26" t="s">
        <v>744</v>
      </c>
      <c r="G238" s="26" t="s">
        <v>224</v>
      </c>
      <c r="H238" s="27">
        <f t="shared" si="114"/>
        <v>4239.4290000000001</v>
      </c>
      <c r="I238" s="27">
        <f t="shared" si="114"/>
        <v>4272.6750000000002</v>
      </c>
      <c r="J238" s="27">
        <f t="shared" si="114"/>
        <v>3536.25</v>
      </c>
      <c r="K238" s="27">
        <f t="shared" si="115"/>
        <v>4016.1179999999999</v>
      </c>
      <c r="L238" s="65"/>
      <c r="M238" s="67">
        <f t="shared" si="116"/>
        <v>0</v>
      </c>
      <c r="N238" s="66" t="str">
        <f t="shared" si="118"/>
        <v/>
      </c>
      <c r="O238" s="65" t="str">
        <f t="shared" si="117"/>
        <v/>
      </c>
      <c r="P238" s="65" t="str">
        <f t="shared" si="117"/>
        <v/>
      </c>
      <c r="Q238" s="38"/>
      <c r="R238" s="3" t="str">
        <f t="shared" si="119"/>
        <v>Kancheepuram</v>
      </c>
      <c r="S238" s="3" t="str">
        <f t="shared" si="101"/>
        <v>Walajabad</v>
      </c>
      <c r="T238" s="3" t="str">
        <f t="shared" si="101"/>
        <v>Kancheepuram</v>
      </c>
      <c r="U238" s="3" t="str">
        <f t="shared" si="102"/>
        <v>Kancheepuram_Walajabad_Kancheepuram</v>
      </c>
      <c r="V238" s="3">
        <f>IF(_xlfn.XLOOKUP($U238,GCA!$H$3:$H$593,GCA!E$3:E$593,"",0,1)="","",_xlfn.XLOOKUP($U238,GCA!$H$3:$H$593,GCA!E$3:E$593,"",0,1))</f>
        <v>4239.4290000000001</v>
      </c>
      <c r="W238" s="3">
        <f>IF(_xlfn.XLOOKUP($U238,GCA!$H$3:$H$593,GCA!F$3:F$593,"",0,1)="","",_xlfn.XLOOKUP($U238,GCA!$H$3:$H$593,GCA!F$3:F$593,"",0,1))</f>
        <v>4272.6750000000002</v>
      </c>
      <c r="X238" s="3">
        <f>IF(_xlfn.XLOOKUP($U238,GCA!$H$3:$H$593,GCA!G$3:G$593,"",0,1)="","",_xlfn.XLOOKUP($U238,GCA!$H$3:$H$593,GCA!G$3:G$593,"",0,1))</f>
        <v>3536.25</v>
      </c>
    </row>
    <row r="239" spans="1:24" ht="13.2">
      <c r="A239" s="49"/>
      <c r="B239" s="49"/>
      <c r="C239" s="48"/>
      <c r="D239" s="49"/>
      <c r="E239" s="50"/>
      <c r="F239" s="26" t="s">
        <v>744</v>
      </c>
      <c r="G239" s="26" t="s">
        <v>744</v>
      </c>
      <c r="H239" s="27">
        <f t="shared" si="114"/>
        <v>5865.8360000000002</v>
      </c>
      <c r="I239" s="27">
        <f t="shared" si="114"/>
        <v>5744.7269999999999</v>
      </c>
      <c r="J239" s="27">
        <f t="shared" si="114"/>
        <v>6176.7610000000004</v>
      </c>
      <c r="K239" s="27">
        <f t="shared" si="115"/>
        <v>5929.1080000000002</v>
      </c>
      <c r="L239" s="65"/>
      <c r="M239" s="67">
        <f t="shared" si="116"/>
        <v>0</v>
      </c>
      <c r="N239" s="66" t="str">
        <f t="shared" si="118"/>
        <v/>
      </c>
      <c r="O239" s="65" t="str">
        <f t="shared" si="117"/>
        <v/>
      </c>
      <c r="P239" s="65" t="str">
        <f t="shared" si="117"/>
        <v/>
      </c>
      <c r="Q239" s="38"/>
      <c r="R239" s="3" t="str">
        <f t="shared" si="119"/>
        <v>Kancheepuram</v>
      </c>
      <c r="S239" s="3" t="str">
        <f t="shared" si="101"/>
        <v>Walajabad</v>
      </c>
      <c r="T239" s="3" t="str">
        <f t="shared" si="101"/>
        <v>Walajabad</v>
      </c>
      <c r="U239" s="3" t="str">
        <f t="shared" si="102"/>
        <v>Kancheepuram_Walajabad_Walajabad</v>
      </c>
      <c r="V239" s="3">
        <f>IF(_xlfn.XLOOKUP($U239,GCA!$H$3:$H$593,GCA!E$3:E$593,"",0,1)="","",_xlfn.XLOOKUP($U239,GCA!$H$3:$H$593,GCA!E$3:E$593,"",0,1))</f>
        <v>5865.8360000000002</v>
      </c>
      <c r="W239" s="3">
        <f>IF(_xlfn.XLOOKUP($U239,GCA!$H$3:$H$593,GCA!F$3:F$593,"",0,1)="","",_xlfn.XLOOKUP($U239,GCA!$H$3:$H$593,GCA!F$3:F$593,"",0,1))</f>
        <v>5744.7269999999999</v>
      </c>
      <c r="X239" s="3">
        <f>IF(_xlfn.XLOOKUP($U239,GCA!$H$3:$H$593,GCA!G$3:G$593,"",0,1)="","",_xlfn.XLOOKUP($U239,GCA!$H$3:$H$593,GCA!G$3:G$593,"",0,1))</f>
        <v>6176.7610000000004</v>
      </c>
    </row>
    <row r="240" spans="1:24" ht="13.2">
      <c r="A240" s="49"/>
      <c r="B240" s="49"/>
      <c r="C240" s="48"/>
      <c r="D240" s="49"/>
      <c r="E240" s="47" t="s">
        <v>564</v>
      </c>
      <c r="F240" s="47"/>
      <c r="G240" s="47"/>
      <c r="H240" s="29">
        <f t="shared" ref="H240:P240" si="120">SUM(H233:H239)</f>
        <v>61095.685000000005</v>
      </c>
      <c r="I240" s="29">
        <f t="shared" si="120"/>
        <v>60604.716</v>
      </c>
      <c r="J240" s="29">
        <f t="shared" si="120"/>
        <v>59244.039999999994</v>
      </c>
      <c r="K240" s="29">
        <f t="shared" si="120"/>
        <v>60314.813666666676</v>
      </c>
      <c r="L240" s="29">
        <f t="shared" si="120"/>
        <v>60314.813666666676</v>
      </c>
      <c r="M240" s="30">
        <f t="shared" si="120"/>
        <v>2.5316561301159295</v>
      </c>
      <c r="N240" s="31">
        <f t="shared" si="120"/>
        <v>2</v>
      </c>
      <c r="O240" s="31">
        <f t="shared" si="120"/>
        <v>2</v>
      </c>
      <c r="P240" s="31">
        <f t="shared" si="120"/>
        <v>2</v>
      </c>
      <c r="Q240" s="38"/>
      <c r="R240" s="3" t="str">
        <f t="shared" si="119"/>
        <v>Kancheepuram</v>
      </c>
      <c r="S240" s="3">
        <f t="shared" si="101"/>
        <v>0</v>
      </c>
      <c r="T240" s="3">
        <f t="shared" si="101"/>
        <v>0</v>
      </c>
      <c r="U240" s="3" t="str">
        <f t="shared" si="102"/>
        <v>Kancheepuram_0_0</v>
      </c>
      <c r="V240" s="3" t="str">
        <f>IF(_xlfn.XLOOKUP($U240,GCA!$H$3:$H$593,GCA!E$3:E$593,"",0,1)="","",_xlfn.XLOOKUP($U240,GCA!$H$3:$H$593,GCA!E$3:E$593,"",0,1))</f>
        <v/>
      </c>
      <c r="W240" s="3" t="str">
        <f>IF(_xlfn.XLOOKUP($U240,GCA!$H$3:$H$593,GCA!F$3:F$593,"",0,1)="","",_xlfn.XLOOKUP($U240,GCA!$H$3:$H$593,GCA!F$3:F$593,"",0,1))</f>
        <v/>
      </c>
      <c r="X240" s="3" t="str">
        <f>IF(_xlfn.XLOOKUP($U240,GCA!$H$3:$H$593,GCA!G$3:G$593,"",0,1)="","",_xlfn.XLOOKUP($U240,GCA!$H$3:$H$593,GCA!G$3:G$593,"",0,1))</f>
        <v/>
      </c>
    </row>
    <row r="241" spans="1:24" ht="13.2">
      <c r="A241" s="49"/>
      <c r="B241" s="49"/>
      <c r="C241" s="48" t="s">
        <v>225</v>
      </c>
      <c r="D241" s="49" t="s">
        <v>543</v>
      </c>
      <c r="E241" s="56">
        <v>1</v>
      </c>
      <c r="F241" s="26" t="s">
        <v>225</v>
      </c>
      <c r="G241" s="26" t="s">
        <v>748</v>
      </c>
      <c r="H241" s="27">
        <f t="shared" ref="H241:J251" si="121">V241</f>
        <v>2424.7469999999998</v>
      </c>
      <c r="I241" s="27">
        <f t="shared" si="121"/>
        <v>2232.1709999999998</v>
      </c>
      <c r="J241" s="27">
        <f t="shared" si="121"/>
        <v>2506.056</v>
      </c>
      <c r="K241" s="27">
        <f t="shared" ref="K241:K251" si="122">IFERROR(AVERAGE(H241:J241),"")</f>
        <v>2387.6579999999999</v>
      </c>
      <c r="L241" s="62">
        <f>SUM(K241:K243)</f>
        <v>30636.542666666664</v>
      </c>
      <c r="M241" s="69">
        <f>L241*$L$643/$L$642</f>
        <v>1.2859393295363775</v>
      </c>
      <c r="N241" s="62">
        <f t="shared" si="100"/>
        <v>2</v>
      </c>
      <c r="O241" s="62">
        <f t="shared" ref="O241:P241" si="123">N241</f>
        <v>2</v>
      </c>
      <c r="P241" s="62">
        <f t="shared" si="123"/>
        <v>2</v>
      </c>
      <c r="Q241" s="38"/>
      <c r="R241" s="3" t="str">
        <f t="shared" si="105"/>
        <v>Chengalpattu</v>
      </c>
      <c r="S241" s="3" t="str">
        <f t="shared" si="101"/>
        <v>Chengalpattu</v>
      </c>
      <c r="T241" s="3" t="str">
        <f t="shared" si="101"/>
        <v>Kattankulathur</v>
      </c>
      <c r="U241" s="3" t="str">
        <f t="shared" si="102"/>
        <v>Chengalpattu_Chengalpattu_Kattankulathur</v>
      </c>
      <c r="V241" s="3">
        <f>IF(_xlfn.XLOOKUP($U241,GCA!$H$3:$H$593,GCA!E$3:E$593,"",0,1)="","",_xlfn.XLOOKUP($U241,GCA!$H$3:$H$593,GCA!E$3:E$593,"",0,1))</f>
        <v>2424.7469999999998</v>
      </c>
      <c r="W241" s="3">
        <f>IF(_xlfn.XLOOKUP($U241,GCA!$H$3:$H$593,GCA!F$3:F$593,"",0,1)="","",_xlfn.XLOOKUP($U241,GCA!$H$3:$H$593,GCA!F$3:F$593,"",0,1))</f>
        <v>2232.1709999999998</v>
      </c>
      <c r="X241" s="3">
        <f>IF(_xlfn.XLOOKUP($U241,GCA!$H$3:$H$593,GCA!G$3:G$593,"",0,1)="","",_xlfn.XLOOKUP($U241,GCA!$H$3:$H$593,GCA!G$3:G$593,"",0,1))</f>
        <v>2506.056</v>
      </c>
    </row>
    <row r="242" spans="1:24" ht="13.2">
      <c r="A242" s="49"/>
      <c r="B242" s="49"/>
      <c r="C242" s="48"/>
      <c r="D242" s="49"/>
      <c r="E242" s="57"/>
      <c r="F242" s="26" t="s">
        <v>749</v>
      </c>
      <c r="G242" s="26" t="s">
        <v>750</v>
      </c>
      <c r="H242" s="27">
        <f t="shared" si="121"/>
        <v>15569.97</v>
      </c>
      <c r="I242" s="27">
        <f t="shared" si="121"/>
        <v>15283.593000000001</v>
      </c>
      <c r="J242" s="27">
        <f t="shared" si="121"/>
        <v>15515.933000000001</v>
      </c>
      <c r="K242" s="27">
        <f t="shared" si="122"/>
        <v>15456.498666666666</v>
      </c>
      <c r="L242" s="63"/>
      <c r="M242" s="70"/>
      <c r="N242" s="63"/>
      <c r="O242" s="63"/>
      <c r="P242" s="63"/>
      <c r="Q242" s="38"/>
      <c r="R242" s="3" t="str">
        <f t="shared" ref="R242:R252" si="124">R241</f>
        <v>Chengalpattu</v>
      </c>
      <c r="S242" s="3" t="str">
        <f t="shared" si="101"/>
        <v>Cheyyur</v>
      </c>
      <c r="T242" s="3" t="str">
        <f t="shared" si="101"/>
        <v>Chithamur</v>
      </c>
      <c r="U242" s="3" t="str">
        <f t="shared" si="102"/>
        <v>Chengalpattu_Cheyyur_Chithamur</v>
      </c>
      <c r="V242" s="3">
        <f>IF(_xlfn.XLOOKUP($U242,GCA!$H$3:$H$593,GCA!E$3:E$593,"",0,1)="","",_xlfn.XLOOKUP($U242,GCA!$H$3:$H$593,GCA!E$3:E$593,"",0,1))</f>
        <v>15569.97</v>
      </c>
      <c r="W242" s="3">
        <f>IF(_xlfn.XLOOKUP($U242,GCA!$H$3:$H$593,GCA!F$3:F$593,"",0,1)="","",_xlfn.XLOOKUP($U242,GCA!$H$3:$H$593,GCA!F$3:F$593,"",0,1))</f>
        <v>15283.593000000001</v>
      </c>
      <c r="X242" s="3">
        <f>IF(_xlfn.XLOOKUP($U242,GCA!$H$3:$H$593,GCA!G$3:G$593,"",0,1)="","",_xlfn.XLOOKUP($U242,GCA!$H$3:$H$593,GCA!G$3:G$593,"",0,1))</f>
        <v>15515.933000000001</v>
      </c>
    </row>
    <row r="243" spans="1:24" ht="13.2">
      <c r="A243" s="49"/>
      <c r="B243" s="49"/>
      <c r="C243" s="48"/>
      <c r="D243" s="49"/>
      <c r="E243" s="58"/>
      <c r="F243" s="26" t="s">
        <v>749</v>
      </c>
      <c r="G243" s="26" t="s">
        <v>751</v>
      </c>
      <c r="H243" s="27">
        <f t="shared" si="121"/>
        <v>12361.23</v>
      </c>
      <c r="I243" s="27">
        <f t="shared" si="121"/>
        <v>13243.663</v>
      </c>
      <c r="J243" s="27">
        <f t="shared" si="121"/>
        <v>12772.264999999999</v>
      </c>
      <c r="K243" s="27">
        <f t="shared" si="122"/>
        <v>12792.385999999999</v>
      </c>
      <c r="L243" s="64"/>
      <c r="M243" s="71"/>
      <c r="N243" s="64"/>
      <c r="O243" s="64"/>
      <c r="P243" s="64"/>
      <c r="Q243" s="38"/>
      <c r="R243" s="3" t="str">
        <f t="shared" si="124"/>
        <v>Chengalpattu</v>
      </c>
      <c r="S243" s="3" t="str">
        <f t="shared" si="101"/>
        <v>Cheyyur</v>
      </c>
      <c r="T243" s="3" t="str">
        <f t="shared" si="101"/>
        <v>Lathur</v>
      </c>
      <c r="U243" s="3" t="str">
        <f t="shared" si="102"/>
        <v>Chengalpattu_Cheyyur_Lathur</v>
      </c>
      <c r="V243" s="3">
        <f>IF(_xlfn.XLOOKUP($U243,GCA!$H$3:$H$593,GCA!E$3:E$593,"",0,1)="","",_xlfn.XLOOKUP($U243,GCA!$H$3:$H$593,GCA!E$3:E$593,"",0,1))</f>
        <v>12361.23</v>
      </c>
      <c r="W243" s="3">
        <f>IF(_xlfn.XLOOKUP($U243,GCA!$H$3:$H$593,GCA!F$3:F$593,"",0,1)="","",_xlfn.XLOOKUP($U243,GCA!$H$3:$H$593,GCA!F$3:F$593,"",0,1))</f>
        <v>13243.663</v>
      </c>
      <c r="X243" s="3">
        <f>IF(_xlfn.XLOOKUP($U243,GCA!$H$3:$H$593,GCA!G$3:G$593,"",0,1)="","",_xlfn.XLOOKUP($U243,GCA!$H$3:$H$593,GCA!G$3:G$593,"",0,1))</f>
        <v>12772.264999999999</v>
      </c>
    </row>
    <row r="244" spans="1:24" ht="13.2">
      <c r="A244" s="49"/>
      <c r="B244" s="49"/>
      <c r="C244" s="48"/>
      <c r="D244" s="49"/>
      <c r="E244" s="56">
        <v>2</v>
      </c>
      <c r="F244" s="26" t="s">
        <v>752</v>
      </c>
      <c r="G244" s="26" t="s">
        <v>753</v>
      </c>
      <c r="H244" s="27">
        <f t="shared" si="121"/>
        <v>13125.365</v>
      </c>
      <c r="I244" s="27">
        <f t="shared" si="121"/>
        <v>12665.805</v>
      </c>
      <c r="J244" s="27">
        <f t="shared" si="121"/>
        <v>12694.155000000001</v>
      </c>
      <c r="K244" s="27">
        <f t="shared" si="122"/>
        <v>12828.441666666666</v>
      </c>
      <c r="L244" s="62">
        <f>SUM(K244:K251)</f>
        <v>53581.656999999999</v>
      </c>
      <c r="M244" s="69">
        <f>L244*$L$643/$L$642</f>
        <v>2.2490383731515533</v>
      </c>
      <c r="N244" s="62">
        <f t="shared" si="100"/>
        <v>2</v>
      </c>
      <c r="O244" s="62">
        <f t="shared" ref="O244:P244" si="125">N244</f>
        <v>2</v>
      </c>
      <c r="P244" s="62">
        <f t="shared" si="125"/>
        <v>2</v>
      </c>
      <c r="Q244" s="38"/>
      <c r="R244" s="3" t="str">
        <f t="shared" si="124"/>
        <v>Chengalpattu</v>
      </c>
      <c r="S244" s="3" t="str">
        <f t="shared" si="101"/>
        <v>Madhuranthakam</v>
      </c>
      <c r="T244" s="3" t="str">
        <f t="shared" si="101"/>
        <v>Acharappakkam</v>
      </c>
      <c r="U244" s="3" t="str">
        <f t="shared" si="102"/>
        <v>Chengalpattu_Madhuranthakam_Acharappakkam</v>
      </c>
      <c r="V244" s="3">
        <f>IF(_xlfn.XLOOKUP($U244,GCA!$H$3:$H$593,GCA!E$3:E$593,"",0,1)="","",_xlfn.XLOOKUP($U244,GCA!$H$3:$H$593,GCA!E$3:E$593,"",0,1))</f>
        <v>13125.365</v>
      </c>
      <c r="W244" s="3">
        <f>IF(_xlfn.XLOOKUP($U244,GCA!$H$3:$H$593,GCA!F$3:F$593,"",0,1)="","",_xlfn.XLOOKUP($U244,GCA!$H$3:$H$593,GCA!F$3:F$593,"",0,1))</f>
        <v>12665.805</v>
      </c>
      <c r="X244" s="3">
        <f>IF(_xlfn.XLOOKUP($U244,GCA!$H$3:$H$593,GCA!G$3:G$593,"",0,1)="","",_xlfn.XLOOKUP($U244,GCA!$H$3:$H$593,GCA!G$3:G$593,"",0,1))</f>
        <v>12694.155000000001</v>
      </c>
    </row>
    <row r="245" spans="1:24" ht="13.2">
      <c r="A245" s="49"/>
      <c r="B245" s="49"/>
      <c r="C245" s="48"/>
      <c r="D245" s="49"/>
      <c r="E245" s="57"/>
      <c r="F245" s="26" t="s">
        <v>752</v>
      </c>
      <c r="G245" s="26" t="s">
        <v>752</v>
      </c>
      <c r="H245" s="27">
        <f t="shared" si="121"/>
        <v>17723.02</v>
      </c>
      <c r="I245" s="27">
        <f t="shared" si="121"/>
        <v>17836.939999999999</v>
      </c>
      <c r="J245" s="27">
        <f t="shared" si="121"/>
        <v>16344.87</v>
      </c>
      <c r="K245" s="27">
        <f t="shared" si="122"/>
        <v>17301.61</v>
      </c>
      <c r="L245" s="63"/>
      <c r="M245" s="70"/>
      <c r="N245" s="63"/>
      <c r="O245" s="63"/>
      <c r="P245" s="63"/>
      <c r="Q245" s="38"/>
      <c r="R245" s="3" t="str">
        <f t="shared" si="124"/>
        <v>Chengalpattu</v>
      </c>
      <c r="S245" s="3" t="str">
        <f t="shared" si="101"/>
        <v>Madhuranthakam</v>
      </c>
      <c r="T245" s="3" t="str">
        <f t="shared" si="101"/>
        <v>Madhuranthakam</v>
      </c>
      <c r="U245" s="3" t="str">
        <f t="shared" si="102"/>
        <v>Chengalpattu_Madhuranthakam_Madhuranthakam</v>
      </c>
      <c r="V245" s="3">
        <f>IF(_xlfn.XLOOKUP($U245,GCA!$H$3:$H$593,GCA!E$3:E$593,"",0,1)="","",_xlfn.XLOOKUP($U245,GCA!$H$3:$H$593,GCA!E$3:E$593,"",0,1))</f>
        <v>17723.02</v>
      </c>
      <c r="W245" s="3">
        <f>IF(_xlfn.XLOOKUP($U245,GCA!$H$3:$H$593,GCA!F$3:F$593,"",0,1)="","",_xlfn.XLOOKUP($U245,GCA!$H$3:$H$593,GCA!F$3:F$593,"",0,1))</f>
        <v>17836.939999999999</v>
      </c>
      <c r="X245" s="3">
        <f>IF(_xlfn.XLOOKUP($U245,GCA!$H$3:$H$593,GCA!G$3:G$593,"",0,1)="","",_xlfn.XLOOKUP($U245,GCA!$H$3:$H$593,GCA!G$3:G$593,"",0,1))</f>
        <v>16344.87</v>
      </c>
    </row>
    <row r="246" spans="1:24" ht="13.2">
      <c r="A246" s="49"/>
      <c r="B246" s="49"/>
      <c r="C246" s="48"/>
      <c r="D246" s="49"/>
      <c r="E246" s="57"/>
      <c r="F246" s="26" t="s">
        <v>754</v>
      </c>
      <c r="G246" s="26" t="s">
        <v>755</v>
      </c>
      <c r="H246" s="27">
        <f t="shared" si="121"/>
        <v>40.697000000000003</v>
      </c>
      <c r="I246" s="27">
        <f t="shared" si="121"/>
        <v>65.903000000000006</v>
      </c>
      <c r="J246" s="27">
        <f t="shared" si="121"/>
        <v>54.177999999999997</v>
      </c>
      <c r="K246" s="27">
        <f t="shared" si="122"/>
        <v>53.592666666666673</v>
      </c>
      <c r="L246" s="63"/>
      <c r="M246" s="70"/>
      <c r="N246" s="63"/>
      <c r="O246" s="63"/>
      <c r="P246" s="63"/>
      <c r="Q246" s="38"/>
      <c r="R246" s="3" t="str">
        <f t="shared" si="124"/>
        <v>Chengalpattu</v>
      </c>
      <c r="S246" s="3" t="str">
        <f t="shared" si="101"/>
        <v>Pallavaram</v>
      </c>
      <c r="T246" s="3" t="str">
        <f t="shared" si="101"/>
        <v>Chitlapakkam</v>
      </c>
      <c r="U246" s="3" t="str">
        <f t="shared" si="102"/>
        <v>Chengalpattu_Pallavaram_Chitlapakkam</v>
      </c>
      <c r="V246" s="3">
        <f>IF(_xlfn.XLOOKUP($U246,GCA!$H$3:$H$593,GCA!E$3:E$593,"",0,1)="","",_xlfn.XLOOKUP($U246,GCA!$H$3:$H$593,GCA!E$3:E$593,"",0,1))</f>
        <v>40.697000000000003</v>
      </c>
      <c r="W246" s="3">
        <f>IF(_xlfn.XLOOKUP($U246,GCA!$H$3:$H$593,GCA!F$3:F$593,"",0,1)="","",_xlfn.XLOOKUP($U246,GCA!$H$3:$H$593,GCA!F$3:F$593,"",0,1))</f>
        <v>65.903000000000006</v>
      </c>
      <c r="X246" s="3">
        <f>IF(_xlfn.XLOOKUP($U246,GCA!$H$3:$H$593,GCA!G$3:G$593,"",0,1)="","",_xlfn.XLOOKUP($U246,GCA!$H$3:$H$593,GCA!G$3:G$593,"",0,1))</f>
        <v>54.177999999999997</v>
      </c>
    </row>
    <row r="247" spans="1:24" ht="13.2">
      <c r="A247" s="49"/>
      <c r="B247" s="49"/>
      <c r="C247" s="48"/>
      <c r="D247" s="49"/>
      <c r="E247" s="57"/>
      <c r="F247" s="26" t="s">
        <v>756</v>
      </c>
      <c r="G247" s="26" t="s">
        <v>755</v>
      </c>
      <c r="H247" s="27">
        <f t="shared" si="121"/>
        <v>587.149</v>
      </c>
      <c r="I247" s="27">
        <f t="shared" si="121"/>
        <v>551.98400000000004</v>
      </c>
      <c r="J247" s="27">
        <f t="shared" si="121"/>
        <v>573.42600000000004</v>
      </c>
      <c r="K247" s="27">
        <f t="shared" si="122"/>
        <v>570.85300000000007</v>
      </c>
      <c r="L247" s="63"/>
      <c r="M247" s="70"/>
      <c r="N247" s="63"/>
      <c r="O247" s="63"/>
      <c r="P247" s="63"/>
      <c r="Q247" s="38"/>
      <c r="R247" s="3" t="str">
        <f t="shared" si="124"/>
        <v>Chengalpattu</v>
      </c>
      <c r="S247" s="3" t="str">
        <f t="shared" si="101"/>
        <v>Tambaram</v>
      </c>
      <c r="T247" s="3" t="str">
        <f t="shared" si="101"/>
        <v>Chitlapakkam</v>
      </c>
      <c r="U247" s="3" t="str">
        <f t="shared" si="102"/>
        <v>Chengalpattu_Tambaram_Chitlapakkam</v>
      </c>
      <c r="V247" s="3">
        <f>IF(_xlfn.XLOOKUP($U247,GCA!$H$3:$H$593,GCA!E$3:E$593,"",0,1)="","",_xlfn.XLOOKUP($U247,GCA!$H$3:$H$593,GCA!E$3:E$593,"",0,1))</f>
        <v>587.149</v>
      </c>
      <c r="W247" s="3">
        <f>IF(_xlfn.XLOOKUP($U247,GCA!$H$3:$H$593,GCA!F$3:F$593,"",0,1)="","",_xlfn.XLOOKUP($U247,GCA!$H$3:$H$593,GCA!F$3:F$593,"",0,1))</f>
        <v>551.98400000000004</v>
      </c>
      <c r="X247" s="3">
        <f>IF(_xlfn.XLOOKUP($U247,GCA!$H$3:$H$593,GCA!G$3:G$593,"",0,1)="","",_xlfn.XLOOKUP($U247,GCA!$H$3:$H$593,GCA!G$3:G$593,"",0,1))</f>
        <v>573.42600000000004</v>
      </c>
    </row>
    <row r="248" spans="1:24" ht="13.2">
      <c r="A248" s="49"/>
      <c r="B248" s="49"/>
      <c r="C248" s="48"/>
      <c r="D248" s="49"/>
      <c r="E248" s="57"/>
      <c r="F248" s="26" t="s">
        <v>757</v>
      </c>
      <c r="G248" s="26" t="s">
        <v>757</v>
      </c>
      <c r="H248" s="27">
        <f t="shared" si="121"/>
        <v>15191.763999999999</v>
      </c>
      <c r="I248" s="27">
        <f t="shared" si="121"/>
        <v>14829.684999999999</v>
      </c>
      <c r="J248" s="27">
        <f t="shared" si="121"/>
        <v>14940.046</v>
      </c>
      <c r="K248" s="27">
        <f t="shared" si="122"/>
        <v>14987.165000000001</v>
      </c>
      <c r="L248" s="63"/>
      <c r="M248" s="70"/>
      <c r="N248" s="63"/>
      <c r="O248" s="63"/>
      <c r="P248" s="63"/>
      <c r="Q248" s="38"/>
      <c r="R248" s="3" t="str">
        <f t="shared" si="124"/>
        <v>Chengalpattu</v>
      </c>
      <c r="S248" s="3" t="str">
        <f t="shared" si="101"/>
        <v>Thirukazhukundram</v>
      </c>
      <c r="T248" s="3" t="str">
        <f t="shared" si="101"/>
        <v>Thirukazhukundram</v>
      </c>
      <c r="U248" s="3" t="str">
        <f t="shared" si="102"/>
        <v>Chengalpattu_Thirukazhukundram_Thirukazhukundram</v>
      </c>
      <c r="V248" s="3">
        <f>IF(_xlfn.XLOOKUP($U248,GCA!$H$3:$H$593,GCA!E$3:E$593,"",0,1)="","",_xlfn.XLOOKUP($U248,GCA!$H$3:$H$593,GCA!E$3:E$593,"",0,1))</f>
        <v>15191.763999999999</v>
      </c>
      <c r="W248" s="3">
        <f>IF(_xlfn.XLOOKUP($U248,GCA!$H$3:$H$593,GCA!F$3:F$593,"",0,1)="","",_xlfn.XLOOKUP($U248,GCA!$H$3:$H$593,GCA!F$3:F$593,"",0,1))</f>
        <v>14829.684999999999</v>
      </c>
      <c r="X248" s="3">
        <f>IF(_xlfn.XLOOKUP($U248,GCA!$H$3:$H$593,GCA!G$3:G$593,"",0,1)="","",_xlfn.XLOOKUP($U248,GCA!$H$3:$H$593,GCA!G$3:G$593,"",0,1))</f>
        <v>14940.046</v>
      </c>
    </row>
    <row r="249" spans="1:24" ht="13.2">
      <c r="A249" s="49"/>
      <c r="B249" s="49"/>
      <c r="C249" s="48"/>
      <c r="D249" s="49"/>
      <c r="E249" s="57"/>
      <c r="F249" s="26" t="s">
        <v>758</v>
      </c>
      <c r="G249" s="26" t="s">
        <v>758</v>
      </c>
      <c r="H249" s="27">
        <f t="shared" si="121"/>
        <v>6474.1949999999997</v>
      </c>
      <c r="I249" s="27">
        <f t="shared" si="121"/>
        <v>6552.0950000000003</v>
      </c>
      <c r="J249" s="27">
        <f t="shared" si="121"/>
        <v>7095.48</v>
      </c>
      <c r="K249" s="27">
        <f t="shared" si="122"/>
        <v>6707.2566666666671</v>
      </c>
      <c r="L249" s="63"/>
      <c r="M249" s="70"/>
      <c r="N249" s="63"/>
      <c r="O249" s="63"/>
      <c r="P249" s="63"/>
      <c r="Q249" s="38"/>
      <c r="R249" s="3" t="str">
        <f t="shared" si="124"/>
        <v>Chengalpattu</v>
      </c>
      <c r="S249" s="3" t="str">
        <f t="shared" si="101"/>
        <v>Thiruporur</v>
      </c>
      <c r="T249" s="3" t="str">
        <f t="shared" si="101"/>
        <v>Thiruporur</v>
      </c>
      <c r="U249" s="3" t="str">
        <f t="shared" si="102"/>
        <v>Chengalpattu_Thiruporur_Thiruporur</v>
      </c>
      <c r="V249" s="3">
        <f>IF(_xlfn.XLOOKUP($U249,GCA!$H$3:$H$593,GCA!E$3:E$593,"",0,1)="","",_xlfn.XLOOKUP($U249,GCA!$H$3:$H$593,GCA!E$3:E$593,"",0,1))</f>
        <v>6474.1949999999997</v>
      </c>
      <c r="W249" s="3">
        <f>IF(_xlfn.XLOOKUP($U249,GCA!$H$3:$H$593,GCA!F$3:F$593,"",0,1)="","",_xlfn.XLOOKUP($U249,GCA!$H$3:$H$593,GCA!F$3:F$593,"",0,1))</f>
        <v>6552.0950000000003</v>
      </c>
      <c r="X249" s="3">
        <f>IF(_xlfn.XLOOKUP($U249,GCA!$H$3:$H$593,GCA!G$3:G$593,"",0,1)="","",_xlfn.XLOOKUP($U249,GCA!$H$3:$H$593,GCA!G$3:G$593,"",0,1))</f>
        <v>7095.48</v>
      </c>
    </row>
    <row r="250" spans="1:24" ht="13.2">
      <c r="A250" s="49"/>
      <c r="B250" s="49"/>
      <c r="C250" s="48"/>
      <c r="D250" s="49"/>
      <c r="E250" s="57"/>
      <c r="F250" s="26" t="s">
        <v>759</v>
      </c>
      <c r="G250" s="26" t="s">
        <v>748</v>
      </c>
      <c r="H250" s="27">
        <f t="shared" si="121"/>
        <v>773.68100000000004</v>
      </c>
      <c r="I250" s="27">
        <f t="shared" si="121"/>
        <v>688.26199999999994</v>
      </c>
      <c r="J250" s="27">
        <f t="shared" si="121"/>
        <v>728.22500000000002</v>
      </c>
      <c r="K250" s="27">
        <f t="shared" si="122"/>
        <v>730.05600000000004</v>
      </c>
      <c r="L250" s="63"/>
      <c r="M250" s="70"/>
      <c r="N250" s="63"/>
      <c r="O250" s="63"/>
      <c r="P250" s="63"/>
      <c r="Q250" s="38"/>
      <c r="R250" s="3" t="str">
        <f t="shared" si="124"/>
        <v>Chengalpattu</v>
      </c>
      <c r="S250" s="3" t="str">
        <f t="shared" si="101"/>
        <v>Vandalur</v>
      </c>
      <c r="T250" s="3" t="str">
        <f t="shared" si="101"/>
        <v>Kattankulathur</v>
      </c>
      <c r="U250" s="3" t="str">
        <f t="shared" si="102"/>
        <v>Chengalpattu_Vandalur_Kattankulathur</v>
      </c>
      <c r="V250" s="3">
        <f>IF(_xlfn.XLOOKUP($U250,GCA!$H$3:$H$593,GCA!E$3:E$593,"",0,1)="","",_xlfn.XLOOKUP($U250,GCA!$H$3:$H$593,GCA!E$3:E$593,"",0,1))</f>
        <v>773.68100000000004</v>
      </c>
      <c r="W250" s="3">
        <f>IF(_xlfn.XLOOKUP($U250,GCA!$H$3:$H$593,GCA!F$3:F$593,"",0,1)="","",_xlfn.XLOOKUP($U250,GCA!$H$3:$H$593,GCA!F$3:F$593,"",0,1))</f>
        <v>688.26199999999994</v>
      </c>
      <c r="X250" s="3">
        <f>IF(_xlfn.XLOOKUP($U250,GCA!$H$3:$H$593,GCA!G$3:G$593,"",0,1)="","",_xlfn.XLOOKUP($U250,GCA!$H$3:$H$593,GCA!G$3:G$593,"",0,1))</f>
        <v>728.22500000000002</v>
      </c>
    </row>
    <row r="251" spans="1:24" ht="13.2">
      <c r="A251" s="49"/>
      <c r="B251" s="49"/>
      <c r="C251" s="48"/>
      <c r="D251" s="49"/>
      <c r="E251" s="58"/>
      <c r="F251" s="26" t="s">
        <v>759</v>
      </c>
      <c r="G251" s="26" t="s">
        <v>758</v>
      </c>
      <c r="H251" s="27">
        <f t="shared" si="121"/>
        <v>287.375</v>
      </c>
      <c r="I251" s="27">
        <f t="shared" si="121"/>
        <v>430.35199999999998</v>
      </c>
      <c r="J251" s="27">
        <f t="shared" si="121"/>
        <v>490.31900000000002</v>
      </c>
      <c r="K251" s="27">
        <f t="shared" si="122"/>
        <v>402.68200000000002</v>
      </c>
      <c r="L251" s="64"/>
      <c r="M251" s="71"/>
      <c r="N251" s="64"/>
      <c r="O251" s="64"/>
      <c r="P251" s="64"/>
      <c r="Q251" s="38"/>
      <c r="R251" s="3" t="str">
        <f t="shared" si="124"/>
        <v>Chengalpattu</v>
      </c>
      <c r="S251" s="3" t="str">
        <f t="shared" si="101"/>
        <v>Vandalur</v>
      </c>
      <c r="T251" s="3" t="str">
        <f t="shared" si="101"/>
        <v>Thiruporur</v>
      </c>
      <c r="U251" s="3" t="str">
        <f t="shared" si="102"/>
        <v>Chengalpattu_Vandalur_Thiruporur</v>
      </c>
      <c r="V251" s="3">
        <f>IF(_xlfn.XLOOKUP($U251,GCA!$H$3:$H$593,GCA!E$3:E$593,"",0,1)="","",_xlfn.XLOOKUP($U251,GCA!$H$3:$H$593,GCA!E$3:E$593,"",0,1))</f>
        <v>287.375</v>
      </c>
      <c r="W251" s="3">
        <f>IF(_xlfn.XLOOKUP($U251,GCA!$H$3:$H$593,GCA!F$3:F$593,"",0,1)="","",_xlfn.XLOOKUP($U251,GCA!$H$3:$H$593,GCA!F$3:F$593,"",0,1))</f>
        <v>430.35199999999998</v>
      </c>
      <c r="X251" s="3">
        <f>IF(_xlfn.XLOOKUP($U251,GCA!$H$3:$H$593,GCA!G$3:G$593,"",0,1)="","",_xlfn.XLOOKUP($U251,GCA!$H$3:$H$593,GCA!G$3:G$593,"",0,1))</f>
        <v>490.31900000000002</v>
      </c>
    </row>
    <row r="252" spans="1:24" ht="13.2">
      <c r="A252" s="49"/>
      <c r="B252" s="49"/>
      <c r="C252" s="48"/>
      <c r="D252" s="49"/>
      <c r="E252" s="47" t="s">
        <v>564</v>
      </c>
      <c r="F252" s="47"/>
      <c r="G252" s="47"/>
      <c r="H252" s="29">
        <f t="shared" ref="H252:P252" si="126">SUM(H241:H251)</f>
        <v>84559.192999999985</v>
      </c>
      <c r="I252" s="29">
        <f t="shared" si="126"/>
        <v>84380.453000000009</v>
      </c>
      <c r="J252" s="29">
        <f t="shared" si="126"/>
        <v>83714.953000000009</v>
      </c>
      <c r="K252" s="29">
        <f t="shared" si="126"/>
        <v>84218.199666666653</v>
      </c>
      <c r="L252" s="29">
        <f t="shared" si="126"/>
        <v>84218.199666666667</v>
      </c>
      <c r="M252" s="30">
        <f t="shared" si="126"/>
        <v>3.5349777026879305</v>
      </c>
      <c r="N252" s="31">
        <f t="shared" si="126"/>
        <v>4</v>
      </c>
      <c r="O252" s="31">
        <f t="shared" si="126"/>
        <v>4</v>
      </c>
      <c r="P252" s="31">
        <f t="shared" si="126"/>
        <v>4</v>
      </c>
      <c r="Q252" s="38"/>
      <c r="R252" s="3" t="str">
        <f t="shared" si="124"/>
        <v>Chengalpattu</v>
      </c>
      <c r="S252" s="3">
        <f t="shared" ref="S252:T323" si="127">F252</f>
        <v>0</v>
      </c>
      <c r="T252" s="3">
        <f t="shared" si="127"/>
        <v>0</v>
      </c>
      <c r="U252" s="3" t="str">
        <f t="shared" si="102"/>
        <v>Chengalpattu_0_0</v>
      </c>
      <c r="V252" s="3" t="str">
        <f>IF(_xlfn.XLOOKUP($U252,GCA!$H$3:$H$593,GCA!E$3:E$593,"",0,1)="","",_xlfn.XLOOKUP($U252,GCA!$H$3:$H$593,GCA!E$3:E$593,"",0,1))</f>
        <v/>
      </c>
      <c r="W252" s="3" t="str">
        <f>IF(_xlfn.XLOOKUP($U252,GCA!$H$3:$H$593,GCA!F$3:F$593,"",0,1)="","",_xlfn.XLOOKUP($U252,GCA!$H$3:$H$593,GCA!F$3:F$593,"",0,1))</f>
        <v/>
      </c>
      <c r="X252" s="3" t="str">
        <f>IF(_xlfn.XLOOKUP($U252,GCA!$H$3:$H$593,GCA!G$3:G$593,"",0,1)="","",_xlfn.XLOOKUP($U252,GCA!$H$3:$H$593,GCA!G$3:G$593,"",0,1))</f>
        <v/>
      </c>
    </row>
    <row r="253" spans="1:24" ht="13.2">
      <c r="A253" s="49"/>
      <c r="B253" s="49"/>
      <c r="C253" s="54" t="s">
        <v>521</v>
      </c>
      <c r="D253" s="54"/>
      <c r="E253" s="54"/>
      <c r="F253" s="54"/>
      <c r="G253" s="54"/>
      <c r="H253" s="32">
        <f t="shared" ref="H253:P253" si="128">SUM(H252,H240,H232)</f>
        <v>297214.88800000004</v>
      </c>
      <c r="I253" s="32">
        <f t="shared" si="128"/>
        <v>293275.41899999999</v>
      </c>
      <c r="J253" s="32">
        <f t="shared" si="128"/>
        <v>292848.48800000001</v>
      </c>
      <c r="K253" s="32">
        <f t="shared" si="128"/>
        <v>294446.26500000001</v>
      </c>
      <c r="L253" s="32">
        <f t="shared" si="128"/>
        <v>294446.26500000001</v>
      </c>
      <c r="M253" s="33">
        <f t="shared" si="128"/>
        <v>12.359097980418021</v>
      </c>
      <c r="N253" s="34">
        <f t="shared" si="128"/>
        <v>12</v>
      </c>
      <c r="O253" s="34">
        <f t="shared" si="128"/>
        <v>12</v>
      </c>
      <c r="P253" s="34">
        <f t="shared" si="128"/>
        <v>12</v>
      </c>
      <c r="Q253" s="38"/>
      <c r="R253" s="3" t="str">
        <f t="shared" ref="R253:R323" si="129">C253</f>
        <v>SRO TOTAL</v>
      </c>
      <c r="S253" s="3">
        <f t="shared" si="127"/>
        <v>0</v>
      </c>
      <c r="T253" s="3">
        <f t="shared" si="127"/>
        <v>0</v>
      </c>
      <c r="U253" s="3" t="str">
        <f t="shared" si="102"/>
        <v>SRO TOTAL_0_0</v>
      </c>
      <c r="V253" s="3" t="str">
        <f>IF(_xlfn.XLOOKUP($U253,GCA!$H$3:$H$593,GCA!E$3:E$593,"",0,1)="","",_xlfn.XLOOKUP($U253,GCA!$H$3:$H$593,GCA!E$3:E$593,"",0,1))</f>
        <v/>
      </c>
      <c r="W253" s="3" t="str">
        <f>IF(_xlfn.XLOOKUP($U253,GCA!$H$3:$H$593,GCA!F$3:F$593,"",0,1)="","",_xlfn.XLOOKUP($U253,GCA!$H$3:$H$593,GCA!F$3:F$593,"",0,1))</f>
        <v/>
      </c>
      <c r="X253" s="3" t="str">
        <f>IF(_xlfn.XLOOKUP($U253,GCA!$H$3:$H$593,GCA!G$3:G$593,"",0,1)="","",_xlfn.XLOOKUP($U253,GCA!$H$3:$H$593,GCA!G$3:G$593,"",0,1))</f>
        <v/>
      </c>
    </row>
    <row r="254" spans="1:24" ht="13.2">
      <c r="A254" s="49"/>
      <c r="B254" s="49" t="s">
        <v>227</v>
      </c>
      <c r="C254" s="48" t="s">
        <v>229</v>
      </c>
      <c r="D254" s="49" t="s">
        <v>541</v>
      </c>
      <c r="E254" s="50">
        <v>1</v>
      </c>
      <c r="F254" s="26" t="s">
        <v>760</v>
      </c>
      <c r="G254" s="26" t="s">
        <v>760</v>
      </c>
      <c r="H254" s="27">
        <f t="shared" ref="H254:J271" si="130">V254</f>
        <v>17302.615000000002</v>
      </c>
      <c r="I254" s="27">
        <f t="shared" si="130"/>
        <v>16142.885</v>
      </c>
      <c r="J254" s="27">
        <f t="shared" si="130"/>
        <v>17318.634999999998</v>
      </c>
      <c r="K254" s="27">
        <f t="shared" ref="K254:K271" si="131">IFERROR(AVERAGE(H254:J254),"")</f>
        <v>16921.37833333333</v>
      </c>
      <c r="L254" s="65">
        <f>SUM(K254:K257)</f>
        <v>69327.154999999999</v>
      </c>
      <c r="M254" s="67">
        <f t="shared" ref="M254:M271" si="132">L254*$L$643/$L$642</f>
        <v>2.9099404651936314</v>
      </c>
      <c r="N254" s="65">
        <f t="shared" ref="N254:N312" si="133">IF(M254&gt;=2, ROUND(M254,0), IF(M254&gt;1.1,2,""))</f>
        <v>3</v>
      </c>
      <c r="O254" s="65">
        <f t="shared" ref="O254:P269" si="134">N254</f>
        <v>3</v>
      </c>
      <c r="P254" s="65">
        <f t="shared" si="134"/>
        <v>3</v>
      </c>
      <c r="Q254" s="38"/>
      <c r="R254" s="3" t="str">
        <f t="shared" si="129"/>
        <v>Villupuram</v>
      </c>
      <c r="S254" s="3" t="str">
        <f t="shared" si="127"/>
        <v>Gingee</v>
      </c>
      <c r="T254" s="3" t="str">
        <f t="shared" si="127"/>
        <v>Gingee</v>
      </c>
      <c r="U254" s="3" t="str">
        <f t="shared" si="102"/>
        <v>Villupuram_Gingee_Gingee</v>
      </c>
      <c r="V254" s="3">
        <f>IF(_xlfn.XLOOKUP($U254,GCA!$H$3:$H$593,GCA!E$3:E$593,"",0,1)="","",_xlfn.XLOOKUP($U254,GCA!$H$3:$H$593,GCA!E$3:E$593,"",0,1))</f>
        <v>17302.615000000002</v>
      </c>
      <c r="W254" s="3">
        <f>IF(_xlfn.XLOOKUP($U254,GCA!$H$3:$H$593,GCA!F$3:F$593,"",0,1)="","",_xlfn.XLOOKUP($U254,GCA!$H$3:$H$593,GCA!F$3:F$593,"",0,1))</f>
        <v>16142.885</v>
      </c>
      <c r="X254" s="3">
        <f>IF(_xlfn.XLOOKUP($U254,GCA!$H$3:$H$593,GCA!G$3:G$593,"",0,1)="","",_xlfn.XLOOKUP($U254,GCA!$H$3:$H$593,GCA!G$3:G$593,"",0,1))</f>
        <v>17318.634999999998</v>
      </c>
    </row>
    <row r="255" spans="1:24" ht="13.2">
      <c r="A255" s="49"/>
      <c r="B255" s="49"/>
      <c r="C255" s="48"/>
      <c r="D255" s="49"/>
      <c r="E255" s="50"/>
      <c r="F255" s="26" t="s">
        <v>760</v>
      </c>
      <c r="G255" s="26" t="s">
        <v>761</v>
      </c>
      <c r="H255" s="27">
        <f t="shared" si="130"/>
        <v>21806.845000000001</v>
      </c>
      <c r="I255" s="27">
        <f t="shared" si="130"/>
        <v>20768.68</v>
      </c>
      <c r="J255" s="27">
        <f t="shared" si="130"/>
        <v>19042.41</v>
      </c>
      <c r="K255" s="27">
        <f t="shared" si="131"/>
        <v>20539.311666666665</v>
      </c>
      <c r="L255" s="65"/>
      <c r="M255" s="67">
        <f t="shared" si="132"/>
        <v>0</v>
      </c>
      <c r="N255" s="65" t="str">
        <f t="shared" si="133"/>
        <v/>
      </c>
      <c r="O255" s="65" t="str">
        <f t="shared" si="134"/>
        <v/>
      </c>
      <c r="P255" s="65" t="str">
        <f t="shared" si="134"/>
        <v/>
      </c>
      <c r="Q255" s="38"/>
      <c r="R255" s="3" t="str">
        <f t="shared" ref="R255:R272" si="135">R254</f>
        <v>Villupuram</v>
      </c>
      <c r="S255" s="3" t="str">
        <f t="shared" si="127"/>
        <v>Gingee</v>
      </c>
      <c r="T255" s="3" t="str">
        <f t="shared" si="127"/>
        <v>Vallam</v>
      </c>
      <c r="U255" s="3" t="str">
        <f t="shared" si="102"/>
        <v>Villupuram_Gingee_Vallam</v>
      </c>
      <c r="V255" s="3">
        <f>IF(_xlfn.XLOOKUP($U255,GCA!$H$3:$H$593,GCA!E$3:E$593,"",0,1)="","",_xlfn.XLOOKUP($U255,GCA!$H$3:$H$593,GCA!E$3:E$593,"",0,1))</f>
        <v>21806.845000000001</v>
      </c>
      <c r="W255" s="3">
        <f>IF(_xlfn.XLOOKUP($U255,GCA!$H$3:$H$593,GCA!F$3:F$593,"",0,1)="","",_xlfn.XLOOKUP($U255,GCA!$H$3:$H$593,GCA!F$3:F$593,"",0,1))</f>
        <v>20768.68</v>
      </c>
      <c r="X255" s="3">
        <f>IF(_xlfn.XLOOKUP($U255,GCA!$H$3:$H$593,GCA!G$3:G$593,"",0,1)="","",_xlfn.XLOOKUP($U255,GCA!$H$3:$H$593,GCA!G$3:G$593,"",0,1))</f>
        <v>19042.41</v>
      </c>
    </row>
    <row r="256" spans="1:24" ht="13.2">
      <c r="A256" s="49"/>
      <c r="B256" s="49"/>
      <c r="C256" s="48"/>
      <c r="D256" s="49"/>
      <c r="E256" s="50"/>
      <c r="F256" s="26" t="s">
        <v>762</v>
      </c>
      <c r="G256" s="26" t="s">
        <v>763</v>
      </c>
      <c r="H256" s="27">
        <f t="shared" si="130"/>
        <v>21127.474999999999</v>
      </c>
      <c r="I256" s="27">
        <f t="shared" si="130"/>
        <v>19490.61</v>
      </c>
      <c r="J256" s="27">
        <f t="shared" si="130"/>
        <v>21304.18</v>
      </c>
      <c r="K256" s="27">
        <f t="shared" si="131"/>
        <v>20640.755000000001</v>
      </c>
      <c r="L256" s="65"/>
      <c r="M256" s="67">
        <f t="shared" si="132"/>
        <v>0</v>
      </c>
      <c r="N256" s="65" t="str">
        <f t="shared" si="133"/>
        <v/>
      </c>
      <c r="O256" s="65" t="str">
        <f t="shared" si="134"/>
        <v/>
      </c>
      <c r="P256" s="65" t="str">
        <f t="shared" si="134"/>
        <v/>
      </c>
      <c r="Q256" s="38"/>
      <c r="R256" s="3" t="str">
        <f t="shared" si="135"/>
        <v>Villupuram</v>
      </c>
      <c r="S256" s="3" t="str">
        <f t="shared" si="127"/>
        <v>Kandachipuram</v>
      </c>
      <c r="T256" s="3" t="str">
        <f t="shared" si="127"/>
        <v>Mugaiyur</v>
      </c>
      <c r="U256" s="3" t="str">
        <f t="shared" si="102"/>
        <v>Villupuram_Kandachipuram_Mugaiyur</v>
      </c>
      <c r="V256" s="3">
        <f>IF(_xlfn.XLOOKUP($U256,GCA!$H$3:$H$593,GCA!E$3:E$593,"",0,1)="","",_xlfn.XLOOKUP($U256,GCA!$H$3:$H$593,GCA!E$3:E$593,"",0,1))</f>
        <v>21127.474999999999</v>
      </c>
      <c r="W256" s="3">
        <f>IF(_xlfn.XLOOKUP($U256,GCA!$H$3:$H$593,GCA!F$3:F$593,"",0,1)="","",_xlfn.XLOOKUP($U256,GCA!$H$3:$H$593,GCA!F$3:F$593,"",0,1))</f>
        <v>19490.61</v>
      </c>
      <c r="X256" s="3">
        <f>IF(_xlfn.XLOOKUP($U256,GCA!$H$3:$H$593,GCA!G$3:G$593,"",0,1)="","",_xlfn.XLOOKUP($U256,GCA!$H$3:$H$593,GCA!G$3:G$593,"",0,1))</f>
        <v>21304.18</v>
      </c>
    </row>
    <row r="257" spans="1:24" ht="13.2">
      <c r="A257" s="49"/>
      <c r="B257" s="49"/>
      <c r="C257" s="48"/>
      <c r="D257" s="49"/>
      <c r="E257" s="50"/>
      <c r="F257" s="26" t="s">
        <v>764</v>
      </c>
      <c r="G257" s="26" t="s">
        <v>764</v>
      </c>
      <c r="H257" s="27">
        <f t="shared" si="130"/>
        <v>11462.205</v>
      </c>
      <c r="I257" s="27">
        <f t="shared" si="130"/>
        <v>11138.965</v>
      </c>
      <c r="J257" s="27">
        <f t="shared" si="130"/>
        <v>11075.96</v>
      </c>
      <c r="K257" s="27">
        <f t="shared" si="131"/>
        <v>11225.71</v>
      </c>
      <c r="L257" s="65"/>
      <c r="M257" s="67">
        <f t="shared" si="132"/>
        <v>0</v>
      </c>
      <c r="N257" s="65" t="str">
        <f t="shared" si="133"/>
        <v/>
      </c>
      <c r="O257" s="65" t="str">
        <f t="shared" si="134"/>
        <v/>
      </c>
      <c r="P257" s="65" t="str">
        <f t="shared" si="134"/>
        <v/>
      </c>
      <c r="Q257" s="38"/>
      <c r="R257" s="3" t="str">
        <f t="shared" si="135"/>
        <v>Villupuram</v>
      </c>
      <c r="S257" s="3" t="str">
        <f t="shared" si="127"/>
        <v>Marakanam</v>
      </c>
      <c r="T257" s="3" t="str">
        <f t="shared" si="127"/>
        <v>Marakanam</v>
      </c>
      <c r="U257" s="3" t="str">
        <f t="shared" si="102"/>
        <v>Villupuram_Marakanam_Marakanam</v>
      </c>
      <c r="V257" s="3">
        <f>IF(_xlfn.XLOOKUP($U257,GCA!$H$3:$H$593,GCA!E$3:E$593,"",0,1)="","",_xlfn.XLOOKUP($U257,GCA!$H$3:$H$593,GCA!E$3:E$593,"",0,1))</f>
        <v>11462.205</v>
      </c>
      <c r="W257" s="3">
        <f>IF(_xlfn.XLOOKUP($U257,GCA!$H$3:$H$593,GCA!F$3:F$593,"",0,1)="","",_xlfn.XLOOKUP($U257,GCA!$H$3:$H$593,GCA!F$3:F$593,"",0,1))</f>
        <v>11138.965</v>
      </c>
      <c r="X257" s="3">
        <f>IF(_xlfn.XLOOKUP($U257,GCA!$H$3:$H$593,GCA!G$3:G$593,"",0,1)="","",_xlfn.XLOOKUP($U257,GCA!$H$3:$H$593,GCA!G$3:G$593,"",0,1))</f>
        <v>11075.96</v>
      </c>
    </row>
    <row r="258" spans="1:24" ht="13.2">
      <c r="A258" s="49"/>
      <c r="B258" s="49"/>
      <c r="C258" s="48"/>
      <c r="D258" s="49"/>
      <c r="E258" s="50">
        <v>2</v>
      </c>
      <c r="F258" s="26" t="s">
        <v>765</v>
      </c>
      <c r="G258" s="26" t="s">
        <v>765</v>
      </c>
      <c r="H258" s="27">
        <f t="shared" si="130"/>
        <v>23690.375</v>
      </c>
      <c r="I258" s="27">
        <f t="shared" si="130"/>
        <v>21748.06</v>
      </c>
      <c r="J258" s="27">
        <f t="shared" si="130"/>
        <v>23137.215</v>
      </c>
      <c r="K258" s="27">
        <f t="shared" si="131"/>
        <v>22858.55</v>
      </c>
      <c r="L258" s="65">
        <f>SUM(K258:K260)</f>
        <v>41211.566666666666</v>
      </c>
      <c r="M258" s="67">
        <f t="shared" si="132"/>
        <v>1.7298157623424522</v>
      </c>
      <c r="N258" s="65">
        <f t="shared" si="133"/>
        <v>2</v>
      </c>
      <c r="O258" s="65">
        <f t="shared" si="134"/>
        <v>2</v>
      </c>
      <c r="P258" s="65">
        <f t="shared" si="134"/>
        <v>2</v>
      </c>
      <c r="Q258" s="38"/>
      <c r="R258" s="3" t="str">
        <f t="shared" si="135"/>
        <v>Villupuram</v>
      </c>
      <c r="S258" s="3" t="str">
        <f t="shared" si="127"/>
        <v>Melmalayanur</v>
      </c>
      <c r="T258" s="3" t="str">
        <f t="shared" si="127"/>
        <v>Melmalayanur</v>
      </c>
      <c r="U258" s="3" t="str">
        <f t="shared" si="102"/>
        <v>Villupuram_Melmalayanur_Melmalayanur</v>
      </c>
      <c r="V258" s="3">
        <f>IF(_xlfn.XLOOKUP($U258,GCA!$H$3:$H$593,GCA!E$3:E$593,"",0,1)="","",_xlfn.XLOOKUP($U258,GCA!$H$3:$H$593,GCA!E$3:E$593,"",0,1))</f>
        <v>23690.375</v>
      </c>
      <c r="W258" s="3">
        <f>IF(_xlfn.XLOOKUP($U258,GCA!$H$3:$H$593,GCA!F$3:F$593,"",0,1)="","",_xlfn.XLOOKUP($U258,GCA!$H$3:$H$593,GCA!F$3:F$593,"",0,1))</f>
        <v>21748.06</v>
      </c>
      <c r="X258" s="3">
        <f>IF(_xlfn.XLOOKUP($U258,GCA!$H$3:$H$593,GCA!G$3:G$593,"",0,1)="","",_xlfn.XLOOKUP($U258,GCA!$H$3:$H$593,GCA!G$3:G$593,"",0,1))</f>
        <v>23137.215</v>
      </c>
    </row>
    <row r="259" spans="1:24" ht="13.2">
      <c r="A259" s="49"/>
      <c r="B259" s="49"/>
      <c r="C259" s="48"/>
      <c r="D259" s="49"/>
      <c r="E259" s="50"/>
      <c r="F259" s="26" t="s">
        <v>766</v>
      </c>
      <c r="G259" s="26" t="s">
        <v>763</v>
      </c>
      <c r="H259" s="27">
        <f t="shared" si="130"/>
        <v>272.38499999999999</v>
      </c>
      <c r="I259" s="27">
        <f t="shared" si="130"/>
        <v>220</v>
      </c>
      <c r="J259" s="27">
        <f t="shared" si="130"/>
        <v>941.85</v>
      </c>
      <c r="K259" s="27">
        <f t="shared" si="131"/>
        <v>478.07833333333338</v>
      </c>
      <c r="L259" s="65"/>
      <c r="M259" s="67">
        <f t="shared" si="132"/>
        <v>0</v>
      </c>
      <c r="N259" s="65" t="str">
        <f t="shared" si="133"/>
        <v/>
      </c>
      <c r="O259" s="65" t="str">
        <f t="shared" si="134"/>
        <v/>
      </c>
      <c r="P259" s="65" t="str">
        <f t="shared" si="134"/>
        <v/>
      </c>
      <c r="Q259" s="38"/>
      <c r="R259" s="3" t="str">
        <f t="shared" si="135"/>
        <v>Villupuram</v>
      </c>
      <c r="S259" s="3" t="str">
        <f t="shared" si="127"/>
        <v>T.V.Nallur</v>
      </c>
      <c r="T259" s="3" t="str">
        <f t="shared" si="127"/>
        <v>Mugaiyur</v>
      </c>
      <c r="U259" s="3" t="str">
        <f t="shared" si="102"/>
        <v>Villupuram_T.V.Nallur_Mugaiyur</v>
      </c>
      <c r="V259" s="3">
        <f>IF(_xlfn.XLOOKUP($U259,GCA!$H$3:$H$593,GCA!E$3:E$593,"",0,1)="","",_xlfn.XLOOKUP($U259,GCA!$H$3:$H$593,GCA!E$3:E$593,"",0,1))</f>
        <v>272.38499999999999</v>
      </c>
      <c r="W259" s="3">
        <f>IF(_xlfn.XLOOKUP($U259,GCA!$H$3:$H$593,GCA!F$3:F$593,"",0,1)="","",_xlfn.XLOOKUP($U259,GCA!$H$3:$H$593,GCA!F$3:F$593,"",0,1))</f>
        <v>220</v>
      </c>
      <c r="X259" s="3">
        <f>IF(_xlfn.XLOOKUP($U259,GCA!$H$3:$H$593,GCA!G$3:G$593,"",0,1)="","",_xlfn.XLOOKUP($U259,GCA!$H$3:$H$593,GCA!G$3:G$593,"",0,1))</f>
        <v>941.85</v>
      </c>
    </row>
    <row r="260" spans="1:24" ht="13.2">
      <c r="A260" s="49"/>
      <c r="B260" s="49"/>
      <c r="C260" s="48"/>
      <c r="D260" s="49"/>
      <c r="E260" s="50"/>
      <c r="F260" s="26" t="s">
        <v>766</v>
      </c>
      <c r="G260" s="26" t="s">
        <v>766</v>
      </c>
      <c r="H260" s="27">
        <f t="shared" si="130"/>
        <v>17259.955000000002</v>
      </c>
      <c r="I260" s="27">
        <f t="shared" si="130"/>
        <v>16700.654999999999</v>
      </c>
      <c r="J260" s="27">
        <f t="shared" si="130"/>
        <v>19664.205000000002</v>
      </c>
      <c r="K260" s="27">
        <f t="shared" si="131"/>
        <v>17874.938333333335</v>
      </c>
      <c r="L260" s="65"/>
      <c r="M260" s="67">
        <f t="shared" si="132"/>
        <v>0</v>
      </c>
      <c r="N260" s="65" t="str">
        <f t="shared" si="133"/>
        <v/>
      </c>
      <c r="O260" s="65" t="str">
        <f t="shared" si="134"/>
        <v/>
      </c>
      <c r="P260" s="65" t="str">
        <f t="shared" si="134"/>
        <v/>
      </c>
      <c r="Q260" s="38"/>
      <c r="R260" s="3" t="str">
        <f t="shared" si="135"/>
        <v>Villupuram</v>
      </c>
      <c r="S260" s="3" t="str">
        <f t="shared" si="127"/>
        <v>T.V.Nallur</v>
      </c>
      <c r="T260" s="3" t="str">
        <f t="shared" si="127"/>
        <v>T.V.Nallur</v>
      </c>
      <c r="U260" s="3" t="str">
        <f t="shared" si="102"/>
        <v>Villupuram_T.V.Nallur_T.V.Nallur</v>
      </c>
      <c r="V260" s="3">
        <f>IF(_xlfn.XLOOKUP($U260,GCA!$H$3:$H$593,GCA!E$3:E$593,"",0,1)="","",_xlfn.XLOOKUP($U260,GCA!$H$3:$H$593,GCA!E$3:E$593,"",0,1))</f>
        <v>17259.955000000002</v>
      </c>
      <c r="W260" s="3">
        <f>IF(_xlfn.XLOOKUP($U260,GCA!$H$3:$H$593,GCA!F$3:F$593,"",0,1)="","",_xlfn.XLOOKUP($U260,GCA!$H$3:$H$593,GCA!F$3:F$593,"",0,1))</f>
        <v>16700.654999999999</v>
      </c>
      <c r="X260" s="3">
        <f>IF(_xlfn.XLOOKUP($U260,GCA!$H$3:$H$593,GCA!G$3:G$593,"",0,1)="","",_xlfn.XLOOKUP($U260,GCA!$H$3:$H$593,GCA!G$3:G$593,"",0,1))</f>
        <v>19664.205000000002</v>
      </c>
    </row>
    <row r="261" spans="1:24" ht="13.2">
      <c r="A261" s="49"/>
      <c r="B261" s="49"/>
      <c r="C261" s="48"/>
      <c r="D261" s="49"/>
      <c r="E261" s="50">
        <v>3</v>
      </c>
      <c r="F261" s="26" t="s">
        <v>767</v>
      </c>
      <c r="G261" s="26" t="s">
        <v>768</v>
      </c>
      <c r="H261" s="27">
        <f t="shared" si="130"/>
        <v>16259.86</v>
      </c>
      <c r="I261" s="27">
        <f t="shared" si="130"/>
        <v>13708.07</v>
      </c>
      <c r="J261" s="27">
        <f t="shared" si="130"/>
        <v>15337.25</v>
      </c>
      <c r="K261" s="27">
        <f t="shared" si="131"/>
        <v>15101.726666666667</v>
      </c>
      <c r="L261" s="65">
        <f>SUM(K261:K264)</f>
        <v>58130.786666666667</v>
      </c>
      <c r="M261" s="67">
        <f t="shared" si="132"/>
        <v>2.4399837032815168</v>
      </c>
      <c r="N261" s="65">
        <f t="shared" si="133"/>
        <v>2</v>
      </c>
      <c r="O261" s="65">
        <f t="shared" si="134"/>
        <v>2</v>
      </c>
      <c r="P261" s="65">
        <f t="shared" si="134"/>
        <v>2</v>
      </c>
      <c r="Q261" s="38"/>
      <c r="R261" s="3" t="str">
        <f t="shared" si="135"/>
        <v>Villupuram</v>
      </c>
      <c r="S261" s="3" t="str">
        <f t="shared" si="127"/>
        <v>Tindivanam</v>
      </c>
      <c r="T261" s="3" t="str">
        <f t="shared" si="127"/>
        <v>Mailam</v>
      </c>
      <c r="U261" s="3" t="str">
        <f t="shared" si="102"/>
        <v>Villupuram_Tindivanam_Mailam</v>
      </c>
      <c r="V261" s="3">
        <f>IF(_xlfn.XLOOKUP($U261,GCA!$H$3:$H$593,GCA!E$3:E$593,"",0,1)="","",_xlfn.XLOOKUP($U261,GCA!$H$3:$H$593,GCA!E$3:E$593,"",0,1))</f>
        <v>16259.86</v>
      </c>
      <c r="W261" s="3">
        <f>IF(_xlfn.XLOOKUP($U261,GCA!$H$3:$H$593,GCA!F$3:F$593,"",0,1)="","",_xlfn.XLOOKUP($U261,GCA!$H$3:$H$593,GCA!F$3:F$593,"",0,1))</f>
        <v>13708.07</v>
      </c>
      <c r="X261" s="3">
        <f>IF(_xlfn.XLOOKUP($U261,GCA!$H$3:$H$593,GCA!G$3:G$593,"",0,1)="","",_xlfn.XLOOKUP($U261,GCA!$H$3:$H$593,GCA!G$3:G$593,"",0,1))</f>
        <v>15337.25</v>
      </c>
    </row>
    <row r="262" spans="1:24" ht="13.2">
      <c r="A262" s="49"/>
      <c r="B262" s="49"/>
      <c r="C262" s="48"/>
      <c r="D262" s="49"/>
      <c r="E262" s="50"/>
      <c r="F262" s="26" t="s">
        <v>767</v>
      </c>
      <c r="G262" s="26" t="s">
        <v>764</v>
      </c>
      <c r="H262" s="27">
        <f t="shared" si="130"/>
        <v>5661.6149999999998</v>
      </c>
      <c r="I262" s="27">
        <f t="shared" si="130"/>
        <v>4987.4049999999997</v>
      </c>
      <c r="J262" s="27">
        <f t="shared" si="130"/>
        <v>5222.29</v>
      </c>
      <c r="K262" s="27">
        <f t="shared" si="131"/>
        <v>5290.4366666666674</v>
      </c>
      <c r="L262" s="65"/>
      <c r="M262" s="67">
        <f t="shared" si="132"/>
        <v>0</v>
      </c>
      <c r="N262" s="65" t="str">
        <f t="shared" si="133"/>
        <v/>
      </c>
      <c r="O262" s="65" t="str">
        <f t="shared" si="134"/>
        <v/>
      </c>
      <c r="P262" s="65" t="str">
        <f t="shared" si="134"/>
        <v/>
      </c>
      <c r="Q262" s="38"/>
      <c r="R262" s="3" t="str">
        <f t="shared" si="135"/>
        <v>Villupuram</v>
      </c>
      <c r="S262" s="3" t="str">
        <f t="shared" si="127"/>
        <v>Tindivanam</v>
      </c>
      <c r="T262" s="3" t="str">
        <f t="shared" si="127"/>
        <v>Marakanam</v>
      </c>
      <c r="U262" s="3" t="str">
        <f t="shared" si="102"/>
        <v>Villupuram_Tindivanam_Marakanam</v>
      </c>
      <c r="V262" s="3">
        <f>IF(_xlfn.XLOOKUP($U262,GCA!$H$3:$H$593,GCA!E$3:E$593,"",0,1)="","",_xlfn.XLOOKUP($U262,GCA!$H$3:$H$593,GCA!E$3:E$593,"",0,1))</f>
        <v>5661.6149999999998</v>
      </c>
      <c r="W262" s="3">
        <f>IF(_xlfn.XLOOKUP($U262,GCA!$H$3:$H$593,GCA!F$3:F$593,"",0,1)="","",_xlfn.XLOOKUP($U262,GCA!$H$3:$H$593,GCA!F$3:F$593,"",0,1))</f>
        <v>4987.4049999999997</v>
      </c>
      <c r="X262" s="3">
        <f>IF(_xlfn.XLOOKUP($U262,GCA!$H$3:$H$593,GCA!G$3:G$593,"",0,1)="","",_xlfn.XLOOKUP($U262,GCA!$H$3:$H$593,GCA!G$3:G$593,"",0,1))</f>
        <v>5222.29</v>
      </c>
    </row>
    <row r="263" spans="1:24" ht="13.2">
      <c r="A263" s="49"/>
      <c r="B263" s="49"/>
      <c r="C263" s="48"/>
      <c r="D263" s="49"/>
      <c r="E263" s="50"/>
      <c r="F263" s="26" t="s">
        <v>767</v>
      </c>
      <c r="G263" s="26" t="s">
        <v>769</v>
      </c>
      <c r="H263" s="27">
        <f t="shared" si="130"/>
        <v>11394.42</v>
      </c>
      <c r="I263" s="27">
        <f t="shared" si="130"/>
        <v>12253.905000000001</v>
      </c>
      <c r="J263" s="27">
        <f t="shared" si="130"/>
        <v>13395.165000000001</v>
      </c>
      <c r="K263" s="27">
        <f t="shared" si="131"/>
        <v>12347.830000000002</v>
      </c>
      <c r="L263" s="65"/>
      <c r="M263" s="67">
        <f t="shared" si="132"/>
        <v>0</v>
      </c>
      <c r="N263" s="65" t="str">
        <f t="shared" si="133"/>
        <v/>
      </c>
      <c r="O263" s="65" t="str">
        <f t="shared" si="134"/>
        <v/>
      </c>
      <c r="P263" s="65" t="str">
        <f t="shared" si="134"/>
        <v/>
      </c>
      <c r="Q263" s="38"/>
      <c r="R263" s="3" t="str">
        <f t="shared" si="135"/>
        <v>Villupuram</v>
      </c>
      <c r="S263" s="3" t="str">
        <f t="shared" si="127"/>
        <v>Tindivanam</v>
      </c>
      <c r="T263" s="3" t="str">
        <f t="shared" si="127"/>
        <v>Olakkur</v>
      </c>
      <c r="U263" s="3" t="str">
        <f t="shared" si="102"/>
        <v>Villupuram_Tindivanam_Olakkur</v>
      </c>
      <c r="V263" s="3">
        <f>IF(_xlfn.XLOOKUP($U263,GCA!$H$3:$H$593,GCA!E$3:E$593,"",0,1)="","",_xlfn.XLOOKUP($U263,GCA!$H$3:$H$593,GCA!E$3:E$593,"",0,1))</f>
        <v>11394.42</v>
      </c>
      <c r="W263" s="3">
        <f>IF(_xlfn.XLOOKUP($U263,GCA!$H$3:$H$593,GCA!F$3:F$593,"",0,1)="","",_xlfn.XLOOKUP($U263,GCA!$H$3:$H$593,GCA!F$3:F$593,"",0,1))</f>
        <v>12253.905000000001</v>
      </c>
      <c r="X263" s="3">
        <f>IF(_xlfn.XLOOKUP($U263,GCA!$H$3:$H$593,GCA!G$3:G$593,"",0,1)="","",_xlfn.XLOOKUP($U263,GCA!$H$3:$H$593,GCA!G$3:G$593,"",0,1))</f>
        <v>13395.165000000001</v>
      </c>
    </row>
    <row r="264" spans="1:24" ht="13.2">
      <c r="A264" s="49"/>
      <c r="B264" s="49"/>
      <c r="C264" s="48"/>
      <c r="D264" s="49"/>
      <c r="E264" s="50"/>
      <c r="F264" s="26" t="s">
        <v>770</v>
      </c>
      <c r="G264" s="26" t="s">
        <v>770</v>
      </c>
      <c r="H264" s="27">
        <f t="shared" si="130"/>
        <v>26642.01</v>
      </c>
      <c r="I264" s="27">
        <f t="shared" si="130"/>
        <v>24591.735000000001</v>
      </c>
      <c r="J264" s="27">
        <f t="shared" si="130"/>
        <v>24938.634999999998</v>
      </c>
      <c r="K264" s="27">
        <f t="shared" si="131"/>
        <v>25390.793333333331</v>
      </c>
      <c r="L264" s="65"/>
      <c r="M264" s="67">
        <f t="shared" si="132"/>
        <v>0</v>
      </c>
      <c r="N264" s="65" t="str">
        <f t="shared" si="133"/>
        <v/>
      </c>
      <c r="O264" s="65" t="str">
        <f t="shared" si="134"/>
        <v/>
      </c>
      <c r="P264" s="65" t="str">
        <f t="shared" si="134"/>
        <v/>
      </c>
      <c r="Q264" s="38"/>
      <c r="R264" s="3" t="str">
        <f t="shared" si="135"/>
        <v>Villupuram</v>
      </c>
      <c r="S264" s="3" t="str">
        <f t="shared" si="127"/>
        <v>Vanur</v>
      </c>
      <c r="T264" s="3" t="str">
        <f t="shared" si="127"/>
        <v>Vanur</v>
      </c>
      <c r="U264" s="3" t="str">
        <f t="shared" si="102"/>
        <v>Villupuram_Vanur_Vanur</v>
      </c>
      <c r="V264" s="3">
        <f>IF(_xlfn.XLOOKUP($U264,GCA!$H$3:$H$593,GCA!E$3:E$593,"",0,1)="","",_xlfn.XLOOKUP($U264,GCA!$H$3:$H$593,GCA!E$3:E$593,"",0,1))</f>
        <v>26642.01</v>
      </c>
      <c r="W264" s="3">
        <f>IF(_xlfn.XLOOKUP($U264,GCA!$H$3:$H$593,GCA!F$3:F$593,"",0,1)="","",_xlfn.XLOOKUP($U264,GCA!$H$3:$H$593,GCA!F$3:F$593,"",0,1))</f>
        <v>24591.735000000001</v>
      </c>
      <c r="X264" s="3">
        <f>IF(_xlfn.XLOOKUP($U264,GCA!$H$3:$H$593,GCA!G$3:G$593,"",0,1)="","",_xlfn.XLOOKUP($U264,GCA!$H$3:$H$593,GCA!G$3:G$593,"",0,1))</f>
        <v>24938.634999999998</v>
      </c>
    </row>
    <row r="265" spans="1:24" ht="13.2">
      <c r="A265" s="49"/>
      <c r="B265" s="49"/>
      <c r="C265" s="48"/>
      <c r="D265" s="49"/>
      <c r="E265" s="50">
        <v>4</v>
      </c>
      <c r="F265" s="26" t="s">
        <v>771</v>
      </c>
      <c r="G265" s="26" t="s">
        <v>772</v>
      </c>
      <c r="H265" s="27">
        <f t="shared" si="130"/>
        <v>10554.91</v>
      </c>
      <c r="I265" s="27">
        <f t="shared" si="130"/>
        <v>9904.7099999999991</v>
      </c>
      <c r="J265" s="27">
        <f t="shared" si="130"/>
        <v>10707.51</v>
      </c>
      <c r="K265" s="27">
        <f t="shared" si="131"/>
        <v>10389.043333333333</v>
      </c>
      <c r="L265" s="65">
        <f>SUM(K265:K271)</f>
        <v>62516.989999999991</v>
      </c>
      <c r="M265" s="67">
        <f t="shared" si="132"/>
        <v>2.6240903577120043</v>
      </c>
      <c r="N265" s="65">
        <f t="shared" si="133"/>
        <v>3</v>
      </c>
      <c r="O265" s="65">
        <f t="shared" si="134"/>
        <v>3</v>
      </c>
      <c r="P265" s="65">
        <f t="shared" si="134"/>
        <v>3</v>
      </c>
      <c r="Q265" s="38"/>
      <c r="R265" s="3" t="str">
        <f t="shared" si="135"/>
        <v>Villupuram</v>
      </c>
      <c r="S265" s="3" t="str">
        <f t="shared" si="127"/>
        <v>Vikkaravandi</v>
      </c>
      <c r="T265" s="3" t="str">
        <f t="shared" si="127"/>
        <v>Kanai</v>
      </c>
      <c r="U265" s="3" t="str">
        <f t="shared" si="102"/>
        <v>Villupuram_Vikkaravandi_Kanai</v>
      </c>
      <c r="V265" s="3">
        <f>IF(_xlfn.XLOOKUP($U265,GCA!$H$3:$H$593,GCA!E$3:E$593,"",0,1)="","",_xlfn.XLOOKUP($U265,GCA!$H$3:$H$593,GCA!E$3:E$593,"",0,1))</f>
        <v>10554.91</v>
      </c>
      <c r="W265" s="3">
        <f>IF(_xlfn.XLOOKUP($U265,GCA!$H$3:$H$593,GCA!F$3:F$593,"",0,1)="","",_xlfn.XLOOKUP($U265,GCA!$H$3:$H$593,GCA!F$3:F$593,"",0,1))</f>
        <v>9904.7099999999991</v>
      </c>
      <c r="X265" s="3">
        <f>IF(_xlfn.XLOOKUP($U265,GCA!$H$3:$H$593,GCA!G$3:G$593,"",0,1)="","",_xlfn.XLOOKUP($U265,GCA!$H$3:$H$593,GCA!G$3:G$593,"",0,1))</f>
        <v>10707.51</v>
      </c>
    </row>
    <row r="266" spans="1:24" ht="13.2">
      <c r="A266" s="49"/>
      <c r="B266" s="49"/>
      <c r="C266" s="48"/>
      <c r="D266" s="49"/>
      <c r="E266" s="50"/>
      <c r="F266" s="26" t="s">
        <v>771</v>
      </c>
      <c r="G266" s="26" t="s">
        <v>773</v>
      </c>
      <c r="H266" s="27">
        <f t="shared" si="130"/>
        <v>3872.855</v>
      </c>
      <c r="I266" s="27">
        <f t="shared" si="130"/>
        <v>4424.04</v>
      </c>
      <c r="J266" s="27">
        <f t="shared" si="130"/>
        <v>4836.835</v>
      </c>
      <c r="K266" s="27">
        <f t="shared" si="131"/>
        <v>4377.91</v>
      </c>
      <c r="L266" s="65"/>
      <c r="M266" s="67">
        <f t="shared" si="132"/>
        <v>0</v>
      </c>
      <c r="N266" s="65" t="str">
        <f t="shared" si="133"/>
        <v/>
      </c>
      <c r="O266" s="65" t="str">
        <f t="shared" si="134"/>
        <v/>
      </c>
      <c r="P266" s="65" t="str">
        <f t="shared" si="134"/>
        <v/>
      </c>
      <c r="Q266" s="38"/>
      <c r="R266" s="3" t="str">
        <f t="shared" si="135"/>
        <v>Villupuram</v>
      </c>
      <c r="S266" s="3" t="str">
        <f t="shared" si="127"/>
        <v>Vikkaravandi</v>
      </c>
      <c r="T266" s="3" t="str">
        <f t="shared" si="127"/>
        <v>Kandamangalam</v>
      </c>
      <c r="U266" s="3" t="str">
        <f t="shared" si="102"/>
        <v>Villupuram_Vikkaravandi_Kandamangalam</v>
      </c>
      <c r="V266" s="3">
        <f>IF(_xlfn.XLOOKUP($U266,GCA!$H$3:$H$593,GCA!E$3:E$593,"",0,1)="","",_xlfn.XLOOKUP($U266,GCA!$H$3:$H$593,GCA!E$3:E$593,"",0,1))</f>
        <v>3872.855</v>
      </c>
      <c r="W266" s="3">
        <f>IF(_xlfn.XLOOKUP($U266,GCA!$H$3:$H$593,GCA!F$3:F$593,"",0,1)="","",_xlfn.XLOOKUP($U266,GCA!$H$3:$H$593,GCA!F$3:F$593,"",0,1))</f>
        <v>4424.04</v>
      </c>
      <c r="X266" s="3">
        <f>IF(_xlfn.XLOOKUP($U266,GCA!$H$3:$H$593,GCA!G$3:G$593,"",0,1)="","",_xlfn.XLOOKUP($U266,GCA!$H$3:$H$593,GCA!G$3:G$593,"",0,1))</f>
        <v>4836.835</v>
      </c>
    </row>
    <row r="267" spans="1:24" ht="13.2">
      <c r="A267" s="49"/>
      <c r="B267" s="49"/>
      <c r="C267" s="48"/>
      <c r="D267" s="49"/>
      <c r="E267" s="50"/>
      <c r="F267" s="26" t="s">
        <v>771</v>
      </c>
      <c r="G267" s="26" t="s">
        <v>774</v>
      </c>
      <c r="H267" s="27">
        <f t="shared" si="130"/>
        <v>894.27</v>
      </c>
      <c r="I267" s="27">
        <f t="shared" si="130"/>
        <v>950.82</v>
      </c>
      <c r="J267" s="27">
        <f t="shared" si="130"/>
        <v>858.66</v>
      </c>
      <c r="K267" s="27">
        <f t="shared" si="131"/>
        <v>901.25</v>
      </c>
      <c r="L267" s="65"/>
      <c r="M267" s="67">
        <f t="shared" si="132"/>
        <v>0</v>
      </c>
      <c r="N267" s="65" t="str">
        <f t="shared" si="133"/>
        <v/>
      </c>
      <c r="O267" s="65" t="str">
        <f t="shared" si="134"/>
        <v/>
      </c>
      <c r="P267" s="65" t="str">
        <f t="shared" si="134"/>
        <v/>
      </c>
      <c r="Q267" s="38"/>
      <c r="R267" s="3" t="str">
        <f t="shared" si="135"/>
        <v>Villupuram</v>
      </c>
      <c r="S267" s="3" t="str">
        <f t="shared" si="127"/>
        <v>Vikkaravandi</v>
      </c>
      <c r="T267" s="3" t="str">
        <f t="shared" si="127"/>
        <v>Koliyanur</v>
      </c>
      <c r="U267" s="3" t="str">
        <f t="shared" si="102"/>
        <v>Villupuram_Vikkaravandi_Koliyanur</v>
      </c>
      <c r="V267" s="3">
        <f>IF(_xlfn.XLOOKUP($U267,GCA!$H$3:$H$593,GCA!E$3:E$593,"",0,1)="","",_xlfn.XLOOKUP($U267,GCA!$H$3:$H$593,GCA!E$3:E$593,"",0,1))</f>
        <v>894.27</v>
      </c>
      <c r="W267" s="3">
        <f>IF(_xlfn.XLOOKUP($U267,GCA!$H$3:$H$593,GCA!F$3:F$593,"",0,1)="","",_xlfn.XLOOKUP($U267,GCA!$H$3:$H$593,GCA!F$3:F$593,"",0,1))</f>
        <v>950.82</v>
      </c>
      <c r="X267" s="3">
        <f>IF(_xlfn.XLOOKUP($U267,GCA!$H$3:$H$593,GCA!G$3:G$593,"",0,1)="","",_xlfn.XLOOKUP($U267,GCA!$H$3:$H$593,GCA!G$3:G$593,"",0,1))</f>
        <v>858.66</v>
      </c>
    </row>
    <row r="268" spans="1:24" ht="13.2">
      <c r="A268" s="49"/>
      <c r="B268" s="49"/>
      <c r="C268" s="48"/>
      <c r="D268" s="49"/>
      <c r="E268" s="50"/>
      <c r="F268" s="26" t="s">
        <v>771</v>
      </c>
      <c r="G268" s="26" t="s">
        <v>771</v>
      </c>
      <c r="H268" s="27">
        <f t="shared" si="130"/>
        <v>13528.22</v>
      </c>
      <c r="I268" s="27">
        <f t="shared" si="130"/>
        <v>12734.674999999999</v>
      </c>
      <c r="J268" s="27">
        <f t="shared" si="130"/>
        <v>12392.135</v>
      </c>
      <c r="K268" s="27">
        <f t="shared" si="131"/>
        <v>12885.01</v>
      </c>
      <c r="L268" s="65"/>
      <c r="M268" s="67">
        <f t="shared" si="132"/>
        <v>0</v>
      </c>
      <c r="N268" s="65" t="str">
        <f t="shared" si="133"/>
        <v/>
      </c>
      <c r="O268" s="65" t="str">
        <f t="shared" si="134"/>
        <v/>
      </c>
      <c r="P268" s="65" t="str">
        <f t="shared" si="134"/>
        <v/>
      </c>
      <c r="Q268" s="38"/>
      <c r="R268" s="3" t="str">
        <f t="shared" si="135"/>
        <v>Villupuram</v>
      </c>
      <c r="S268" s="3" t="str">
        <f t="shared" si="127"/>
        <v>Vikkaravandi</v>
      </c>
      <c r="T268" s="3" t="str">
        <f t="shared" si="127"/>
        <v>Vikkaravandi</v>
      </c>
      <c r="U268" s="3" t="str">
        <f t="shared" si="102"/>
        <v>Villupuram_Vikkaravandi_Vikkaravandi</v>
      </c>
      <c r="V268" s="3">
        <f>IF(_xlfn.XLOOKUP($U268,GCA!$H$3:$H$593,GCA!E$3:E$593,"",0,1)="","",_xlfn.XLOOKUP($U268,GCA!$H$3:$H$593,GCA!E$3:E$593,"",0,1))</f>
        <v>13528.22</v>
      </c>
      <c r="W268" s="3">
        <f>IF(_xlfn.XLOOKUP($U268,GCA!$H$3:$H$593,GCA!F$3:F$593,"",0,1)="","",_xlfn.XLOOKUP($U268,GCA!$H$3:$H$593,GCA!F$3:F$593,"",0,1))</f>
        <v>12734.674999999999</v>
      </c>
      <c r="X268" s="3">
        <f>IF(_xlfn.XLOOKUP($U268,GCA!$H$3:$H$593,GCA!G$3:G$593,"",0,1)="","",_xlfn.XLOOKUP($U268,GCA!$H$3:$H$593,GCA!G$3:G$593,"",0,1))</f>
        <v>12392.135</v>
      </c>
    </row>
    <row r="269" spans="1:24" ht="13.2">
      <c r="A269" s="49"/>
      <c r="B269" s="49"/>
      <c r="C269" s="48"/>
      <c r="D269" s="49"/>
      <c r="E269" s="50"/>
      <c r="F269" s="26" t="s">
        <v>229</v>
      </c>
      <c r="G269" s="26" t="s">
        <v>772</v>
      </c>
      <c r="H269" s="27">
        <f t="shared" si="130"/>
        <v>10027.35</v>
      </c>
      <c r="I269" s="27">
        <f t="shared" si="130"/>
        <v>9300.2649999999994</v>
      </c>
      <c r="J269" s="27">
        <f t="shared" si="130"/>
        <v>8540.3799999999992</v>
      </c>
      <c r="K269" s="27">
        <f t="shared" si="131"/>
        <v>9289.3316666666651</v>
      </c>
      <c r="L269" s="65"/>
      <c r="M269" s="67">
        <f t="shared" si="132"/>
        <v>0</v>
      </c>
      <c r="N269" s="65" t="str">
        <f t="shared" si="133"/>
        <v/>
      </c>
      <c r="O269" s="65" t="str">
        <f t="shared" si="134"/>
        <v/>
      </c>
      <c r="P269" s="65" t="str">
        <f t="shared" si="134"/>
        <v/>
      </c>
      <c r="Q269" s="38"/>
      <c r="R269" s="3" t="str">
        <f t="shared" si="135"/>
        <v>Villupuram</v>
      </c>
      <c r="S269" s="3" t="str">
        <f t="shared" si="127"/>
        <v>Villupuram</v>
      </c>
      <c r="T269" s="3" t="str">
        <f t="shared" si="127"/>
        <v>Kanai</v>
      </c>
      <c r="U269" s="3" t="str">
        <f t="shared" si="102"/>
        <v>Villupuram_Villupuram_Kanai</v>
      </c>
      <c r="V269" s="3">
        <f>IF(_xlfn.XLOOKUP($U269,GCA!$H$3:$H$593,GCA!E$3:E$593,"",0,1)="","",_xlfn.XLOOKUP($U269,GCA!$H$3:$H$593,GCA!E$3:E$593,"",0,1))</f>
        <v>10027.35</v>
      </c>
      <c r="W269" s="3">
        <f>IF(_xlfn.XLOOKUP($U269,GCA!$H$3:$H$593,GCA!F$3:F$593,"",0,1)="","",_xlfn.XLOOKUP($U269,GCA!$H$3:$H$593,GCA!F$3:F$593,"",0,1))</f>
        <v>9300.2649999999994</v>
      </c>
      <c r="X269" s="3">
        <f>IF(_xlfn.XLOOKUP($U269,GCA!$H$3:$H$593,GCA!G$3:G$593,"",0,1)="","",_xlfn.XLOOKUP($U269,GCA!$H$3:$H$593,GCA!G$3:G$593,"",0,1))</f>
        <v>8540.3799999999992</v>
      </c>
    </row>
    <row r="270" spans="1:24" ht="13.2">
      <c r="A270" s="49"/>
      <c r="B270" s="49"/>
      <c r="C270" s="48"/>
      <c r="D270" s="49"/>
      <c r="E270" s="50"/>
      <c r="F270" s="26" t="s">
        <v>229</v>
      </c>
      <c r="G270" s="26" t="s">
        <v>773</v>
      </c>
      <c r="H270" s="27">
        <f t="shared" si="130"/>
        <v>12775.875</v>
      </c>
      <c r="I270" s="27">
        <f t="shared" si="130"/>
        <v>12993.584999999999</v>
      </c>
      <c r="J270" s="27">
        <f t="shared" si="130"/>
        <v>13093.395</v>
      </c>
      <c r="K270" s="27">
        <f t="shared" si="131"/>
        <v>12954.284999999998</v>
      </c>
      <c r="L270" s="65"/>
      <c r="M270" s="67">
        <f t="shared" si="132"/>
        <v>0</v>
      </c>
      <c r="N270" s="65" t="str">
        <f t="shared" si="133"/>
        <v/>
      </c>
      <c r="O270" s="65" t="str">
        <f t="shared" ref="O270:P271" si="136">N270</f>
        <v/>
      </c>
      <c r="P270" s="65" t="str">
        <f t="shared" si="136"/>
        <v/>
      </c>
      <c r="Q270" s="38"/>
      <c r="R270" s="3" t="str">
        <f t="shared" si="135"/>
        <v>Villupuram</v>
      </c>
      <c r="S270" s="3" t="str">
        <f t="shared" si="127"/>
        <v>Villupuram</v>
      </c>
      <c r="T270" s="3" t="str">
        <f t="shared" si="127"/>
        <v>Kandamangalam</v>
      </c>
      <c r="U270" s="3" t="str">
        <f t="shared" si="102"/>
        <v>Villupuram_Villupuram_Kandamangalam</v>
      </c>
      <c r="V270" s="3">
        <f>IF(_xlfn.XLOOKUP($U270,GCA!$H$3:$H$593,GCA!E$3:E$593,"",0,1)="","",_xlfn.XLOOKUP($U270,GCA!$H$3:$H$593,GCA!E$3:E$593,"",0,1))</f>
        <v>12775.875</v>
      </c>
      <c r="W270" s="3">
        <f>IF(_xlfn.XLOOKUP($U270,GCA!$H$3:$H$593,GCA!F$3:F$593,"",0,1)="","",_xlfn.XLOOKUP($U270,GCA!$H$3:$H$593,GCA!F$3:F$593,"",0,1))</f>
        <v>12993.584999999999</v>
      </c>
      <c r="X270" s="3">
        <f>IF(_xlfn.XLOOKUP($U270,GCA!$H$3:$H$593,GCA!G$3:G$593,"",0,1)="","",_xlfn.XLOOKUP($U270,GCA!$H$3:$H$593,GCA!G$3:G$593,"",0,1))</f>
        <v>13093.395</v>
      </c>
    </row>
    <row r="271" spans="1:24" ht="13.2">
      <c r="A271" s="49"/>
      <c r="B271" s="49"/>
      <c r="C271" s="48"/>
      <c r="D271" s="49"/>
      <c r="E271" s="50"/>
      <c r="F271" s="26" t="s">
        <v>229</v>
      </c>
      <c r="G271" s="26" t="s">
        <v>774</v>
      </c>
      <c r="H271" s="27">
        <f t="shared" si="130"/>
        <v>13190.695</v>
      </c>
      <c r="I271" s="27">
        <f t="shared" si="130"/>
        <v>10713.375</v>
      </c>
      <c r="J271" s="27">
        <f t="shared" si="130"/>
        <v>11256.41</v>
      </c>
      <c r="K271" s="27">
        <f t="shared" si="131"/>
        <v>11720.159999999998</v>
      </c>
      <c r="L271" s="65"/>
      <c r="M271" s="67">
        <f t="shared" si="132"/>
        <v>0</v>
      </c>
      <c r="N271" s="65" t="str">
        <f t="shared" si="133"/>
        <v/>
      </c>
      <c r="O271" s="65" t="str">
        <f t="shared" si="136"/>
        <v/>
      </c>
      <c r="P271" s="65" t="str">
        <f t="shared" si="136"/>
        <v/>
      </c>
      <c r="Q271" s="38"/>
      <c r="R271" s="3" t="str">
        <f t="shared" si="135"/>
        <v>Villupuram</v>
      </c>
      <c r="S271" s="3" t="str">
        <f t="shared" si="127"/>
        <v>Villupuram</v>
      </c>
      <c r="T271" s="3" t="str">
        <f t="shared" si="127"/>
        <v>Koliyanur</v>
      </c>
      <c r="U271" s="3" t="str">
        <f t="shared" si="102"/>
        <v>Villupuram_Villupuram_Koliyanur</v>
      </c>
      <c r="V271" s="3">
        <f>IF(_xlfn.XLOOKUP($U271,GCA!$H$3:$H$593,GCA!E$3:E$593,"",0,1)="","",_xlfn.XLOOKUP($U271,GCA!$H$3:$H$593,GCA!E$3:E$593,"",0,1))</f>
        <v>13190.695</v>
      </c>
      <c r="W271" s="3">
        <f>IF(_xlfn.XLOOKUP($U271,GCA!$H$3:$H$593,GCA!F$3:F$593,"",0,1)="","",_xlfn.XLOOKUP($U271,GCA!$H$3:$H$593,GCA!F$3:F$593,"",0,1))</f>
        <v>10713.375</v>
      </c>
      <c r="X271" s="3">
        <f>IF(_xlfn.XLOOKUP($U271,GCA!$H$3:$H$593,GCA!G$3:G$593,"",0,1)="","",_xlfn.XLOOKUP($U271,GCA!$H$3:$H$593,GCA!G$3:G$593,"",0,1))</f>
        <v>11256.41</v>
      </c>
    </row>
    <row r="272" spans="1:24" ht="13.2">
      <c r="A272" s="49"/>
      <c r="B272" s="49"/>
      <c r="C272" s="48"/>
      <c r="D272" s="49"/>
      <c r="E272" s="47" t="s">
        <v>564</v>
      </c>
      <c r="F272" s="47"/>
      <c r="G272" s="47"/>
      <c r="H272" s="29">
        <f t="shared" ref="H272:P272" si="137">SUM(H254:H271)</f>
        <v>237723.93500000003</v>
      </c>
      <c r="I272" s="29">
        <f t="shared" si="137"/>
        <v>222772.43999999997</v>
      </c>
      <c r="J272" s="29">
        <f t="shared" si="137"/>
        <v>233063.12000000002</v>
      </c>
      <c r="K272" s="29">
        <f t="shared" si="137"/>
        <v>231186.49833333338</v>
      </c>
      <c r="L272" s="29">
        <f t="shared" si="137"/>
        <v>231186.49833333332</v>
      </c>
      <c r="M272" s="30">
        <f t="shared" si="137"/>
        <v>9.7038302885296055</v>
      </c>
      <c r="N272" s="31">
        <f t="shared" si="137"/>
        <v>10</v>
      </c>
      <c r="O272" s="31">
        <f t="shared" si="137"/>
        <v>10</v>
      </c>
      <c r="P272" s="31">
        <f t="shared" si="137"/>
        <v>10</v>
      </c>
      <c r="Q272" s="38"/>
      <c r="R272" s="3" t="str">
        <f t="shared" si="135"/>
        <v>Villupuram</v>
      </c>
      <c r="S272" s="3">
        <f t="shared" si="127"/>
        <v>0</v>
      </c>
      <c r="T272" s="3">
        <f t="shared" si="127"/>
        <v>0</v>
      </c>
      <c r="U272" s="3" t="str">
        <f t="shared" si="102"/>
        <v>Villupuram_0_0</v>
      </c>
      <c r="V272" s="3" t="str">
        <f>IF(_xlfn.XLOOKUP($U272,GCA!$H$3:$H$593,GCA!E$3:E$593,"",0,1)="","",_xlfn.XLOOKUP($U272,GCA!$H$3:$H$593,GCA!E$3:E$593,"",0,1))</f>
        <v/>
      </c>
      <c r="W272" s="3" t="str">
        <f>IF(_xlfn.XLOOKUP($U272,GCA!$H$3:$H$593,GCA!F$3:F$593,"",0,1)="","",_xlfn.XLOOKUP($U272,GCA!$H$3:$H$593,GCA!F$3:F$593,"",0,1))</f>
        <v/>
      </c>
      <c r="X272" s="3" t="str">
        <f>IF(_xlfn.XLOOKUP($U272,GCA!$H$3:$H$593,GCA!G$3:G$593,"",0,1)="","",_xlfn.XLOOKUP($U272,GCA!$H$3:$H$593,GCA!G$3:G$593,"",0,1))</f>
        <v/>
      </c>
    </row>
    <row r="273" spans="1:24" ht="13.2">
      <c r="A273" s="49"/>
      <c r="B273" s="49"/>
      <c r="C273" s="48" t="s">
        <v>227</v>
      </c>
      <c r="D273" s="49" t="s">
        <v>542</v>
      </c>
      <c r="E273" s="50">
        <v>1</v>
      </c>
      <c r="F273" s="26" t="s">
        <v>775</v>
      </c>
      <c r="G273" s="26" t="s">
        <v>776</v>
      </c>
      <c r="H273" s="27">
        <f t="shared" ref="H273:J293" si="138">V273</f>
        <v>20532.575000000001</v>
      </c>
      <c r="I273" s="27">
        <f t="shared" si="138"/>
        <v>20950.23</v>
      </c>
      <c r="J273" s="27">
        <f t="shared" si="138"/>
        <v>20596.945</v>
      </c>
      <c r="K273" s="27">
        <f t="shared" ref="K273:K293" si="139">IFERROR(AVERAGE(H273:J273),"")</f>
        <v>20693.25</v>
      </c>
      <c r="L273" s="65">
        <f>SUM(K273:K278)</f>
        <v>64343.233333333344</v>
      </c>
      <c r="M273" s="67">
        <f t="shared" ref="M273:M293" si="140">L273*$L$643/$L$642</f>
        <v>2.7007451602198644</v>
      </c>
      <c r="N273" s="65">
        <f t="shared" si="133"/>
        <v>3</v>
      </c>
      <c r="O273" s="65">
        <f t="shared" ref="O273:P288" si="141">N273</f>
        <v>3</v>
      </c>
      <c r="P273" s="65">
        <f t="shared" si="141"/>
        <v>3</v>
      </c>
      <c r="Q273" s="38"/>
      <c r="R273" s="3" t="str">
        <f t="shared" si="129"/>
        <v>Cuddalore</v>
      </c>
      <c r="S273" s="3" t="str">
        <f t="shared" si="127"/>
        <v>Bhuvanagiri</v>
      </c>
      <c r="T273" s="3" t="str">
        <f t="shared" si="127"/>
        <v>Melbhuvanagiri</v>
      </c>
      <c r="U273" s="3" t="str">
        <f t="shared" si="102"/>
        <v>Cuddalore_Bhuvanagiri_Melbhuvanagiri</v>
      </c>
      <c r="V273" s="3">
        <f>IF(_xlfn.XLOOKUP($U273,GCA!$H$3:$H$593,GCA!E$3:E$593,"",0,1)="","",_xlfn.XLOOKUP($U273,GCA!$H$3:$H$593,GCA!E$3:E$593,"",0,1))</f>
        <v>20532.575000000001</v>
      </c>
      <c r="W273" s="3">
        <f>IF(_xlfn.XLOOKUP($U273,GCA!$H$3:$H$593,GCA!F$3:F$593,"",0,1)="","",_xlfn.XLOOKUP($U273,GCA!$H$3:$H$593,GCA!F$3:F$593,"",0,1))</f>
        <v>20950.23</v>
      </c>
      <c r="X273" s="3">
        <f>IF(_xlfn.XLOOKUP($U273,GCA!$H$3:$H$593,GCA!G$3:G$593,"",0,1)="","",_xlfn.XLOOKUP($U273,GCA!$H$3:$H$593,GCA!G$3:G$593,"",0,1))</f>
        <v>20596.945</v>
      </c>
    </row>
    <row r="274" spans="1:24" ht="13.2">
      <c r="A274" s="49"/>
      <c r="B274" s="49"/>
      <c r="C274" s="48"/>
      <c r="D274" s="49"/>
      <c r="E274" s="50"/>
      <c r="F274" s="26" t="s">
        <v>775</v>
      </c>
      <c r="G274" s="26" t="s">
        <v>777</v>
      </c>
      <c r="H274" s="27">
        <f t="shared" si="138"/>
        <v>9469.76</v>
      </c>
      <c r="I274" s="27">
        <f t="shared" si="138"/>
        <v>9414.41</v>
      </c>
      <c r="J274" s="27">
        <f t="shared" si="138"/>
        <v>9330.85</v>
      </c>
      <c r="K274" s="27">
        <f t="shared" si="139"/>
        <v>9405.0066666666662</v>
      </c>
      <c r="L274" s="65"/>
      <c r="M274" s="67">
        <f t="shared" si="140"/>
        <v>0</v>
      </c>
      <c r="N274" s="65" t="str">
        <f t="shared" si="133"/>
        <v/>
      </c>
      <c r="O274" s="65" t="str">
        <f t="shared" si="141"/>
        <v/>
      </c>
      <c r="P274" s="65" t="str">
        <f t="shared" si="141"/>
        <v/>
      </c>
      <c r="Q274" s="38"/>
      <c r="R274" s="3" t="str">
        <f t="shared" ref="R274:R294" si="142">R273</f>
        <v>Cuddalore</v>
      </c>
      <c r="S274" s="3" t="str">
        <f t="shared" si="127"/>
        <v>Bhuvanagiri</v>
      </c>
      <c r="T274" s="3" t="str">
        <f t="shared" si="127"/>
        <v>Paragipettai</v>
      </c>
      <c r="U274" s="3" t="str">
        <f t="shared" ref="U274:U345" si="143">CONCATENATE(R274,"_",S274,"_",T274)</f>
        <v>Cuddalore_Bhuvanagiri_Paragipettai</v>
      </c>
      <c r="V274" s="3">
        <f>IF(_xlfn.XLOOKUP($U274,GCA!$H$3:$H$593,GCA!E$3:E$593,"",0,1)="","",_xlfn.XLOOKUP($U274,GCA!$H$3:$H$593,GCA!E$3:E$593,"",0,1))</f>
        <v>9469.76</v>
      </c>
      <c r="W274" s="3">
        <f>IF(_xlfn.XLOOKUP($U274,GCA!$H$3:$H$593,GCA!F$3:F$593,"",0,1)="","",_xlfn.XLOOKUP($U274,GCA!$H$3:$H$593,GCA!F$3:F$593,"",0,1))</f>
        <v>9414.41</v>
      </c>
      <c r="X274" s="3">
        <f>IF(_xlfn.XLOOKUP($U274,GCA!$H$3:$H$593,GCA!G$3:G$593,"",0,1)="","",_xlfn.XLOOKUP($U274,GCA!$H$3:$H$593,GCA!G$3:G$593,"",0,1))</f>
        <v>9330.85</v>
      </c>
    </row>
    <row r="275" spans="1:24" ht="13.2">
      <c r="A275" s="49"/>
      <c r="B275" s="49"/>
      <c r="C275" s="48"/>
      <c r="D275" s="49"/>
      <c r="E275" s="50"/>
      <c r="F275" s="26" t="s">
        <v>778</v>
      </c>
      <c r="G275" s="26" t="s">
        <v>779</v>
      </c>
      <c r="H275" s="27">
        <f t="shared" si="138"/>
        <v>20873.654999999999</v>
      </c>
      <c r="I275" s="27">
        <f t="shared" si="138"/>
        <v>20394.724999999999</v>
      </c>
      <c r="J275" s="27">
        <f t="shared" si="138"/>
        <v>19998.560000000001</v>
      </c>
      <c r="K275" s="27">
        <f t="shared" si="139"/>
        <v>20422.313333333335</v>
      </c>
      <c r="L275" s="65"/>
      <c r="M275" s="67">
        <f t="shared" si="140"/>
        <v>0</v>
      </c>
      <c r="N275" s="65" t="str">
        <f t="shared" si="133"/>
        <v/>
      </c>
      <c r="O275" s="65" t="str">
        <f t="shared" si="141"/>
        <v/>
      </c>
      <c r="P275" s="65" t="str">
        <f t="shared" si="141"/>
        <v/>
      </c>
      <c r="Q275" s="38"/>
      <c r="R275" s="3" t="str">
        <f t="shared" si="142"/>
        <v>Cuddalore</v>
      </c>
      <c r="S275" s="3" t="str">
        <f t="shared" si="127"/>
        <v>Chidambaram</v>
      </c>
      <c r="T275" s="3" t="str">
        <f t="shared" si="127"/>
        <v>Keerapalayam</v>
      </c>
      <c r="U275" s="3" t="str">
        <f t="shared" si="143"/>
        <v>Cuddalore_Chidambaram_Keerapalayam</v>
      </c>
      <c r="V275" s="3">
        <f>IF(_xlfn.XLOOKUP($U275,GCA!$H$3:$H$593,GCA!E$3:E$593,"",0,1)="","",_xlfn.XLOOKUP($U275,GCA!$H$3:$H$593,GCA!E$3:E$593,"",0,1))</f>
        <v>20873.654999999999</v>
      </c>
      <c r="W275" s="3">
        <f>IF(_xlfn.XLOOKUP($U275,GCA!$H$3:$H$593,GCA!F$3:F$593,"",0,1)="","",_xlfn.XLOOKUP($U275,GCA!$H$3:$H$593,GCA!F$3:F$593,"",0,1))</f>
        <v>20394.724999999999</v>
      </c>
      <c r="X275" s="3">
        <f>IF(_xlfn.XLOOKUP($U275,GCA!$H$3:$H$593,GCA!G$3:G$593,"",0,1)="","",_xlfn.XLOOKUP($U275,GCA!$H$3:$H$593,GCA!G$3:G$593,"",0,1))</f>
        <v>19998.560000000001</v>
      </c>
    </row>
    <row r="276" spans="1:24" ht="13.2">
      <c r="A276" s="49"/>
      <c r="B276" s="49"/>
      <c r="C276" s="48"/>
      <c r="D276" s="49"/>
      <c r="E276" s="50"/>
      <c r="F276" s="26" t="s">
        <v>778</v>
      </c>
      <c r="G276" s="26" t="s">
        <v>780</v>
      </c>
      <c r="H276" s="27">
        <f t="shared" si="138"/>
        <v>6708.1350000000002</v>
      </c>
      <c r="I276" s="27">
        <f t="shared" si="138"/>
        <v>6525.9650000000001</v>
      </c>
      <c r="J276" s="27">
        <f t="shared" si="138"/>
        <v>6483.3649999999998</v>
      </c>
      <c r="K276" s="27">
        <f t="shared" si="139"/>
        <v>6572.4883333333337</v>
      </c>
      <c r="L276" s="65"/>
      <c r="M276" s="67">
        <f t="shared" si="140"/>
        <v>0</v>
      </c>
      <c r="N276" s="65" t="str">
        <f t="shared" si="133"/>
        <v/>
      </c>
      <c r="O276" s="65" t="str">
        <f t="shared" si="141"/>
        <v/>
      </c>
      <c r="P276" s="65" t="str">
        <f t="shared" si="141"/>
        <v/>
      </c>
      <c r="Q276" s="38"/>
      <c r="R276" s="3" t="str">
        <f t="shared" si="142"/>
        <v>Cuddalore</v>
      </c>
      <c r="S276" s="3" t="str">
        <f t="shared" si="127"/>
        <v>Chidambaram</v>
      </c>
      <c r="T276" s="3" t="str">
        <f t="shared" si="127"/>
        <v>Kumarachi</v>
      </c>
      <c r="U276" s="3" t="str">
        <f t="shared" si="143"/>
        <v>Cuddalore_Chidambaram_Kumarachi</v>
      </c>
      <c r="V276" s="3">
        <f>IF(_xlfn.XLOOKUP($U276,GCA!$H$3:$H$593,GCA!E$3:E$593,"",0,1)="","",_xlfn.XLOOKUP($U276,GCA!$H$3:$H$593,GCA!E$3:E$593,"",0,1))</f>
        <v>6708.1350000000002</v>
      </c>
      <c r="W276" s="3">
        <f>IF(_xlfn.XLOOKUP($U276,GCA!$H$3:$H$593,GCA!F$3:F$593,"",0,1)="","",_xlfn.XLOOKUP($U276,GCA!$H$3:$H$593,GCA!F$3:F$593,"",0,1))</f>
        <v>6525.9650000000001</v>
      </c>
      <c r="X276" s="3">
        <f>IF(_xlfn.XLOOKUP($U276,GCA!$H$3:$H$593,GCA!G$3:G$593,"",0,1)="","",_xlfn.XLOOKUP($U276,GCA!$H$3:$H$593,GCA!G$3:G$593,"",0,1))</f>
        <v>6483.3649999999998</v>
      </c>
    </row>
    <row r="277" spans="1:24" ht="13.2">
      <c r="A277" s="49"/>
      <c r="B277" s="49"/>
      <c r="C277" s="48"/>
      <c r="D277" s="49"/>
      <c r="E277" s="50"/>
      <c r="F277" s="26" t="s">
        <v>778</v>
      </c>
      <c r="G277" s="26" t="s">
        <v>776</v>
      </c>
      <c r="H277" s="27">
        <f t="shared" si="138"/>
        <v>1292.7149999999999</v>
      </c>
      <c r="I277" s="27">
        <f t="shared" si="138"/>
        <v>1257.9349999999999</v>
      </c>
      <c r="J277" s="27">
        <f t="shared" si="138"/>
        <v>1284.0650000000001</v>
      </c>
      <c r="K277" s="27">
        <f t="shared" si="139"/>
        <v>1278.2383333333332</v>
      </c>
      <c r="L277" s="65"/>
      <c r="M277" s="67">
        <f t="shared" si="140"/>
        <v>0</v>
      </c>
      <c r="N277" s="65" t="str">
        <f t="shared" si="133"/>
        <v/>
      </c>
      <c r="O277" s="65" t="str">
        <f t="shared" si="141"/>
        <v/>
      </c>
      <c r="P277" s="65" t="str">
        <f t="shared" si="141"/>
        <v/>
      </c>
      <c r="Q277" s="38"/>
      <c r="R277" s="3" t="str">
        <f t="shared" si="142"/>
        <v>Cuddalore</v>
      </c>
      <c r="S277" s="3" t="str">
        <f t="shared" si="127"/>
        <v>Chidambaram</v>
      </c>
      <c r="T277" s="3" t="str">
        <f t="shared" si="127"/>
        <v>Melbhuvanagiri</v>
      </c>
      <c r="U277" s="3" t="str">
        <f t="shared" si="143"/>
        <v>Cuddalore_Chidambaram_Melbhuvanagiri</v>
      </c>
      <c r="V277" s="3">
        <f>IF(_xlfn.XLOOKUP($U277,GCA!$H$3:$H$593,GCA!E$3:E$593,"",0,1)="","",_xlfn.XLOOKUP($U277,GCA!$H$3:$H$593,GCA!E$3:E$593,"",0,1))</f>
        <v>1292.7149999999999</v>
      </c>
      <c r="W277" s="3">
        <f>IF(_xlfn.XLOOKUP($U277,GCA!$H$3:$H$593,GCA!F$3:F$593,"",0,1)="","",_xlfn.XLOOKUP($U277,GCA!$H$3:$H$593,GCA!F$3:F$593,"",0,1))</f>
        <v>1257.9349999999999</v>
      </c>
      <c r="X277" s="3">
        <f>IF(_xlfn.XLOOKUP($U277,GCA!$H$3:$H$593,GCA!G$3:G$593,"",0,1)="","",_xlfn.XLOOKUP($U277,GCA!$H$3:$H$593,GCA!G$3:G$593,"",0,1))</f>
        <v>1284.0650000000001</v>
      </c>
    </row>
    <row r="278" spans="1:24" ht="13.2">
      <c r="A278" s="49"/>
      <c r="B278" s="49"/>
      <c r="C278" s="48"/>
      <c r="D278" s="49"/>
      <c r="E278" s="50"/>
      <c r="F278" s="26" t="s">
        <v>778</v>
      </c>
      <c r="G278" s="26" t="s">
        <v>777</v>
      </c>
      <c r="H278" s="27">
        <f t="shared" si="138"/>
        <v>5715.2349999999997</v>
      </c>
      <c r="I278" s="27">
        <f t="shared" si="138"/>
        <v>5784.72</v>
      </c>
      <c r="J278" s="27">
        <f t="shared" si="138"/>
        <v>6415.8549999999996</v>
      </c>
      <c r="K278" s="27">
        <f t="shared" si="139"/>
        <v>5971.9366666666656</v>
      </c>
      <c r="L278" s="65"/>
      <c r="M278" s="67">
        <f t="shared" si="140"/>
        <v>0</v>
      </c>
      <c r="N278" s="65" t="str">
        <f t="shared" si="133"/>
        <v/>
      </c>
      <c r="O278" s="65" t="str">
        <f t="shared" si="141"/>
        <v/>
      </c>
      <c r="P278" s="65" t="str">
        <f t="shared" si="141"/>
        <v/>
      </c>
      <c r="Q278" s="38"/>
      <c r="R278" s="3" t="str">
        <f t="shared" si="142"/>
        <v>Cuddalore</v>
      </c>
      <c r="S278" s="3" t="str">
        <f t="shared" si="127"/>
        <v>Chidambaram</v>
      </c>
      <c r="T278" s="3" t="str">
        <f t="shared" si="127"/>
        <v>Paragipettai</v>
      </c>
      <c r="U278" s="3" t="str">
        <f t="shared" si="143"/>
        <v>Cuddalore_Chidambaram_Paragipettai</v>
      </c>
      <c r="V278" s="3">
        <f>IF(_xlfn.XLOOKUP($U278,GCA!$H$3:$H$593,GCA!E$3:E$593,"",0,1)="","",_xlfn.XLOOKUP($U278,GCA!$H$3:$H$593,GCA!E$3:E$593,"",0,1))</f>
        <v>5715.2349999999997</v>
      </c>
      <c r="W278" s="3">
        <f>IF(_xlfn.XLOOKUP($U278,GCA!$H$3:$H$593,GCA!F$3:F$593,"",0,1)="","",_xlfn.XLOOKUP($U278,GCA!$H$3:$H$593,GCA!F$3:F$593,"",0,1))</f>
        <v>5784.72</v>
      </c>
      <c r="X278" s="3">
        <f>IF(_xlfn.XLOOKUP($U278,GCA!$H$3:$H$593,GCA!G$3:G$593,"",0,1)="","",_xlfn.XLOOKUP($U278,GCA!$H$3:$H$593,GCA!G$3:G$593,"",0,1))</f>
        <v>6415.8549999999996</v>
      </c>
    </row>
    <row r="279" spans="1:24" ht="13.2">
      <c r="A279" s="49"/>
      <c r="B279" s="49"/>
      <c r="C279" s="48"/>
      <c r="D279" s="49"/>
      <c r="E279" s="50">
        <v>2</v>
      </c>
      <c r="F279" s="26" t="s">
        <v>227</v>
      </c>
      <c r="G279" s="26" t="s">
        <v>227</v>
      </c>
      <c r="H279" s="27">
        <f t="shared" si="138"/>
        <v>19660.215</v>
      </c>
      <c r="I279" s="27">
        <f t="shared" si="138"/>
        <v>18729.564999999999</v>
      </c>
      <c r="J279" s="27">
        <f t="shared" si="138"/>
        <v>18885.674999999999</v>
      </c>
      <c r="K279" s="27">
        <f t="shared" si="139"/>
        <v>19091.818333333333</v>
      </c>
      <c r="L279" s="65">
        <f>SUM(K279:K283)</f>
        <v>57888.67</v>
      </c>
      <c r="M279" s="67">
        <f t="shared" si="140"/>
        <v>2.4298210897193253</v>
      </c>
      <c r="N279" s="65">
        <f t="shared" si="133"/>
        <v>2</v>
      </c>
      <c r="O279" s="65">
        <f t="shared" si="141"/>
        <v>2</v>
      </c>
      <c r="P279" s="65">
        <f t="shared" si="141"/>
        <v>2</v>
      </c>
      <c r="Q279" s="38"/>
      <c r="R279" s="3" t="str">
        <f t="shared" si="142"/>
        <v>Cuddalore</v>
      </c>
      <c r="S279" s="3" t="str">
        <f t="shared" si="127"/>
        <v>Cuddalore</v>
      </c>
      <c r="T279" s="3" t="str">
        <f t="shared" si="127"/>
        <v>Cuddalore</v>
      </c>
      <c r="U279" s="3" t="str">
        <f t="shared" si="143"/>
        <v>Cuddalore_Cuddalore_Cuddalore</v>
      </c>
      <c r="V279" s="3">
        <f>IF(_xlfn.XLOOKUP($U279,GCA!$H$3:$H$593,GCA!E$3:E$593,"",0,1)="","",_xlfn.XLOOKUP($U279,GCA!$H$3:$H$593,GCA!E$3:E$593,"",0,1))</f>
        <v>19660.215</v>
      </c>
      <c r="W279" s="3">
        <f>IF(_xlfn.XLOOKUP($U279,GCA!$H$3:$H$593,GCA!F$3:F$593,"",0,1)="","",_xlfn.XLOOKUP($U279,GCA!$H$3:$H$593,GCA!F$3:F$593,"",0,1))</f>
        <v>18729.564999999999</v>
      </c>
      <c r="X279" s="3">
        <f>IF(_xlfn.XLOOKUP($U279,GCA!$H$3:$H$593,GCA!G$3:G$593,"",0,1)="","",_xlfn.XLOOKUP($U279,GCA!$H$3:$H$593,GCA!G$3:G$593,"",0,1))</f>
        <v>18885.674999999999</v>
      </c>
    </row>
    <row r="280" spans="1:24" ht="13.2">
      <c r="A280" s="49"/>
      <c r="B280" s="49"/>
      <c r="C280" s="48"/>
      <c r="D280" s="49"/>
      <c r="E280" s="50"/>
      <c r="F280" s="26" t="s">
        <v>227</v>
      </c>
      <c r="G280" s="26" t="s">
        <v>781</v>
      </c>
      <c r="H280" s="27">
        <f t="shared" si="138"/>
        <v>3492.895</v>
      </c>
      <c r="I280" s="27">
        <f t="shared" si="138"/>
        <v>3272.8</v>
      </c>
      <c r="J280" s="27">
        <f t="shared" si="138"/>
        <v>2854.7950000000001</v>
      </c>
      <c r="K280" s="27">
        <f t="shared" si="139"/>
        <v>3206.83</v>
      </c>
      <c r="L280" s="65"/>
      <c r="M280" s="67">
        <f t="shared" si="140"/>
        <v>0</v>
      </c>
      <c r="N280" s="65" t="str">
        <f t="shared" si="133"/>
        <v/>
      </c>
      <c r="O280" s="65" t="str">
        <f t="shared" si="141"/>
        <v/>
      </c>
      <c r="P280" s="65" t="str">
        <f t="shared" si="141"/>
        <v/>
      </c>
      <c r="Q280" s="38"/>
      <c r="R280" s="3" t="str">
        <f t="shared" si="142"/>
        <v>Cuddalore</v>
      </c>
      <c r="S280" s="3" t="str">
        <f t="shared" si="127"/>
        <v>Cuddalore</v>
      </c>
      <c r="T280" s="3" t="str">
        <f t="shared" si="127"/>
        <v>Kurinjipadi</v>
      </c>
      <c r="U280" s="3" t="str">
        <f t="shared" si="143"/>
        <v>Cuddalore_Cuddalore_Kurinjipadi</v>
      </c>
      <c r="V280" s="3">
        <f>IF(_xlfn.XLOOKUP($U280,GCA!$H$3:$H$593,GCA!E$3:E$593,"",0,1)="","",_xlfn.XLOOKUP($U280,GCA!$H$3:$H$593,GCA!E$3:E$593,"",0,1))</f>
        <v>3492.895</v>
      </c>
      <c r="W280" s="3">
        <f>IF(_xlfn.XLOOKUP($U280,GCA!$H$3:$H$593,GCA!F$3:F$593,"",0,1)="","",_xlfn.XLOOKUP($U280,GCA!$H$3:$H$593,GCA!F$3:F$593,"",0,1))</f>
        <v>3272.8</v>
      </c>
      <c r="X280" s="3">
        <f>IF(_xlfn.XLOOKUP($U280,GCA!$H$3:$H$593,GCA!G$3:G$593,"",0,1)="","",_xlfn.XLOOKUP($U280,GCA!$H$3:$H$593,GCA!G$3:G$593,"",0,1))</f>
        <v>2854.7950000000001</v>
      </c>
    </row>
    <row r="281" spans="1:24" ht="13.2">
      <c r="A281" s="49"/>
      <c r="B281" s="49"/>
      <c r="C281" s="48"/>
      <c r="D281" s="49"/>
      <c r="E281" s="50"/>
      <c r="F281" s="26" t="s">
        <v>782</v>
      </c>
      <c r="G281" s="26" t="s">
        <v>782</v>
      </c>
      <c r="H281" s="27">
        <f t="shared" si="138"/>
        <v>17644.965</v>
      </c>
      <c r="I281" s="27">
        <f t="shared" si="138"/>
        <v>17271.834999999999</v>
      </c>
      <c r="J281" s="27">
        <f t="shared" si="138"/>
        <v>16171.285</v>
      </c>
      <c r="K281" s="27">
        <f t="shared" si="139"/>
        <v>17029.361666666668</v>
      </c>
      <c r="L281" s="65"/>
      <c r="M281" s="67">
        <f t="shared" si="140"/>
        <v>0</v>
      </c>
      <c r="N281" s="65" t="str">
        <f t="shared" si="133"/>
        <v/>
      </c>
      <c r="O281" s="65" t="str">
        <f t="shared" si="141"/>
        <v/>
      </c>
      <c r="P281" s="65" t="str">
        <f t="shared" si="141"/>
        <v/>
      </c>
      <c r="Q281" s="38"/>
      <c r="R281" s="3" t="str">
        <f t="shared" si="142"/>
        <v>Cuddalore</v>
      </c>
      <c r="S281" s="3" t="str">
        <f t="shared" si="127"/>
        <v>Kattumannarkoil</v>
      </c>
      <c r="T281" s="3" t="str">
        <f t="shared" si="127"/>
        <v>Kattumannarkoil</v>
      </c>
      <c r="U281" s="3" t="str">
        <f t="shared" si="143"/>
        <v>Cuddalore_Kattumannarkoil_Kattumannarkoil</v>
      </c>
      <c r="V281" s="3">
        <f>IF(_xlfn.XLOOKUP($U281,GCA!$H$3:$H$593,GCA!E$3:E$593,"",0,1)="","",_xlfn.XLOOKUP($U281,GCA!$H$3:$H$593,GCA!E$3:E$593,"",0,1))</f>
        <v>17644.965</v>
      </c>
      <c r="W281" s="3">
        <f>IF(_xlfn.XLOOKUP($U281,GCA!$H$3:$H$593,GCA!F$3:F$593,"",0,1)="","",_xlfn.XLOOKUP($U281,GCA!$H$3:$H$593,GCA!F$3:F$593,"",0,1))</f>
        <v>17271.834999999999</v>
      </c>
      <c r="X281" s="3">
        <f>IF(_xlfn.XLOOKUP($U281,GCA!$H$3:$H$593,GCA!G$3:G$593,"",0,1)="","",_xlfn.XLOOKUP($U281,GCA!$H$3:$H$593,GCA!G$3:G$593,"",0,1))</f>
        <v>16171.285</v>
      </c>
    </row>
    <row r="282" spans="1:24" ht="13.2">
      <c r="A282" s="49"/>
      <c r="B282" s="49"/>
      <c r="C282" s="48"/>
      <c r="D282" s="49"/>
      <c r="E282" s="50"/>
      <c r="F282" s="26" t="s">
        <v>782</v>
      </c>
      <c r="G282" s="26" t="s">
        <v>779</v>
      </c>
      <c r="H282" s="27">
        <f t="shared" si="138"/>
        <v>752</v>
      </c>
      <c r="I282" s="27">
        <f t="shared" si="138"/>
        <v>745.82</v>
      </c>
      <c r="J282" s="27">
        <f t="shared" si="138"/>
        <v>648.22</v>
      </c>
      <c r="K282" s="27">
        <f t="shared" si="139"/>
        <v>715.34666666666669</v>
      </c>
      <c r="L282" s="65"/>
      <c r="M282" s="67">
        <f t="shared" si="140"/>
        <v>0</v>
      </c>
      <c r="N282" s="65" t="str">
        <f t="shared" si="133"/>
        <v/>
      </c>
      <c r="O282" s="65" t="str">
        <f t="shared" si="141"/>
        <v/>
      </c>
      <c r="P282" s="65" t="str">
        <f t="shared" si="141"/>
        <v/>
      </c>
      <c r="Q282" s="38"/>
      <c r="R282" s="3" t="str">
        <f t="shared" si="142"/>
        <v>Cuddalore</v>
      </c>
      <c r="S282" s="3" t="str">
        <f t="shared" si="127"/>
        <v>Kattumannarkoil</v>
      </c>
      <c r="T282" s="3" t="str">
        <f t="shared" si="127"/>
        <v>Keerapalayam</v>
      </c>
      <c r="U282" s="3" t="str">
        <f t="shared" si="143"/>
        <v>Cuddalore_Kattumannarkoil_Keerapalayam</v>
      </c>
      <c r="V282" s="3">
        <f>IF(_xlfn.XLOOKUP($U282,GCA!$H$3:$H$593,GCA!E$3:E$593,"",0,1)="","",_xlfn.XLOOKUP($U282,GCA!$H$3:$H$593,GCA!E$3:E$593,"",0,1))</f>
        <v>752</v>
      </c>
      <c r="W282" s="3">
        <f>IF(_xlfn.XLOOKUP($U282,GCA!$H$3:$H$593,GCA!F$3:F$593,"",0,1)="","",_xlfn.XLOOKUP($U282,GCA!$H$3:$H$593,GCA!F$3:F$593,"",0,1))</f>
        <v>745.82</v>
      </c>
      <c r="X282" s="3">
        <f>IF(_xlfn.XLOOKUP($U282,GCA!$H$3:$H$593,GCA!G$3:G$593,"",0,1)="","",_xlfn.XLOOKUP($U282,GCA!$H$3:$H$593,GCA!G$3:G$593,"",0,1))</f>
        <v>648.22</v>
      </c>
    </row>
    <row r="283" spans="1:24" ht="13.2">
      <c r="A283" s="49"/>
      <c r="B283" s="49"/>
      <c r="C283" s="48"/>
      <c r="D283" s="49"/>
      <c r="E283" s="50"/>
      <c r="F283" s="26" t="s">
        <v>782</v>
      </c>
      <c r="G283" s="26" t="s">
        <v>780</v>
      </c>
      <c r="H283" s="27">
        <f t="shared" si="138"/>
        <v>17885.89</v>
      </c>
      <c r="I283" s="27">
        <f t="shared" si="138"/>
        <v>17739.77</v>
      </c>
      <c r="J283" s="27">
        <f t="shared" si="138"/>
        <v>17910.28</v>
      </c>
      <c r="K283" s="27">
        <f t="shared" si="139"/>
        <v>17845.313333333335</v>
      </c>
      <c r="L283" s="65"/>
      <c r="M283" s="67">
        <f t="shared" si="140"/>
        <v>0</v>
      </c>
      <c r="N283" s="65" t="str">
        <f t="shared" si="133"/>
        <v/>
      </c>
      <c r="O283" s="65" t="str">
        <f t="shared" si="141"/>
        <v/>
      </c>
      <c r="P283" s="65" t="str">
        <f t="shared" si="141"/>
        <v/>
      </c>
      <c r="Q283" s="38"/>
      <c r="R283" s="3" t="str">
        <f t="shared" si="142"/>
        <v>Cuddalore</v>
      </c>
      <c r="S283" s="3" t="str">
        <f t="shared" si="127"/>
        <v>Kattumannarkoil</v>
      </c>
      <c r="T283" s="3" t="str">
        <f t="shared" si="127"/>
        <v>Kumarachi</v>
      </c>
      <c r="U283" s="3" t="str">
        <f t="shared" si="143"/>
        <v>Cuddalore_Kattumannarkoil_Kumarachi</v>
      </c>
      <c r="V283" s="3">
        <f>IF(_xlfn.XLOOKUP($U283,GCA!$H$3:$H$593,GCA!E$3:E$593,"",0,1)="","",_xlfn.XLOOKUP($U283,GCA!$H$3:$H$593,GCA!E$3:E$593,"",0,1))</f>
        <v>17885.89</v>
      </c>
      <c r="W283" s="3">
        <f>IF(_xlfn.XLOOKUP($U283,GCA!$H$3:$H$593,GCA!F$3:F$593,"",0,1)="","",_xlfn.XLOOKUP($U283,GCA!$H$3:$H$593,GCA!F$3:F$593,"",0,1))</f>
        <v>17739.77</v>
      </c>
      <c r="X283" s="3">
        <f>IF(_xlfn.XLOOKUP($U283,GCA!$H$3:$H$593,GCA!G$3:G$593,"",0,1)="","",_xlfn.XLOOKUP($U283,GCA!$H$3:$H$593,GCA!G$3:G$593,"",0,1))</f>
        <v>17910.28</v>
      </c>
    </row>
    <row r="284" spans="1:24" ht="13.2">
      <c r="A284" s="49"/>
      <c r="B284" s="49"/>
      <c r="C284" s="48"/>
      <c r="D284" s="49"/>
      <c r="E284" s="50">
        <v>3</v>
      </c>
      <c r="F284" s="26" t="s">
        <v>781</v>
      </c>
      <c r="G284" s="26" t="s">
        <v>781</v>
      </c>
      <c r="H284" s="27">
        <f t="shared" si="138"/>
        <v>27177.22</v>
      </c>
      <c r="I284" s="27">
        <f t="shared" si="138"/>
        <v>26647.875</v>
      </c>
      <c r="J284" s="27">
        <f t="shared" si="138"/>
        <v>25764.855</v>
      </c>
      <c r="K284" s="27">
        <f t="shared" si="139"/>
        <v>26529.983333333334</v>
      </c>
      <c r="L284" s="65">
        <f>SUM(K284:K286)</f>
        <v>66708.578333333338</v>
      </c>
      <c r="M284" s="67">
        <f t="shared" si="140"/>
        <v>2.8000282352233521</v>
      </c>
      <c r="N284" s="65">
        <f t="shared" si="133"/>
        <v>3</v>
      </c>
      <c r="O284" s="65">
        <f t="shared" si="141"/>
        <v>3</v>
      </c>
      <c r="P284" s="65">
        <f t="shared" si="141"/>
        <v>3</v>
      </c>
      <c r="Q284" s="38"/>
      <c r="R284" s="3" t="str">
        <f t="shared" si="142"/>
        <v>Cuddalore</v>
      </c>
      <c r="S284" s="3" t="str">
        <f t="shared" si="127"/>
        <v>Kurinjipadi</v>
      </c>
      <c r="T284" s="3" t="str">
        <f t="shared" si="127"/>
        <v>Kurinjipadi</v>
      </c>
      <c r="U284" s="3" t="str">
        <f t="shared" si="143"/>
        <v>Cuddalore_Kurinjipadi_Kurinjipadi</v>
      </c>
      <c r="V284" s="3">
        <f>IF(_xlfn.XLOOKUP($U284,GCA!$H$3:$H$593,GCA!E$3:E$593,"",0,1)="","",_xlfn.XLOOKUP($U284,GCA!$H$3:$H$593,GCA!E$3:E$593,"",0,1))</f>
        <v>27177.22</v>
      </c>
      <c r="W284" s="3">
        <f>IF(_xlfn.XLOOKUP($U284,GCA!$H$3:$H$593,GCA!F$3:F$593,"",0,1)="","",_xlfn.XLOOKUP($U284,GCA!$H$3:$H$593,GCA!F$3:F$593,"",0,1))</f>
        <v>26647.875</v>
      </c>
      <c r="X284" s="3">
        <f>IF(_xlfn.XLOOKUP($U284,GCA!$H$3:$H$593,GCA!G$3:G$593,"",0,1)="","",_xlfn.XLOOKUP($U284,GCA!$H$3:$H$593,GCA!G$3:G$593,"",0,1))</f>
        <v>25764.855</v>
      </c>
    </row>
    <row r="285" spans="1:24" ht="13.2">
      <c r="A285" s="49"/>
      <c r="B285" s="49"/>
      <c r="C285" s="48"/>
      <c r="D285" s="49"/>
      <c r="E285" s="50"/>
      <c r="F285" s="26" t="s">
        <v>783</v>
      </c>
      <c r="G285" s="26" t="s">
        <v>784</v>
      </c>
      <c r="H285" s="27">
        <f t="shared" si="138"/>
        <v>14764.9</v>
      </c>
      <c r="I285" s="27">
        <f t="shared" si="138"/>
        <v>13770.88</v>
      </c>
      <c r="J285" s="27">
        <f t="shared" si="138"/>
        <v>13760.575000000001</v>
      </c>
      <c r="K285" s="27">
        <f t="shared" si="139"/>
        <v>14098.784999999998</v>
      </c>
      <c r="L285" s="65"/>
      <c r="M285" s="67">
        <f t="shared" si="140"/>
        <v>0</v>
      </c>
      <c r="N285" s="65" t="str">
        <f t="shared" si="133"/>
        <v/>
      </c>
      <c r="O285" s="65" t="str">
        <f t="shared" si="141"/>
        <v/>
      </c>
      <c r="P285" s="65" t="str">
        <f t="shared" si="141"/>
        <v/>
      </c>
      <c r="Q285" s="38"/>
      <c r="R285" s="3" t="str">
        <f t="shared" si="142"/>
        <v>Cuddalore</v>
      </c>
      <c r="S285" s="3" t="str">
        <f t="shared" si="127"/>
        <v>Panruti</v>
      </c>
      <c r="T285" s="3" t="str">
        <f t="shared" si="127"/>
        <v>Annagramam</v>
      </c>
      <c r="U285" s="3" t="str">
        <f t="shared" si="143"/>
        <v>Cuddalore_Panruti_Annagramam</v>
      </c>
      <c r="V285" s="3">
        <f>IF(_xlfn.XLOOKUP($U285,GCA!$H$3:$H$593,GCA!E$3:E$593,"",0,1)="","",_xlfn.XLOOKUP($U285,GCA!$H$3:$H$593,GCA!E$3:E$593,"",0,1))</f>
        <v>14764.9</v>
      </c>
      <c r="W285" s="3">
        <f>IF(_xlfn.XLOOKUP($U285,GCA!$H$3:$H$593,GCA!F$3:F$593,"",0,1)="","",_xlfn.XLOOKUP($U285,GCA!$H$3:$H$593,GCA!F$3:F$593,"",0,1))</f>
        <v>13770.88</v>
      </c>
      <c r="X285" s="3">
        <f>IF(_xlfn.XLOOKUP($U285,GCA!$H$3:$H$593,GCA!G$3:G$593,"",0,1)="","",_xlfn.XLOOKUP($U285,GCA!$H$3:$H$593,GCA!G$3:G$593,"",0,1))</f>
        <v>13760.575000000001</v>
      </c>
    </row>
    <row r="286" spans="1:24" ht="13.2">
      <c r="A286" s="49"/>
      <c r="B286" s="49"/>
      <c r="C286" s="48"/>
      <c r="D286" s="49"/>
      <c r="E286" s="50"/>
      <c r="F286" s="26" t="s">
        <v>783</v>
      </c>
      <c r="G286" s="26" t="s">
        <v>783</v>
      </c>
      <c r="H286" s="27">
        <f t="shared" si="138"/>
        <v>25450.560000000001</v>
      </c>
      <c r="I286" s="27">
        <f t="shared" si="138"/>
        <v>25555.355</v>
      </c>
      <c r="J286" s="27">
        <f t="shared" si="138"/>
        <v>27233.514999999999</v>
      </c>
      <c r="K286" s="27">
        <f t="shared" si="139"/>
        <v>26079.809999999998</v>
      </c>
      <c r="L286" s="65"/>
      <c r="M286" s="67">
        <f t="shared" si="140"/>
        <v>0</v>
      </c>
      <c r="N286" s="65" t="str">
        <f t="shared" si="133"/>
        <v/>
      </c>
      <c r="O286" s="65" t="str">
        <f t="shared" si="141"/>
        <v/>
      </c>
      <c r="P286" s="65" t="str">
        <f t="shared" si="141"/>
        <v/>
      </c>
      <c r="Q286" s="38"/>
      <c r="R286" s="3" t="str">
        <f t="shared" si="142"/>
        <v>Cuddalore</v>
      </c>
      <c r="S286" s="3" t="str">
        <f t="shared" si="127"/>
        <v>Panruti</v>
      </c>
      <c r="T286" s="3" t="str">
        <f t="shared" si="127"/>
        <v>Panruti</v>
      </c>
      <c r="U286" s="3" t="str">
        <f t="shared" si="143"/>
        <v>Cuddalore_Panruti_Panruti</v>
      </c>
      <c r="V286" s="3">
        <f>IF(_xlfn.XLOOKUP($U286,GCA!$H$3:$H$593,GCA!E$3:E$593,"",0,1)="","",_xlfn.XLOOKUP($U286,GCA!$H$3:$H$593,GCA!E$3:E$593,"",0,1))</f>
        <v>25450.560000000001</v>
      </c>
      <c r="W286" s="3">
        <f>IF(_xlfn.XLOOKUP($U286,GCA!$H$3:$H$593,GCA!F$3:F$593,"",0,1)="","",_xlfn.XLOOKUP($U286,GCA!$H$3:$H$593,GCA!F$3:F$593,"",0,1))</f>
        <v>25555.355</v>
      </c>
      <c r="X286" s="3">
        <f>IF(_xlfn.XLOOKUP($U286,GCA!$H$3:$H$593,GCA!G$3:G$593,"",0,1)="","",_xlfn.XLOOKUP($U286,GCA!$H$3:$H$593,GCA!G$3:G$593,"",0,1))</f>
        <v>27233.514999999999</v>
      </c>
    </row>
    <row r="287" spans="1:24" ht="13.2">
      <c r="A287" s="49"/>
      <c r="B287" s="49"/>
      <c r="C287" s="48"/>
      <c r="D287" s="49"/>
      <c r="E287" s="50">
        <v>4</v>
      </c>
      <c r="F287" s="26" t="s">
        <v>785</v>
      </c>
      <c r="G287" s="26" t="s">
        <v>785</v>
      </c>
      <c r="H287" s="27">
        <f t="shared" si="138"/>
        <v>29171.200000000001</v>
      </c>
      <c r="I287" s="27">
        <f t="shared" si="138"/>
        <v>27654.48</v>
      </c>
      <c r="J287" s="27">
        <f t="shared" si="138"/>
        <v>27391.724999999999</v>
      </c>
      <c r="K287" s="27">
        <f t="shared" si="139"/>
        <v>28072.468333333334</v>
      </c>
      <c r="L287" s="65">
        <f>SUM(K287:K289)</f>
        <v>59048.755000000005</v>
      </c>
      <c r="M287" s="67">
        <f t="shared" si="140"/>
        <v>2.4785145386941778</v>
      </c>
      <c r="N287" s="65">
        <f t="shared" si="133"/>
        <v>2</v>
      </c>
      <c r="O287" s="65">
        <f t="shared" si="141"/>
        <v>2</v>
      </c>
      <c r="P287" s="65">
        <f t="shared" si="141"/>
        <v>2</v>
      </c>
      <c r="Q287" s="38"/>
      <c r="R287" s="3" t="str">
        <f t="shared" si="142"/>
        <v>Cuddalore</v>
      </c>
      <c r="S287" s="3" t="str">
        <f t="shared" si="127"/>
        <v>Srimushnum</v>
      </c>
      <c r="T287" s="3" t="str">
        <f t="shared" si="127"/>
        <v>Srimushnum</v>
      </c>
      <c r="U287" s="3" t="str">
        <f t="shared" si="143"/>
        <v>Cuddalore_Srimushnum_Srimushnum</v>
      </c>
      <c r="V287" s="3">
        <f>IF(_xlfn.XLOOKUP($U287,GCA!$H$3:$H$593,GCA!E$3:E$593,"",0,1)="","",_xlfn.XLOOKUP($U287,GCA!$H$3:$H$593,GCA!E$3:E$593,"",0,1))</f>
        <v>29171.200000000001</v>
      </c>
      <c r="W287" s="3">
        <f>IF(_xlfn.XLOOKUP($U287,GCA!$H$3:$H$593,GCA!F$3:F$593,"",0,1)="","",_xlfn.XLOOKUP($U287,GCA!$H$3:$H$593,GCA!F$3:F$593,"",0,1))</f>
        <v>27654.48</v>
      </c>
      <c r="X287" s="3">
        <f>IF(_xlfn.XLOOKUP($U287,GCA!$H$3:$H$593,GCA!G$3:G$593,"",0,1)="","",_xlfn.XLOOKUP($U287,GCA!$H$3:$H$593,GCA!G$3:G$593,"",0,1))</f>
        <v>27391.724999999999</v>
      </c>
    </row>
    <row r="288" spans="1:24" ht="13.2">
      <c r="A288" s="49"/>
      <c r="B288" s="49"/>
      <c r="C288" s="48"/>
      <c r="D288" s="49"/>
      <c r="E288" s="50"/>
      <c r="F288" s="26" t="s">
        <v>786</v>
      </c>
      <c r="G288" s="26" t="s">
        <v>787</v>
      </c>
      <c r="H288" s="27">
        <f t="shared" si="138"/>
        <v>19336.79</v>
      </c>
      <c r="I288" s="27">
        <f t="shared" si="138"/>
        <v>20312.3</v>
      </c>
      <c r="J288" s="27">
        <f t="shared" si="138"/>
        <v>20513.035</v>
      </c>
      <c r="K288" s="27">
        <f t="shared" si="139"/>
        <v>20054.041666666668</v>
      </c>
      <c r="L288" s="65"/>
      <c r="M288" s="67">
        <f t="shared" si="140"/>
        <v>0</v>
      </c>
      <c r="N288" s="65" t="str">
        <f t="shared" si="133"/>
        <v/>
      </c>
      <c r="O288" s="65" t="str">
        <f t="shared" si="141"/>
        <v/>
      </c>
      <c r="P288" s="65" t="str">
        <f t="shared" si="141"/>
        <v/>
      </c>
      <c r="Q288" s="38"/>
      <c r="R288" s="3" t="str">
        <f t="shared" si="142"/>
        <v>Cuddalore</v>
      </c>
      <c r="S288" s="3" t="str">
        <f t="shared" si="127"/>
        <v>Titagudi</v>
      </c>
      <c r="T288" s="3" t="str">
        <f t="shared" si="127"/>
        <v>Mangalore</v>
      </c>
      <c r="U288" s="3" t="str">
        <f t="shared" si="143"/>
        <v>Cuddalore_Titagudi_Mangalore</v>
      </c>
      <c r="V288" s="3">
        <f>IF(_xlfn.XLOOKUP($U288,GCA!$H$3:$H$593,GCA!E$3:E$593,"",0,1)="","",_xlfn.XLOOKUP($U288,GCA!$H$3:$H$593,GCA!E$3:E$593,"",0,1))</f>
        <v>19336.79</v>
      </c>
      <c r="W288" s="3">
        <f>IF(_xlfn.XLOOKUP($U288,GCA!$H$3:$H$593,GCA!F$3:F$593,"",0,1)="","",_xlfn.XLOOKUP($U288,GCA!$H$3:$H$593,GCA!F$3:F$593,"",0,1))</f>
        <v>20312.3</v>
      </c>
      <c r="X288" s="3">
        <f>IF(_xlfn.XLOOKUP($U288,GCA!$H$3:$H$593,GCA!G$3:G$593,"",0,1)="","",_xlfn.XLOOKUP($U288,GCA!$H$3:$H$593,GCA!G$3:G$593,"",0,1))</f>
        <v>20513.035</v>
      </c>
    </row>
    <row r="289" spans="1:24" ht="13.2">
      <c r="A289" s="49"/>
      <c r="B289" s="49"/>
      <c r="C289" s="48"/>
      <c r="D289" s="49"/>
      <c r="E289" s="50"/>
      <c r="F289" s="26" t="s">
        <v>786</v>
      </c>
      <c r="G289" s="26" t="s">
        <v>788</v>
      </c>
      <c r="H289" s="27">
        <f t="shared" si="138"/>
        <v>10625.125</v>
      </c>
      <c r="I289" s="27">
        <f t="shared" si="138"/>
        <v>10905.34</v>
      </c>
      <c r="J289" s="27">
        <f t="shared" si="138"/>
        <v>11236.27</v>
      </c>
      <c r="K289" s="27">
        <f t="shared" si="139"/>
        <v>10922.245000000001</v>
      </c>
      <c r="L289" s="65"/>
      <c r="M289" s="67">
        <f t="shared" si="140"/>
        <v>0</v>
      </c>
      <c r="N289" s="65" t="str">
        <f t="shared" si="133"/>
        <v/>
      </c>
      <c r="O289" s="65" t="str">
        <f t="shared" ref="O289:P293" si="144">N289</f>
        <v/>
      </c>
      <c r="P289" s="65" t="str">
        <f t="shared" si="144"/>
        <v/>
      </c>
      <c r="Q289" s="38"/>
      <c r="R289" s="3" t="str">
        <f t="shared" si="142"/>
        <v>Cuddalore</v>
      </c>
      <c r="S289" s="3" t="str">
        <f t="shared" si="127"/>
        <v>Titagudi</v>
      </c>
      <c r="T289" s="3" t="str">
        <f t="shared" si="127"/>
        <v>Nallur</v>
      </c>
      <c r="U289" s="3" t="str">
        <f t="shared" si="143"/>
        <v>Cuddalore_Titagudi_Nallur</v>
      </c>
      <c r="V289" s="3">
        <f>IF(_xlfn.XLOOKUP($U289,GCA!$H$3:$H$593,GCA!E$3:E$593,"",0,1)="","",_xlfn.XLOOKUP($U289,GCA!$H$3:$H$593,GCA!E$3:E$593,"",0,1))</f>
        <v>10625.125</v>
      </c>
      <c r="W289" s="3">
        <f>IF(_xlfn.XLOOKUP($U289,GCA!$H$3:$H$593,GCA!F$3:F$593,"",0,1)="","",_xlfn.XLOOKUP($U289,GCA!$H$3:$H$593,GCA!F$3:F$593,"",0,1))</f>
        <v>10905.34</v>
      </c>
      <c r="X289" s="3">
        <f>IF(_xlfn.XLOOKUP($U289,GCA!$H$3:$H$593,GCA!G$3:G$593,"",0,1)="","",_xlfn.XLOOKUP($U289,GCA!$H$3:$H$593,GCA!G$3:G$593,"",0,1))</f>
        <v>11236.27</v>
      </c>
    </row>
    <row r="290" spans="1:24" ht="13.2">
      <c r="A290" s="49"/>
      <c r="B290" s="49"/>
      <c r="C290" s="48"/>
      <c r="D290" s="49"/>
      <c r="E290" s="50">
        <v>5</v>
      </c>
      <c r="F290" s="26" t="s">
        <v>704</v>
      </c>
      <c r="G290" s="26" t="s">
        <v>787</v>
      </c>
      <c r="H290" s="27">
        <f t="shared" si="138"/>
        <v>9152.7849999999999</v>
      </c>
      <c r="I290" s="27">
        <f t="shared" si="138"/>
        <v>9620.17</v>
      </c>
      <c r="J290" s="27">
        <f t="shared" si="138"/>
        <v>9387.2549999999992</v>
      </c>
      <c r="K290" s="27">
        <f t="shared" si="139"/>
        <v>9386.7366666666658</v>
      </c>
      <c r="L290" s="65">
        <f>SUM(K290:K293)</f>
        <v>66699.406666666648</v>
      </c>
      <c r="M290" s="67">
        <f t="shared" si="140"/>
        <v>2.7996432633610757</v>
      </c>
      <c r="N290" s="65">
        <f t="shared" si="133"/>
        <v>3</v>
      </c>
      <c r="O290" s="65">
        <f t="shared" si="144"/>
        <v>3</v>
      </c>
      <c r="P290" s="65">
        <f t="shared" si="144"/>
        <v>3</v>
      </c>
      <c r="Q290" s="38"/>
      <c r="R290" s="3" t="str">
        <f t="shared" si="142"/>
        <v>Cuddalore</v>
      </c>
      <c r="S290" s="3" t="str">
        <f t="shared" si="127"/>
        <v>Veppur</v>
      </c>
      <c r="T290" s="3" t="str">
        <f t="shared" si="127"/>
        <v>Mangalore</v>
      </c>
      <c r="U290" s="3" t="str">
        <f t="shared" si="143"/>
        <v>Cuddalore_Veppur_Mangalore</v>
      </c>
      <c r="V290" s="3">
        <f>IF(_xlfn.XLOOKUP($U290,GCA!$H$3:$H$593,GCA!E$3:E$593,"",0,1)="","",_xlfn.XLOOKUP($U290,GCA!$H$3:$H$593,GCA!E$3:E$593,"",0,1))</f>
        <v>9152.7849999999999</v>
      </c>
      <c r="W290" s="3">
        <f>IF(_xlfn.XLOOKUP($U290,GCA!$H$3:$H$593,GCA!F$3:F$593,"",0,1)="","",_xlfn.XLOOKUP($U290,GCA!$H$3:$H$593,GCA!F$3:F$593,"",0,1))</f>
        <v>9620.17</v>
      </c>
      <c r="X290" s="3">
        <f>IF(_xlfn.XLOOKUP($U290,GCA!$H$3:$H$593,GCA!G$3:G$593,"",0,1)="","",_xlfn.XLOOKUP($U290,GCA!$H$3:$H$593,GCA!G$3:G$593,"",0,1))</f>
        <v>9387.2549999999992</v>
      </c>
    </row>
    <row r="291" spans="1:24" ht="13.2">
      <c r="A291" s="49"/>
      <c r="B291" s="49"/>
      <c r="C291" s="48"/>
      <c r="D291" s="49"/>
      <c r="E291" s="50"/>
      <c r="F291" s="26" t="s">
        <v>704</v>
      </c>
      <c r="G291" s="26" t="s">
        <v>788</v>
      </c>
      <c r="H291" s="27">
        <f t="shared" si="138"/>
        <v>13521.14</v>
      </c>
      <c r="I291" s="27">
        <f t="shared" si="138"/>
        <v>13514.674999999999</v>
      </c>
      <c r="J291" s="27">
        <f t="shared" si="138"/>
        <v>13849.84</v>
      </c>
      <c r="K291" s="27">
        <f t="shared" si="139"/>
        <v>13628.551666666666</v>
      </c>
      <c r="L291" s="65"/>
      <c r="M291" s="67">
        <f t="shared" si="140"/>
        <v>0</v>
      </c>
      <c r="N291" s="65" t="str">
        <f t="shared" si="133"/>
        <v/>
      </c>
      <c r="O291" s="65" t="str">
        <f t="shared" si="144"/>
        <v/>
      </c>
      <c r="P291" s="65" t="str">
        <f t="shared" si="144"/>
        <v/>
      </c>
      <c r="Q291" s="38"/>
      <c r="R291" s="3" t="str">
        <f t="shared" si="142"/>
        <v>Cuddalore</v>
      </c>
      <c r="S291" s="3" t="str">
        <f t="shared" si="127"/>
        <v>Veppur</v>
      </c>
      <c r="T291" s="3" t="str">
        <f t="shared" si="127"/>
        <v>Nallur</v>
      </c>
      <c r="U291" s="3" t="str">
        <f t="shared" si="143"/>
        <v>Cuddalore_Veppur_Nallur</v>
      </c>
      <c r="V291" s="3">
        <f>IF(_xlfn.XLOOKUP($U291,GCA!$H$3:$H$593,GCA!E$3:E$593,"",0,1)="","",_xlfn.XLOOKUP($U291,GCA!$H$3:$H$593,GCA!E$3:E$593,"",0,1))</f>
        <v>13521.14</v>
      </c>
      <c r="W291" s="3">
        <f>IF(_xlfn.XLOOKUP($U291,GCA!$H$3:$H$593,GCA!F$3:F$593,"",0,1)="","",_xlfn.XLOOKUP($U291,GCA!$H$3:$H$593,GCA!F$3:F$593,"",0,1))</f>
        <v>13514.674999999999</v>
      </c>
      <c r="X291" s="3">
        <f>IF(_xlfn.XLOOKUP($U291,GCA!$H$3:$H$593,GCA!G$3:G$593,"",0,1)="","",_xlfn.XLOOKUP($U291,GCA!$H$3:$H$593,GCA!G$3:G$593,"",0,1))</f>
        <v>13849.84</v>
      </c>
    </row>
    <row r="292" spans="1:24" ht="13.2">
      <c r="A292" s="49"/>
      <c r="B292" s="49"/>
      <c r="C292" s="48"/>
      <c r="D292" s="49"/>
      <c r="E292" s="50"/>
      <c r="F292" s="26" t="s">
        <v>789</v>
      </c>
      <c r="G292" s="26" t="s">
        <v>790</v>
      </c>
      <c r="H292" s="27">
        <f t="shared" si="138"/>
        <v>20870.445</v>
      </c>
      <c r="I292" s="27">
        <f t="shared" si="138"/>
        <v>19749.564999999999</v>
      </c>
      <c r="J292" s="27">
        <f t="shared" si="138"/>
        <v>20873.715</v>
      </c>
      <c r="K292" s="27">
        <f t="shared" si="139"/>
        <v>20497.908333333329</v>
      </c>
      <c r="L292" s="65"/>
      <c r="M292" s="67">
        <f t="shared" si="140"/>
        <v>0</v>
      </c>
      <c r="N292" s="65" t="str">
        <f t="shared" si="133"/>
        <v/>
      </c>
      <c r="O292" s="65" t="str">
        <f t="shared" si="144"/>
        <v/>
      </c>
      <c r="P292" s="65" t="str">
        <f t="shared" si="144"/>
        <v/>
      </c>
      <c r="Q292" s="38"/>
      <c r="R292" s="3" t="str">
        <f t="shared" si="142"/>
        <v>Cuddalore</v>
      </c>
      <c r="S292" s="3" t="str">
        <f t="shared" si="127"/>
        <v>Virudhachalam</v>
      </c>
      <c r="T292" s="3" t="str">
        <f t="shared" si="127"/>
        <v>Kammapuram</v>
      </c>
      <c r="U292" s="3" t="str">
        <f t="shared" si="143"/>
        <v>Cuddalore_Virudhachalam_Kammapuram</v>
      </c>
      <c r="V292" s="3">
        <f>IF(_xlfn.XLOOKUP($U292,GCA!$H$3:$H$593,GCA!E$3:E$593,"",0,1)="","",_xlfn.XLOOKUP($U292,GCA!$H$3:$H$593,GCA!E$3:E$593,"",0,1))</f>
        <v>20870.445</v>
      </c>
      <c r="W292" s="3">
        <f>IF(_xlfn.XLOOKUP($U292,GCA!$H$3:$H$593,GCA!F$3:F$593,"",0,1)="","",_xlfn.XLOOKUP($U292,GCA!$H$3:$H$593,GCA!F$3:F$593,"",0,1))</f>
        <v>19749.564999999999</v>
      </c>
      <c r="X292" s="3">
        <f>IF(_xlfn.XLOOKUP($U292,GCA!$H$3:$H$593,GCA!G$3:G$593,"",0,1)="","",_xlfn.XLOOKUP($U292,GCA!$H$3:$H$593,GCA!G$3:G$593,"",0,1))</f>
        <v>20873.715</v>
      </c>
    </row>
    <row r="293" spans="1:24" ht="13.2">
      <c r="A293" s="49"/>
      <c r="B293" s="49"/>
      <c r="C293" s="48"/>
      <c r="D293" s="49"/>
      <c r="E293" s="50"/>
      <c r="F293" s="26" t="s">
        <v>789</v>
      </c>
      <c r="G293" s="26" t="s">
        <v>789</v>
      </c>
      <c r="H293" s="27">
        <f t="shared" si="138"/>
        <v>22793.93</v>
      </c>
      <c r="I293" s="27">
        <f t="shared" si="138"/>
        <v>23803.314999999999</v>
      </c>
      <c r="J293" s="27">
        <f t="shared" si="138"/>
        <v>22961.384999999998</v>
      </c>
      <c r="K293" s="27">
        <f t="shared" si="139"/>
        <v>23186.209999999995</v>
      </c>
      <c r="L293" s="65"/>
      <c r="M293" s="67">
        <f t="shared" si="140"/>
        <v>0</v>
      </c>
      <c r="N293" s="65" t="str">
        <f t="shared" si="133"/>
        <v/>
      </c>
      <c r="O293" s="65" t="str">
        <f t="shared" si="144"/>
        <v/>
      </c>
      <c r="P293" s="65" t="str">
        <f t="shared" si="144"/>
        <v/>
      </c>
      <c r="Q293" s="38"/>
      <c r="R293" s="3" t="str">
        <f t="shared" si="142"/>
        <v>Cuddalore</v>
      </c>
      <c r="S293" s="3" t="str">
        <f t="shared" si="127"/>
        <v>Virudhachalam</v>
      </c>
      <c r="T293" s="3" t="str">
        <f t="shared" si="127"/>
        <v>Virudhachalam</v>
      </c>
      <c r="U293" s="3" t="str">
        <f t="shared" si="143"/>
        <v>Cuddalore_Virudhachalam_Virudhachalam</v>
      </c>
      <c r="V293" s="3">
        <f>IF(_xlfn.XLOOKUP($U293,GCA!$H$3:$H$593,GCA!E$3:E$593,"",0,1)="","",_xlfn.XLOOKUP($U293,GCA!$H$3:$H$593,GCA!E$3:E$593,"",0,1))</f>
        <v>22793.93</v>
      </c>
      <c r="W293" s="3">
        <f>IF(_xlfn.XLOOKUP($U293,GCA!$H$3:$H$593,GCA!F$3:F$593,"",0,1)="","",_xlfn.XLOOKUP($U293,GCA!$H$3:$H$593,GCA!F$3:F$593,"",0,1))</f>
        <v>23803.314999999999</v>
      </c>
      <c r="X293" s="3">
        <f>IF(_xlfn.XLOOKUP($U293,GCA!$H$3:$H$593,GCA!G$3:G$593,"",0,1)="","",_xlfn.XLOOKUP($U293,GCA!$H$3:$H$593,GCA!G$3:G$593,"",0,1))</f>
        <v>22961.384999999998</v>
      </c>
    </row>
    <row r="294" spans="1:24" ht="13.2">
      <c r="A294" s="49"/>
      <c r="B294" s="49"/>
      <c r="C294" s="48"/>
      <c r="D294" s="49"/>
      <c r="E294" s="47" t="s">
        <v>564</v>
      </c>
      <c r="F294" s="47"/>
      <c r="G294" s="47"/>
      <c r="H294" s="29">
        <f t="shared" ref="H294:P294" si="145">SUM(H273:H293)</f>
        <v>316892.13500000001</v>
      </c>
      <c r="I294" s="29">
        <f t="shared" si="145"/>
        <v>313621.73000000004</v>
      </c>
      <c r="J294" s="29">
        <f t="shared" si="145"/>
        <v>313552.06500000006</v>
      </c>
      <c r="K294" s="29">
        <f t="shared" si="145"/>
        <v>314688.64333333337</v>
      </c>
      <c r="L294" s="29">
        <f t="shared" si="145"/>
        <v>314688.64333333331</v>
      </c>
      <c r="M294" s="30">
        <f t="shared" si="145"/>
        <v>13.208752287217795</v>
      </c>
      <c r="N294" s="31">
        <f t="shared" si="145"/>
        <v>13</v>
      </c>
      <c r="O294" s="31">
        <f t="shared" si="145"/>
        <v>13</v>
      </c>
      <c r="P294" s="31">
        <f t="shared" si="145"/>
        <v>13</v>
      </c>
      <c r="Q294" s="38"/>
      <c r="R294" s="3" t="str">
        <f t="shared" si="142"/>
        <v>Cuddalore</v>
      </c>
      <c r="S294" s="3">
        <f t="shared" si="127"/>
        <v>0</v>
      </c>
      <c r="T294" s="3">
        <f t="shared" si="127"/>
        <v>0</v>
      </c>
      <c r="U294" s="3" t="str">
        <f t="shared" si="143"/>
        <v>Cuddalore_0_0</v>
      </c>
      <c r="V294" s="3" t="str">
        <f>IF(_xlfn.XLOOKUP($U294,GCA!$H$3:$H$593,GCA!E$3:E$593,"",0,1)="","",_xlfn.XLOOKUP($U294,GCA!$H$3:$H$593,GCA!E$3:E$593,"",0,1))</f>
        <v/>
      </c>
      <c r="W294" s="3" t="str">
        <f>IF(_xlfn.XLOOKUP($U294,GCA!$H$3:$H$593,GCA!F$3:F$593,"",0,1)="","",_xlfn.XLOOKUP($U294,GCA!$H$3:$H$593,GCA!F$3:F$593,"",0,1))</f>
        <v/>
      </c>
      <c r="X294" s="3" t="str">
        <f>IF(_xlfn.XLOOKUP($U294,GCA!$H$3:$H$593,GCA!G$3:G$593,"",0,1)="","",_xlfn.XLOOKUP($U294,GCA!$H$3:$H$593,GCA!G$3:G$593,"",0,1))</f>
        <v/>
      </c>
    </row>
    <row r="295" spans="1:24" ht="13.2">
      <c r="A295" s="49"/>
      <c r="B295" s="49"/>
      <c r="C295" s="48" t="s">
        <v>228</v>
      </c>
      <c r="D295" s="49" t="s">
        <v>544</v>
      </c>
      <c r="E295" s="56">
        <v>1</v>
      </c>
      <c r="F295" s="26" t="s">
        <v>791</v>
      </c>
      <c r="G295" s="26" t="s">
        <v>791</v>
      </c>
      <c r="H295" s="27">
        <f t="shared" ref="H295:J312" si="146">V295</f>
        <v>26504.67</v>
      </c>
      <c r="I295" s="27">
        <f t="shared" si="146"/>
        <v>23236.799999999999</v>
      </c>
      <c r="J295" s="27">
        <f t="shared" si="146"/>
        <v>22118.39</v>
      </c>
      <c r="K295" s="27">
        <f t="shared" ref="K295:K312" si="147">IFERROR(AVERAGE(H295:J295),"")</f>
        <v>23953.286666666667</v>
      </c>
      <c r="L295" s="62">
        <f>SUM(K295:K299)</f>
        <v>40662.28833333333</v>
      </c>
      <c r="M295" s="69">
        <f t="shared" ref="M295:M312" si="148">L295*$L$643/$L$642</f>
        <v>1.7067603340788691</v>
      </c>
      <c r="N295" s="83">
        <f t="shared" si="133"/>
        <v>2</v>
      </c>
      <c r="O295" s="83">
        <f t="shared" ref="O295:P310" si="149">N295</f>
        <v>2</v>
      </c>
      <c r="P295" s="83">
        <f t="shared" si="149"/>
        <v>2</v>
      </c>
      <c r="Q295" s="38"/>
      <c r="R295" s="3" t="str">
        <f t="shared" si="129"/>
        <v>Kallakurichi</v>
      </c>
      <c r="S295" s="3" t="str">
        <f t="shared" si="127"/>
        <v>Chinnasalem</v>
      </c>
      <c r="T295" s="3" t="str">
        <f t="shared" si="127"/>
        <v>Chinnasalem</v>
      </c>
      <c r="U295" s="3" t="str">
        <f t="shared" si="143"/>
        <v>Kallakurichi_Chinnasalem_Chinnasalem</v>
      </c>
      <c r="V295" s="3">
        <f>IF(_xlfn.XLOOKUP($U295,GCA!$H$3:$H$593,GCA!E$3:E$593,"",0,1)="","",_xlfn.XLOOKUP($U295,GCA!$H$3:$H$593,GCA!E$3:E$593,"",0,1))</f>
        <v>26504.67</v>
      </c>
      <c r="W295" s="3">
        <f>IF(_xlfn.XLOOKUP($U295,GCA!$H$3:$H$593,GCA!F$3:F$593,"",0,1)="","",_xlfn.XLOOKUP($U295,GCA!$H$3:$H$593,GCA!F$3:F$593,"",0,1))</f>
        <v>23236.799999999999</v>
      </c>
      <c r="X295" s="3">
        <f>IF(_xlfn.XLOOKUP($U295,GCA!$H$3:$H$593,GCA!G$3:G$593,"",0,1)="","",_xlfn.XLOOKUP($U295,GCA!$H$3:$H$593,GCA!G$3:G$593,"",0,1))</f>
        <v>22118.39</v>
      </c>
    </row>
    <row r="296" spans="1:24" ht="13.2">
      <c r="A296" s="49"/>
      <c r="B296" s="49"/>
      <c r="C296" s="48"/>
      <c r="D296" s="49"/>
      <c r="E296" s="57"/>
      <c r="F296" s="26" t="s">
        <v>791</v>
      </c>
      <c r="G296" s="26" t="s">
        <v>228</v>
      </c>
      <c r="H296" s="27">
        <f t="shared" si="146"/>
        <v>5698.45</v>
      </c>
      <c r="I296" s="27">
        <f t="shared" si="146"/>
        <v>5038.8500000000004</v>
      </c>
      <c r="J296" s="27">
        <f t="shared" si="146"/>
        <v>5143.49</v>
      </c>
      <c r="K296" s="27">
        <f t="shared" si="147"/>
        <v>5293.5966666666664</v>
      </c>
      <c r="L296" s="74"/>
      <c r="M296" s="70">
        <f t="shared" si="148"/>
        <v>0</v>
      </c>
      <c r="N296" s="74" t="str">
        <f t="shared" si="133"/>
        <v/>
      </c>
      <c r="O296" s="74" t="str">
        <f t="shared" si="149"/>
        <v/>
      </c>
      <c r="P296" s="74" t="str">
        <f t="shared" si="149"/>
        <v/>
      </c>
      <c r="Q296" s="38"/>
      <c r="R296" s="3" t="str">
        <f t="shared" ref="R296:R313" si="150">R295</f>
        <v>Kallakurichi</v>
      </c>
      <c r="S296" s="3" t="str">
        <f t="shared" si="127"/>
        <v>Chinnasalem</v>
      </c>
      <c r="T296" s="3" t="str">
        <f t="shared" si="127"/>
        <v>Kallakurichi</v>
      </c>
      <c r="U296" s="3" t="str">
        <f t="shared" si="143"/>
        <v>Kallakurichi_Chinnasalem_Kallakurichi</v>
      </c>
      <c r="V296" s="3">
        <f>IF(_xlfn.XLOOKUP($U296,GCA!$H$3:$H$593,GCA!E$3:E$593,"",0,1)="","",_xlfn.XLOOKUP($U296,GCA!$H$3:$H$593,GCA!E$3:E$593,"",0,1))</f>
        <v>5698.45</v>
      </c>
      <c r="W296" s="3">
        <f>IF(_xlfn.XLOOKUP($U296,GCA!$H$3:$H$593,GCA!F$3:F$593,"",0,1)="","",_xlfn.XLOOKUP($U296,GCA!$H$3:$H$593,GCA!F$3:F$593,"",0,1))</f>
        <v>5038.8500000000004</v>
      </c>
      <c r="X296" s="3">
        <f>IF(_xlfn.XLOOKUP($U296,GCA!$H$3:$H$593,GCA!G$3:G$593,"",0,1)="","",_xlfn.XLOOKUP($U296,GCA!$H$3:$H$593,GCA!G$3:G$593,"",0,1))</f>
        <v>5143.49</v>
      </c>
    </row>
    <row r="297" spans="1:24" ht="13.2">
      <c r="A297" s="49"/>
      <c r="B297" s="49"/>
      <c r="C297" s="48"/>
      <c r="D297" s="49"/>
      <c r="E297" s="57"/>
      <c r="F297" s="26" t="s">
        <v>791</v>
      </c>
      <c r="G297" s="26" t="s">
        <v>792</v>
      </c>
      <c r="H297" s="27">
        <f t="shared" si="146"/>
        <v>853.16</v>
      </c>
      <c r="I297" s="27">
        <f t="shared" si="146"/>
        <v>900.66</v>
      </c>
      <c r="J297" s="27">
        <f t="shared" si="146"/>
        <v>748.43499999999995</v>
      </c>
      <c r="K297" s="27">
        <f t="shared" si="147"/>
        <v>834.08500000000004</v>
      </c>
      <c r="L297" s="74"/>
      <c r="M297" s="70">
        <f t="shared" si="148"/>
        <v>0</v>
      </c>
      <c r="N297" s="74" t="str">
        <f t="shared" si="133"/>
        <v/>
      </c>
      <c r="O297" s="74" t="str">
        <f t="shared" si="149"/>
        <v/>
      </c>
      <c r="P297" s="74" t="str">
        <f t="shared" si="149"/>
        <v/>
      </c>
      <c r="Q297" s="38"/>
      <c r="R297" s="3" t="str">
        <f t="shared" si="150"/>
        <v>Kallakurichi</v>
      </c>
      <c r="S297" s="3" t="str">
        <f t="shared" si="127"/>
        <v>Chinnasalem</v>
      </c>
      <c r="T297" s="3" t="str">
        <f t="shared" si="127"/>
        <v>Kalvarayan Malai</v>
      </c>
      <c r="U297" s="3" t="str">
        <f t="shared" si="143"/>
        <v>Kallakurichi_Chinnasalem_Kalvarayan Malai</v>
      </c>
      <c r="V297" s="3">
        <f>IF(_xlfn.XLOOKUP($U297,GCA!$H$3:$H$593,GCA!E$3:E$593,"",0,1)="","",_xlfn.XLOOKUP($U297,GCA!$H$3:$H$593,GCA!E$3:E$593,"",0,1))</f>
        <v>853.16</v>
      </c>
      <c r="W297" s="3">
        <f>IF(_xlfn.XLOOKUP($U297,GCA!$H$3:$H$593,GCA!F$3:F$593,"",0,1)="","",_xlfn.XLOOKUP($U297,GCA!$H$3:$H$593,GCA!F$3:F$593,"",0,1))</f>
        <v>900.66</v>
      </c>
      <c r="X297" s="3">
        <f>IF(_xlfn.XLOOKUP($U297,GCA!$H$3:$H$593,GCA!G$3:G$593,"",0,1)="","",_xlfn.XLOOKUP($U297,GCA!$H$3:$H$593,GCA!G$3:G$593,"",0,1))</f>
        <v>748.43499999999995</v>
      </c>
    </row>
    <row r="298" spans="1:24" ht="13.2">
      <c r="A298" s="49"/>
      <c r="B298" s="49"/>
      <c r="C298" s="48"/>
      <c r="D298" s="49"/>
      <c r="E298" s="57"/>
      <c r="F298" s="26" t="s">
        <v>791</v>
      </c>
      <c r="G298" s="26" t="s">
        <v>793</v>
      </c>
      <c r="H298" s="27">
        <f t="shared" si="146"/>
        <v>845.72</v>
      </c>
      <c r="I298" s="27">
        <f t="shared" si="146"/>
        <v>1076.72</v>
      </c>
      <c r="J298" s="27">
        <f t="shared" si="146"/>
        <v>865.72</v>
      </c>
      <c r="K298" s="27">
        <f t="shared" si="147"/>
        <v>929.38666666666666</v>
      </c>
      <c r="L298" s="74"/>
      <c r="M298" s="70">
        <f t="shared" si="148"/>
        <v>0</v>
      </c>
      <c r="N298" s="74" t="str">
        <f t="shared" si="133"/>
        <v/>
      </c>
      <c r="O298" s="74" t="str">
        <f t="shared" si="149"/>
        <v/>
      </c>
      <c r="P298" s="74" t="str">
        <f t="shared" si="149"/>
        <v/>
      </c>
      <c r="Q298" s="38"/>
      <c r="R298" s="3" t="str">
        <f t="shared" si="150"/>
        <v>Kallakurichi</v>
      </c>
      <c r="S298" s="3" t="str">
        <f t="shared" si="127"/>
        <v>Chinnasalem</v>
      </c>
      <c r="T298" s="3" t="str">
        <f t="shared" si="127"/>
        <v>Sankarapuram</v>
      </c>
      <c r="U298" s="3" t="str">
        <f t="shared" si="143"/>
        <v>Kallakurichi_Chinnasalem_Sankarapuram</v>
      </c>
      <c r="V298" s="3">
        <f>IF(_xlfn.XLOOKUP($U298,GCA!$H$3:$H$593,GCA!E$3:E$593,"",0,1)="","",_xlfn.XLOOKUP($U298,GCA!$H$3:$H$593,GCA!E$3:E$593,"",0,1))</f>
        <v>845.72</v>
      </c>
      <c r="W298" s="3">
        <f>IF(_xlfn.XLOOKUP($U298,GCA!$H$3:$H$593,GCA!F$3:F$593,"",0,1)="","",_xlfn.XLOOKUP($U298,GCA!$H$3:$H$593,GCA!F$3:F$593,"",0,1))</f>
        <v>1076.72</v>
      </c>
      <c r="X298" s="3">
        <f>IF(_xlfn.XLOOKUP($U298,GCA!$H$3:$H$593,GCA!G$3:G$593,"",0,1)="","",_xlfn.XLOOKUP($U298,GCA!$H$3:$H$593,GCA!G$3:G$593,"",0,1))</f>
        <v>865.72</v>
      </c>
    </row>
    <row r="299" spans="1:24" ht="13.2">
      <c r="A299" s="49"/>
      <c r="B299" s="49"/>
      <c r="C299" s="48"/>
      <c r="D299" s="49"/>
      <c r="E299" s="58"/>
      <c r="F299" s="26" t="s">
        <v>792</v>
      </c>
      <c r="G299" s="26" t="s">
        <v>792</v>
      </c>
      <c r="H299" s="27">
        <f t="shared" si="146"/>
        <v>9482.7000000000007</v>
      </c>
      <c r="I299" s="27">
        <f t="shared" si="146"/>
        <v>10047.65</v>
      </c>
      <c r="J299" s="27">
        <f t="shared" si="146"/>
        <v>9425.4500000000007</v>
      </c>
      <c r="K299" s="27">
        <f t="shared" si="147"/>
        <v>9651.9333333333325</v>
      </c>
      <c r="L299" s="75"/>
      <c r="M299" s="71">
        <f t="shared" si="148"/>
        <v>0</v>
      </c>
      <c r="N299" s="75" t="str">
        <f t="shared" si="133"/>
        <v/>
      </c>
      <c r="O299" s="75" t="str">
        <f t="shared" si="149"/>
        <v/>
      </c>
      <c r="P299" s="75" t="str">
        <f t="shared" si="149"/>
        <v/>
      </c>
      <c r="Q299" s="38"/>
      <c r="R299" s="3" t="str">
        <f t="shared" si="150"/>
        <v>Kallakurichi</v>
      </c>
      <c r="S299" s="3" t="str">
        <f t="shared" si="127"/>
        <v>Kalvarayan Malai</v>
      </c>
      <c r="T299" s="3" t="str">
        <f t="shared" si="127"/>
        <v>Kalvarayan Malai</v>
      </c>
      <c r="U299" s="3" t="str">
        <f t="shared" si="143"/>
        <v>Kallakurichi_Kalvarayan Malai_Kalvarayan Malai</v>
      </c>
      <c r="V299" s="3">
        <f>IF(_xlfn.XLOOKUP($U299,GCA!$H$3:$H$593,GCA!E$3:E$593,"",0,1)="","",_xlfn.XLOOKUP($U299,GCA!$H$3:$H$593,GCA!E$3:E$593,"",0,1))</f>
        <v>9482.7000000000007</v>
      </c>
      <c r="W299" s="3">
        <f>IF(_xlfn.XLOOKUP($U299,GCA!$H$3:$H$593,GCA!F$3:F$593,"",0,1)="","",_xlfn.XLOOKUP($U299,GCA!$H$3:$H$593,GCA!F$3:F$593,"",0,1))</f>
        <v>10047.65</v>
      </c>
      <c r="X299" s="3">
        <f>IF(_xlfn.XLOOKUP($U299,GCA!$H$3:$H$593,GCA!G$3:G$593,"",0,1)="","",_xlfn.XLOOKUP($U299,GCA!$H$3:$H$593,GCA!G$3:G$593,"",0,1))</f>
        <v>9425.4500000000007</v>
      </c>
    </row>
    <row r="300" spans="1:24" ht="13.2">
      <c r="A300" s="49"/>
      <c r="B300" s="49"/>
      <c r="C300" s="48"/>
      <c r="D300" s="49"/>
      <c r="E300" s="56">
        <v>2</v>
      </c>
      <c r="F300" s="26" t="s">
        <v>228</v>
      </c>
      <c r="G300" s="26" t="s">
        <v>791</v>
      </c>
      <c r="H300" s="27">
        <f t="shared" si="146"/>
        <v>6506.32</v>
      </c>
      <c r="I300" s="27">
        <f t="shared" si="146"/>
        <v>6281.93</v>
      </c>
      <c r="J300" s="27">
        <f t="shared" si="146"/>
        <v>6872.72</v>
      </c>
      <c r="K300" s="27">
        <f t="shared" si="147"/>
        <v>6553.6566666666668</v>
      </c>
      <c r="L300" s="62">
        <f>SUM(K300:K303)</f>
        <v>36108.369999999995</v>
      </c>
      <c r="M300" s="69">
        <f t="shared" si="148"/>
        <v>1.5156140042842339</v>
      </c>
      <c r="N300" s="83">
        <f t="shared" si="133"/>
        <v>2</v>
      </c>
      <c r="O300" s="83">
        <f t="shared" si="149"/>
        <v>2</v>
      </c>
      <c r="P300" s="83">
        <f t="shared" si="149"/>
        <v>2</v>
      </c>
      <c r="Q300" s="38"/>
      <c r="R300" s="3" t="str">
        <f t="shared" si="150"/>
        <v>Kallakurichi</v>
      </c>
      <c r="S300" s="3" t="str">
        <f t="shared" si="127"/>
        <v>Kallakurichi</v>
      </c>
      <c r="T300" s="3" t="str">
        <f t="shared" si="127"/>
        <v>Chinnasalem</v>
      </c>
      <c r="U300" s="3" t="str">
        <f t="shared" si="143"/>
        <v>Kallakurichi_Kallakurichi_Chinnasalem</v>
      </c>
      <c r="V300" s="3">
        <f>IF(_xlfn.XLOOKUP($U300,GCA!$H$3:$H$593,GCA!E$3:E$593,"",0,1)="","",_xlfn.XLOOKUP($U300,GCA!$H$3:$H$593,GCA!E$3:E$593,"",0,1))</f>
        <v>6506.32</v>
      </c>
      <c r="W300" s="3">
        <f>IF(_xlfn.XLOOKUP($U300,GCA!$H$3:$H$593,GCA!F$3:F$593,"",0,1)="","",_xlfn.XLOOKUP($U300,GCA!$H$3:$H$593,GCA!F$3:F$593,"",0,1))</f>
        <v>6281.93</v>
      </c>
      <c r="X300" s="3">
        <f>IF(_xlfn.XLOOKUP($U300,GCA!$H$3:$H$593,GCA!G$3:G$593,"",0,1)="","",_xlfn.XLOOKUP($U300,GCA!$H$3:$H$593,GCA!G$3:G$593,"",0,1))</f>
        <v>6872.72</v>
      </c>
    </row>
    <row r="301" spans="1:24" ht="13.2">
      <c r="A301" s="49"/>
      <c r="B301" s="49"/>
      <c r="C301" s="48"/>
      <c r="D301" s="49"/>
      <c r="E301" s="57"/>
      <c r="F301" s="26" t="s">
        <v>228</v>
      </c>
      <c r="G301" s="26" t="s">
        <v>228</v>
      </c>
      <c r="H301" s="27">
        <f t="shared" si="146"/>
        <v>11234.66</v>
      </c>
      <c r="I301" s="27">
        <f t="shared" si="146"/>
        <v>11661.47</v>
      </c>
      <c r="J301" s="27">
        <f t="shared" si="146"/>
        <v>10997.98</v>
      </c>
      <c r="K301" s="27">
        <f t="shared" si="147"/>
        <v>11298.036666666667</v>
      </c>
      <c r="L301" s="74"/>
      <c r="M301" s="70">
        <f t="shared" si="148"/>
        <v>0</v>
      </c>
      <c r="N301" s="74" t="str">
        <f t="shared" si="133"/>
        <v/>
      </c>
      <c r="O301" s="74" t="str">
        <f t="shared" si="149"/>
        <v/>
      </c>
      <c r="P301" s="74" t="str">
        <f t="shared" si="149"/>
        <v/>
      </c>
      <c r="Q301" s="38"/>
      <c r="R301" s="3" t="str">
        <f t="shared" si="150"/>
        <v>Kallakurichi</v>
      </c>
      <c r="S301" s="3" t="str">
        <f t="shared" si="127"/>
        <v>Kallakurichi</v>
      </c>
      <c r="T301" s="3" t="str">
        <f t="shared" si="127"/>
        <v>Kallakurichi</v>
      </c>
      <c r="U301" s="3" t="str">
        <f t="shared" si="143"/>
        <v>Kallakurichi_Kallakurichi_Kallakurichi</v>
      </c>
      <c r="V301" s="3">
        <f>IF(_xlfn.XLOOKUP($U301,GCA!$H$3:$H$593,GCA!E$3:E$593,"",0,1)="","",_xlfn.XLOOKUP($U301,GCA!$H$3:$H$593,GCA!E$3:E$593,"",0,1))</f>
        <v>11234.66</v>
      </c>
      <c r="W301" s="3">
        <f>IF(_xlfn.XLOOKUP($U301,GCA!$H$3:$H$593,GCA!F$3:F$593,"",0,1)="","",_xlfn.XLOOKUP($U301,GCA!$H$3:$H$593,GCA!F$3:F$593,"",0,1))</f>
        <v>11661.47</v>
      </c>
      <c r="X301" s="3">
        <f>IF(_xlfn.XLOOKUP($U301,GCA!$H$3:$H$593,GCA!G$3:G$593,"",0,1)="","",_xlfn.XLOOKUP($U301,GCA!$H$3:$H$593,GCA!G$3:G$593,"",0,1))</f>
        <v>10997.98</v>
      </c>
    </row>
    <row r="302" spans="1:24" ht="13.2">
      <c r="A302" s="49"/>
      <c r="B302" s="49"/>
      <c r="C302" s="48"/>
      <c r="D302" s="49"/>
      <c r="E302" s="57"/>
      <c r="F302" s="26" t="s">
        <v>228</v>
      </c>
      <c r="G302" s="26" t="s">
        <v>794</v>
      </c>
      <c r="H302" s="27">
        <f t="shared" si="146"/>
        <v>712</v>
      </c>
      <c r="I302" s="27">
        <f t="shared" si="146"/>
        <v>533</v>
      </c>
      <c r="J302" s="27">
        <f t="shared" si="146"/>
        <v>476.2</v>
      </c>
      <c r="K302" s="27">
        <f t="shared" si="147"/>
        <v>573.73333333333335</v>
      </c>
      <c r="L302" s="74"/>
      <c r="M302" s="70">
        <f t="shared" si="148"/>
        <v>0</v>
      </c>
      <c r="N302" s="74" t="str">
        <f t="shared" si="133"/>
        <v/>
      </c>
      <c r="O302" s="74" t="str">
        <f t="shared" si="149"/>
        <v/>
      </c>
      <c r="P302" s="74" t="str">
        <f t="shared" si="149"/>
        <v/>
      </c>
      <c r="Q302" s="38"/>
      <c r="R302" s="3" t="str">
        <f t="shared" si="150"/>
        <v>Kallakurichi</v>
      </c>
      <c r="S302" s="3" t="str">
        <f t="shared" si="127"/>
        <v>Kallakurichi</v>
      </c>
      <c r="T302" s="3" t="str">
        <f t="shared" si="127"/>
        <v>Rishivandhiyam</v>
      </c>
      <c r="U302" s="3" t="str">
        <f t="shared" si="143"/>
        <v>Kallakurichi_Kallakurichi_Rishivandhiyam</v>
      </c>
      <c r="V302" s="3">
        <f>IF(_xlfn.XLOOKUP($U302,GCA!$H$3:$H$593,GCA!E$3:E$593,"",0,1)="","",_xlfn.XLOOKUP($U302,GCA!$H$3:$H$593,GCA!E$3:E$593,"",0,1))</f>
        <v>712</v>
      </c>
      <c r="W302" s="3">
        <f>IF(_xlfn.XLOOKUP($U302,GCA!$H$3:$H$593,GCA!F$3:F$593,"",0,1)="","",_xlfn.XLOOKUP($U302,GCA!$H$3:$H$593,GCA!F$3:F$593,"",0,1))</f>
        <v>533</v>
      </c>
      <c r="X302" s="3">
        <f>IF(_xlfn.XLOOKUP($U302,GCA!$H$3:$H$593,GCA!G$3:G$593,"",0,1)="","",_xlfn.XLOOKUP($U302,GCA!$H$3:$H$593,GCA!G$3:G$593,"",0,1))</f>
        <v>476.2</v>
      </c>
    </row>
    <row r="303" spans="1:24" ht="13.2">
      <c r="A303" s="49"/>
      <c r="B303" s="49"/>
      <c r="C303" s="48"/>
      <c r="D303" s="49"/>
      <c r="E303" s="58"/>
      <c r="F303" s="26" t="s">
        <v>228</v>
      </c>
      <c r="G303" s="26" t="s">
        <v>795</v>
      </c>
      <c r="H303" s="27">
        <f t="shared" si="146"/>
        <v>17560.87</v>
      </c>
      <c r="I303" s="27">
        <f t="shared" si="146"/>
        <v>17542.900000000001</v>
      </c>
      <c r="J303" s="27">
        <f t="shared" si="146"/>
        <v>17945.060000000001</v>
      </c>
      <c r="K303" s="27">
        <f t="shared" si="147"/>
        <v>17682.943333333333</v>
      </c>
      <c r="L303" s="75"/>
      <c r="M303" s="71">
        <f t="shared" si="148"/>
        <v>0</v>
      </c>
      <c r="N303" s="75" t="str">
        <f t="shared" si="133"/>
        <v/>
      </c>
      <c r="O303" s="75" t="str">
        <f t="shared" si="149"/>
        <v/>
      </c>
      <c r="P303" s="75" t="str">
        <f t="shared" si="149"/>
        <v/>
      </c>
      <c r="Q303" s="38"/>
      <c r="R303" s="3" t="str">
        <f t="shared" si="150"/>
        <v>Kallakurichi</v>
      </c>
      <c r="S303" s="3" t="str">
        <f t="shared" si="127"/>
        <v>Kallakurichi</v>
      </c>
      <c r="T303" s="3" t="str">
        <f t="shared" si="127"/>
        <v>Thiyagadurgam</v>
      </c>
      <c r="U303" s="3" t="str">
        <f t="shared" si="143"/>
        <v>Kallakurichi_Kallakurichi_Thiyagadurgam</v>
      </c>
      <c r="V303" s="3">
        <f>IF(_xlfn.XLOOKUP($U303,GCA!$H$3:$H$593,GCA!E$3:E$593,"",0,1)="","",_xlfn.XLOOKUP($U303,GCA!$H$3:$H$593,GCA!E$3:E$593,"",0,1))</f>
        <v>17560.87</v>
      </c>
      <c r="W303" s="3">
        <f>IF(_xlfn.XLOOKUP($U303,GCA!$H$3:$H$593,GCA!F$3:F$593,"",0,1)="","",_xlfn.XLOOKUP($U303,GCA!$H$3:$H$593,GCA!F$3:F$593,"",0,1))</f>
        <v>17542.900000000001</v>
      </c>
      <c r="X303" s="3">
        <f>IF(_xlfn.XLOOKUP($U303,GCA!$H$3:$H$593,GCA!G$3:G$593,"",0,1)="","",_xlfn.XLOOKUP($U303,GCA!$H$3:$H$593,GCA!G$3:G$593,"",0,1))</f>
        <v>17945.060000000001</v>
      </c>
    </row>
    <row r="304" spans="1:24" ht="13.2">
      <c r="A304" s="49"/>
      <c r="B304" s="49"/>
      <c r="C304" s="48"/>
      <c r="D304" s="49"/>
      <c r="E304" s="56">
        <v>3</v>
      </c>
      <c r="F304" s="26" t="s">
        <v>793</v>
      </c>
      <c r="G304" s="26" t="s">
        <v>228</v>
      </c>
      <c r="H304" s="27">
        <f t="shared" si="146"/>
        <v>4548.68</v>
      </c>
      <c r="I304" s="27">
        <f t="shared" si="146"/>
        <v>4641.87</v>
      </c>
      <c r="J304" s="27">
        <f t="shared" si="146"/>
        <v>4416.8999999999996</v>
      </c>
      <c r="K304" s="27">
        <f t="shared" si="147"/>
        <v>4535.8166666666666</v>
      </c>
      <c r="L304" s="62">
        <f>SUM(K304:K308)</f>
        <v>75365.39</v>
      </c>
      <c r="M304" s="69">
        <f t="shared" si="148"/>
        <v>3.1633895554505216</v>
      </c>
      <c r="N304" s="83">
        <f t="shared" si="133"/>
        <v>3</v>
      </c>
      <c r="O304" s="83">
        <f t="shared" si="149"/>
        <v>3</v>
      </c>
      <c r="P304" s="83">
        <f t="shared" si="149"/>
        <v>3</v>
      </c>
      <c r="Q304" s="38"/>
      <c r="R304" s="3" t="str">
        <f t="shared" si="150"/>
        <v>Kallakurichi</v>
      </c>
      <c r="S304" s="3" t="str">
        <f t="shared" si="127"/>
        <v>Sankarapuram</v>
      </c>
      <c r="T304" s="3" t="str">
        <f t="shared" si="127"/>
        <v>Kallakurichi</v>
      </c>
      <c r="U304" s="3" t="str">
        <f t="shared" si="143"/>
        <v>Kallakurichi_Sankarapuram_Kallakurichi</v>
      </c>
      <c r="V304" s="3">
        <f>IF(_xlfn.XLOOKUP($U304,GCA!$H$3:$H$593,GCA!E$3:E$593,"",0,1)="","",_xlfn.XLOOKUP($U304,GCA!$H$3:$H$593,GCA!E$3:E$593,"",0,1))</f>
        <v>4548.68</v>
      </c>
      <c r="W304" s="3">
        <f>IF(_xlfn.XLOOKUP($U304,GCA!$H$3:$H$593,GCA!F$3:F$593,"",0,1)="","",_xlfn.XLOOKUP($U304,GCA!$H$3:$H$593,GCA!F$3:F$593,"",0,1))</f>
        <v>4641.87</v>
      </c>
      <c r="X304" s="3">
        <f>IF(_xlfn.XLOOKUP($U304,GCA!$H$3:$H$593,GCA!G$3:G$593,"",0,1)="","",_xlfn.XLOOKUP($U304,GCA!$H$3:$H$593,GCA!G$3:G$593,"",0,1))</f>
        <v>4416.8999999999996</v>
      </c>
    </row>
    <row r="305" spans="1:24" ht="13.2">
      <c r="A305" s="49"/>
      <c r="B305" s="49"/>
      <c r="C305" s="48"/>
      <c r="D305" s="49"/>
      <c r="E305" s="57"/>
      <c r="F305" s="26" t="s">
        <v>793</v>
      </c>
      <c r="G305" s="26" t="s">
        <v>792</v>
      </c>
      <c r="H305" s="27">
        <f t="shared" si="146"/>
        <v>2898.2</v>
      </c>
      <c r="I305" s="27">
        <f t="shared" si="146"/>
        <v>3160.25</v>
      </c>
      <c r="J305" s="27">
        <f t="shared" si="146"/>
        <v>2798.2350000000001</v>
      </c>
      <c r="K305" s="27">
        <f t="shared" si="147"/>
        <v>2952.228333333333</v>
      </c>
      <c r="L305" s="74"/>
      <c r="M305" s="70">
        <f t="shared" si="148"/>
        <v>0</v>
      </c>
      <c r="N305" s="74" t="str">
        <f t="shared" si="133"/>
        <v/>
      </c>
      <c r="O305" s="74" t="str">
        <f t="shared" si="149"/>
        <v/>
      </c>
      <c r="P305" s="74" t="str">
        <f t="shared" si="149"/>
        <v/>
      </c>
      <c r="Q305" s="38"/>
      <c r="R305" s="3" t="str">
        <f t="shared" si="150"/>
        <v>Kallakurichi</v>
      </c>
      <c r="S305" s="3" t="str">
        <f t="shared" si="127"/>
        <v>Sankarapuram</v>
      </c>
      <c r="T305" s="3" t="str">
        <f t="shared" si="127"/>
        <v>Kalvarayan Malai</v>
      </c>
      <c r="U305" s="3" t="str">
        <f t="shared" si="143"/>
        <v>Kallakurichi_Sankarapuram_Kalvarayan Malai</v>
      </c>
      <c r="V305" s="3">
        <f>IF(_xlfn.XLOOKUP($U305,GCA!$H$3:$H$593,GCA!E$3:E$593,"",0,1)="","",_xlfn.XLOOKUP($U305,GCA!$H$3:$H$593,GCA!E$3:E$593,"",0,1))</f>
        <v>2898.2</v>
      </c>
      <c r="W305" s="3">
        <f>IF(_xlfn.XLOOKUP($U305,GCA!$H$3:$H$593,GCA!F$3:F$593,"",0,1)="","",_xlfn.XLOOKUP($U305,GCA!$H$3:$H$593,GCA!F$3:F$593,"",0,1))</f>
        <v>3160.25</v>
      </c>
      <c r="X305" s="3">
        <f>IF(_xlfn.XLOOKUP($U305,GCA!$H$3:$H$593,GCA!G$3:G$593,"",0,1)="","",_xlfn.XLOOKUP($U305,GCA!$H$3:$H$593,GCA!G$3:G$593,"",0,1))</f>
        <v>2798.2350000000001</v>
      </c>
    </row>
    <row r="306" spans="1:24" ht="13.2">
      <c r="A306" s="49"/>
      <c r="B306" s="49"/>
      <c r="C306" s="48"/>
      <c r="D306" s="49"/>
      <c r="E306" s="57"/>
      <c r="F306" s="26" t="s">
        <v>793</v>
      </c>
      <c r="G306" s="26" t="s">
        <v>793</v>
      </c>
      <c r="H306" s="27">
        <f t="shared" si="146"/>
        <v>14276.21</v>
      </c>
      <c r="I306" s="27">
        <f t="shared" si="146"/>
        <v>13994.87</v>
      </c>
      <c r="J306" s="27">
        <f t="shared" si="146"/>
        <v>14038.05</v>
      </c>
      <c r="K306" s="27">
        <f t="shared" si="147"/>
        <v>14103.043333333335</v>
      </c>
      <c r="L306" s="74"/>
      <c r="M306" s="70">
        <f t="shared" si="148"/>
        <v>0</v>
      </c>
      <c r="N306" s="74" t="str">
        <f t="shared" si="133"/>
        <v/>
      </c>
      <c r="O306" s="74" t="str">
        <f t="shared" si="149"/>
        <v/>
      </c>
      <c r="P306" s="74" t="str">
        <f t="shared" si="149"/>
        <v/>
      </c>
      <c r="Q306" s="38"/>
      <c r="R306" s="3" t="str">
        <f t="shared" si="150"/>
        <v>Kallakurichi</v>
      </c>
      <c r="S306" s="3" t="str">
        <f t="shared" si="127"/>
        <v>Sankarapuram</v>
      </c>
      <c r="T306" s="3" t="str">
        <f t="shared" si="127"/>
        <v>Sankarapuram</v>
      </c>
      <c r="U306" s="3" t="str">
        <f t="shared" si="143"/>
        <v>Kallakurichi_Sankarapuram_Sankarapuram</v>
      </c>
      <c r="V306" s="3">
        <f>IF(_xlfn.XLOOKUP($U306,GCA!$H$3:$H$593,GCA!E$3:E$593,"",0,1)="","",_xlfn.XLOOKUP($U306,GCA!$H$3:$H$593,GCA!E$3:E$593,"",0,1))</f>
        <v>14276.21</v>
      </c>
      <c r="W306" s="3">
        <f>IF(_xlfn.XLOOKUP($U306,GCA!$H$3:$H$593,GCA!F$3:F$593,"",0,1)="","",_xlfn.XLOOKUP($U306,GCA!$H$3:$H$593,GCA!F$3:F$593,"",0,1))</f>
        <v>13994.87</v>
      </c>
      <c r="X306" s="3">
        <f>IF(_xlfn.XLOOKUP($U306,GCA!$H$3:$H$593,GCA!G$3:G$593,"",0,1)="","",_xlfn.XLOOKUP($U306,GCA!$H$3:$H$593,GCA!G$3:G$593,"",0,1))</f>
        <v>14038.05</v>
      </c>
    </row>
    <row r="307" spans="1:24" ht="13.2">
      <c r="A307" s="49"/>
      <c r="B307" s="49"/>
      <c r="C307" s="48"/>
      <c r="D307" s="49"/>
      <c r="E307" s="57"/>
      <c r="F307" s="26" t="s">
        <v>797</v>
      </c>
      <c r="G307" s="26" t="s">
        <v>798</v>
      </c>
      <c r="H307" s="27">
        <f t="shared" si="146"/>
        <v>26925.16</v>
      </c>
      <c r="I307" s="27">
        <f t="shared" si="146"/>
        <v>24208.46</v>
      </c>
      <c r="J307" s="27">
        <f t="shared" si="146"/>
        <v>24948.365000000002</v>
      </c>
      <c r="K307" s="27">
        <f t="shared" si="147"/>
        <v>25360.661666666667</v>
      </c>
      <c r="L307" s="74"/>
      <c r="M307" s="70">
        <f t="shared" si="148"/>
        <v>0</v>
      </c>
      <c r="N307" s="74" t="str">
        <f t="shared" si="133"/>
        <v/>
      </c>
      <c r="O307" s="74" t="str">
        <f t="shared" si="149"/>
        <v/>
      </c>
      <c r="P307" s="74" t="str">
        <f t="shared" si="149"/>
        <v/>
      </c>
      <c r="Q307" s="38"/>
      <c r="R307" s="3" t="str">
        <f t="shared" si="150"/>
        <v>Kallakurichi</v>
      </c>
      <c r="S307" s="3" t="str">
        <f t="shared" si="127"/>
        <v>Ulundurpettai</v>
      </c>
      <c r="T307" s="3" t="str">
        <f t="shared" si="127"/>
        <v>Thirunavallur</v>
      </c>
      <c r="U307" s="3" t="str">
        <f t="shared" si="143"/>
        <v>Kallakurichi_Ulundurpettai_Thirunavallur</v>
      </c>
      <c r="V307" s="3">
        <f>IF(_xlfn.XLOOKUP($U307,GCA!$H$3:$H$593,GCA!E$3:E$593,"",0,1)="","",_xlfn.XLOOKUP($U307,GCA!$H$3:$H$593,GCA!E$3:E$593,"",0,1))</f>
        <v>26925.16</v>
      </c>
      <c r="W307" s="3">
        <f>IF(_xlfn.XLOOKUP($U307,GCA!$H$3:$H$593,GCA!F$3:F$593,"",0,1)="","",_xlfn.XLOOKUP($U307,GCA!$H$3:$H$593,GCA!F$3:F$593,"",0,1))</f>
        <v>24208.46</v>
      </c>
      <c r="X307" s="3">
        <f>IF(_xlfn.XLOOKUP($U307,GCA!$H$3:$H$593,GCA!G$3:G$593,"",0,1)="","",_xlfn.XLOOKUP($U307,GCA!$H$3:$H$593,GCA!G$3:G$593,"",0,1))</f>
        <v>24948.365000000002</v>
      </c>
    </row>
    <row r="308" spans="1:24" ht="13.2">
      <c r="A308" s="49"/>
      <c r="B308" s="49"/>
      <c r="C308" s="48"/>
      <c r="D308" s="49"/>
      <c r="E308" s="58"/>
      <c r="F308" s="26" t="s">
        <v>797</v>
      </c>
      <c r="G308" s="26" t="s">
        <v>797</v>
      </c>
      <c r="H308" s="27">
        <f t="shared" si="146"/>
        <v>29967.87</v>
      </c>
      <c r="I308" s="27">
        <f t="shared" si="146"/>
        <v>28778.235000000001</v>
      </c>
      <c r="J308" s="27">
        <f t="shared" si="146"/>
        <v>26494.814999999999</v>
      </c>
      <c r="K308" s="27">
        <f t="shared" si="147"/>
        <v>28413.64</v>
      </c>
      <c r="L308" s="75"/>
      <c r="M308" s="71">
        <f t="shared" si="148"/>
        <v>0</v>
      </c>
      <c r="N308" s="75" t="str">
        <f t="shared" si="133"/>
        <v/>
      </c>
      <c r="O308" s="75" t="str">
        <f t="shared" si="149"/>
        <v/>
      </c>
      <c r="P308" s="75" t="str">
        <f t="shared" si="149"/>
        <v/>
      </c>
      <c r="Q308" s="38"/>
      <c r="R308" s="3" t="str">
        <f t="shared" si="150"/>
        <v>Kallakurichi</v>
      </c>
      <c r="S308" s="3" t="str">
        <f t="shared" si="127"/>
        <v>Ulundurpettai</v>
      </c>
      <c r="T308" s="3" t="str">
        <f t="shared" si="127"/>
        <v>Ulundurpettai</v>
      </c>
      <c r="U308" s="3" t="str">
        <f t="shared" si="143"/>
        <v>Kallakurichi_Ulundurpettai_Ulundurpettai</v>
      </c>
      <c r="V308" s="3">
        <f>IF(_xlfn.XLOOKUP($U308,GCA!$H$3:$H$593,GCA!E$3:E$593,"",0,1)="","",_xlfn.XLOOKUP($U308,GCA!$H$3:$H$593,GCA!E$3:E$593,"",0,1))</f>
        <v>29967.87</v>
      </c>
      <c r="W308" s="3">
        <f>IF(_xlfn.XLOOKUP($U308,GCA!$H$3:$H$593,GCA!F$3:F$593,"",0,1)="","",_xlfn.XLOOKUP($U308,GCA!$H$3:$H$593,GCA!F$3:F$593,"",0,1))</f>
        <v>28778.235000000001</v>
      </c>
      <c r="X308" s="3">
        <f>IF(_xlfn.XLOOKUP($U308,GCA!$H$3:$H$593,GCA!G$3:G$593,"",0,1)="","",_xlfn.XLOOKUP($U308,GCA!$H$3:$H$593,GCA!G$3:G$593,"",0,1))</f>
        <v>26494.814999999999</v>
      </c>
    </row>
    <row r="309" spans="1:24" ht="13.2">
      <c r="A309" s="49"/>
      <c r="B309" s="49"/>
      <c r="C309" s="48"/>
      <c r="D309" s="49"/>
      <c r="E309" s="56">
        <v>4</v>
      </c>
      <c r="F309" s="26" t="s">
        <v>796</v>
      </c>
      <c r="G309" s="26" t="s">
        <v>796</v>
      </c>
      <c r="H309" s="27">
        <f t="shared" si="146"/>
        <v>23923.7</v>
      </c>
      <c r="I309" s="27">
        <f t="shared" si="146"/>
        <v>23537.555</v>
      </c>
      <c r="J309" s="27">
        <f t="shared" si="146"/>
        <v>23293.834999999999</v>
      </c>
      <c r="K309" s="27">
        <f t="shared" si="147"/>
        <v>23585.03</v>
      </c>
      <c r="L309" s="62">
        <f>SUM(K309:K312)</f>
        <v>65379.649999999994</v>
      </c>
      <c r="M309" s="69">
        <f t="shared" si="148"/>
        <v>2.7442477501809615</v>
      </c>
      <c r="N309" s="84">
        <v>2</v>
      </c>
      <c r="O309" s="83">
        <f t="shared" si="149"/>
        <v>2</v>
      </c>
      <c r="P309" s="83">
        <f t="shared" si="149"/>
        <v>2</v>
      </c>
      <c r="Q309" s="38"/>
      <c r="R309" s="3" t="str">
        <f t="shared" si="150"/>
        <v>Kallakurichi</v>
      </c>
      <c r="S309" s="3" t="str">
        <f t="shared" si="127"/>
        <v>Thirukoilur</v>
      </c>
      <c r="T309" s="3" t="str">
        <f t="shared" si="127"/>
        <v>Thirukoilur</v>
      </c>
      <c r="U309" s="3" t="str">
        <f t="shared" si="143"/>
        <v>Kallakurichi_Thirukoilur_Thirukoilur</v>
      </c>
      <c r="V309" s="3">
        <f>IF(_xlfn.XLOOKUP($U309,GCA!$H$3:$H$593,GCA!E$3:E$593,"",0,1)="","",_xlfn.XLOOKUP($U309,GCA!$H$3:$H$593,GCA!E$3:E$593,"",0,1))</f>
        <v>23923.7</v>
      </c>
      <c r="W309" s="3">
        <f>IF(_xlfn.XLOOKUP($U309,GCA!$H$3:$H$593,GCA!F$3:F$593,"",0,1)="","",_xlfn.XLOOKUP($U309,GCA!$H$3:$H$593,GCA!F$3:F$593,"",0,1))</f>
        <v>23537.555</v>
      </c>
      <c r="X309" s="3">
        <f>IF(_xlfn.XLOOKUP($U309,GCA!$H$3:$H$593,GCA!G$3:G$593,"",0,1)="","",_xlfn.XLOOKUP($U309,GCA!$H$3:$H$593,GCA!G$3:G$593,"",0,1))</f>
        <v>23293.834999999999</v>
      </c>
    </row>
    <row r="310" spans="1:24" ht="13.2">
      <c r="A310" s="49"/>
      <c r="B310" s="49"/>
      <c r="C310" s="48"/>
      <c r="D310" s="49"/>
      <c r="E310" s="57"/>
      <c r="F310" s="26" t="s">
        <v>1024</v>
      </c>
      <c r="G310" s="26" t="s">
        <v>794</v>
      </c>
      <c r="H310" s="27">
        <f t="shared" si="146"/>
        <v>34453.72</v>
      </c>
      <c r="I310" s="27">
        <f t="shared" si="146"/>
        <v>29698.19</v>
      </c>
      <c r="J310" s="27">
        <f t="shared" si="146"/>
        <v>33203.019999999997</v>
      </c>
      <c r="K310" s="27">
        <f t="shared" si="147"/>
        <v>32451.64333333333</v>
      </c>
      <c r="L310" s="74"/>
      <c r="M310" s="70">
        <f t="shared" si="148"/>
        <v>0</v>
      </c>
      <c r="N310" s="85" t="str">
        <f t="shared" si="133"/>
        <v/>
      </c>
      <c r="O310" s="74" t="str">
        <f t="shared" si="149"/>
        <v/>
      </c>
      <c r="P310" s="74" t="str">
        <f t="shared" si="149"/>
        <v/>
      </c>
      <c r="Q310" s="38"/>
      <c r="R310" s="3" t="str">
        <f t="shared" si="150"/>
        <v>Kallakurichi</v>
      </c>
      <c r="S310" s="3" t="str">
        <f t="shared" si="127"/>
        <v>Vaanaapuram</v>
      </c>
      <c r="T310" s="3" t="str">
        <f t="shared" si="127"/>
        <v>Rishivandhiyam</v>
      </c>
      <c r="U310" s="3" t="str">
        <f t="shared" si="143"/>
        <v>Kallakurichi_Vaanaapuram_Rishivandhiyam</v>
      </c>
      <c r="V310" s="3">
        <f>IF(_xlfn.XLOOKUP($U310,GCA!$H$3:$H$593,GCA!E$3:E$593,"",0,1)="","",_xlfn.XLOOKUP($U310,GCA!$H$3:$H$593,GCA!E$3:E$593,"",0,1))</f>
        <v>34453.72</v>
      </c>
      <c r="W310" s="3">
        <f>IF(_xlfn.XLOOKUP($U310,GCA!$H$3:$H$593,GCA!F$3:F$593,"",0,1)="","",_xlfn.XLOOKUP($U310,GCA!$H$3:$H$593,GCA!F$3:F$593,"",0,1))</f>
        <v>29698.19</v>
      </c>
      <c r="X310" s="3">
        <f>IF(_xlfn.XLOOKUP($U310,GCA!$H$3:$H$593,GCA!G$3:G$593,"",0,1)="","",_xlfn.XLOOKUP($U310,GCA!$H$3:$H$593,GCA!G$3:G$593,"",0,1))</f>
        <v>33203.019999999997</v>
      </c>
    </row>
    <row r="311" spans="1:24" ht="13.2">
      <c r="A311" s="49"/>
      <c r="B311" s="49"/>
      <c r="C311" s="48"/>
      <c r="D311" s="49"/>
      <c r="E311" s="57"/>
      <c r="F311" s="26" t="s">
        <v>1024</v>
      </c>
      <c r="G311" s="26" t="s">
        <v>793</v>
      </c>
      <c r="H311" s="27">
        <f t="shared" si="146"/>
        <v>7175.7</v>
      </c>
      <c r="I311" s="27">
        <f t="shared" si="146"/>
        <v>7472.4</v>
      </c>
      <c r="J311" s="27">
        <f t="shared" si="146"/>
        <v>7566.06</v>
      </c>
      <c r="K311" s="27">
        <f t="shared" si="147"/>
        <v>7404.72</v>
      </c>
      <c r="L311" s="74"/>
      <c r="M311" s="70">
        <f t="shared" si="148"/>
        <v>0</v>
      </c>
      <c r="N311" s="85" t="str">
        <f t="shared" si="133"/>
        <v/>
      </c>
      <c r="O311" s="74" t="str">
        <f t="shared" ref="O311:P312" si="151">N311</f>
        <v/>
      </c>
      <c r="P311" s="74" t="str">
        <f t="shared" si="151"/>
        <v/>
      </c>
      <c r="Q311" s="38"/>
      <c r="R311" s="3" t="str">
        <f t="shared" si="150"/>
        <v>Kallakurichi</v>
      </c>
      <c r="S311" s="3" t="str">
        <f t="shared" si="127"/>
        <v>Vaanaapuram</v>
      </c>
      <c r="T311" s="3" t="str">
        <f t="shared" si="127"/>
        <v>Sankarapuram</v>
      </c>
      <c r="U311" s="3" t="str">
        <f t="shared" si="143"/>
        <v>Kallakurichi_Vaanaapuram_Sankarapuram</v>
      </c>
      <c r="V311" s="3">
        <f>IF(_xlfn.XLOOKUP($U311,GCA!$H$3:$H$593,GCA!E$3:E$593,"",0,1)="","",_xlfn.XLOOKUP($U311,GCA!$H$3:$H$593,GCA!E$3:E$593,"",0,1))</f>
        <v>7175.7</v>
      </c>
      <c r="W311" s="3">
        <f>IF(_xlfn.XLOOKUP($U311,GCA!$H$3:$H$593,GCA!F$3:F$593,"",0,1)="","",_xlfn.XLOOKUP($U311,GCA!$H$3:$H$593,GCA!F$3:F$593,"",0,1))</f>
        <v>7472.4</v>
      </c>
      <c r="X311" s="3">
        <f>IF(_xlfn.XLOOKUP($U311,GCA!$H$3:$H$593,GCA!G$3:G$593,"",0,1)="","",_xlfn.XLOOKUP($U311,GCA!$H$3:$H$593,GCA!G$3:G$593,"",0,1))</f>
        <v>7566.06</v>
      </c>
    </row>
    <row r="312" spans="1:24" ht="13.2">
      <c r="A312" s="49"/>
      <c r="B312" s="49"/>
      <c r="C312" s="48"/>
      <c r="D312" s="49"/>
      <c r="E312" s="58"/>
      <c r="F312" s="26" t="s">
        <v>1024</v>
      </c>
      <c r="G312" s="26" t="s">
        <v>795</v>
      </c>
      <c r="H312" s="27">
        <f t="shared" si="146"/>
        <v>2003.7</v>
      </c>
      <c r="I312" s="27">
        <f t="shared" si="146"/>
        <v>1924.6</v>
      </c>
      <c r="J312" s="27">
        <f t="shared" si="146"/>
        <v>1886.47</v>
      </c>
      <c r="K312" s="27">
        <f t="shared" si="147"/>
        <v>1938.2566666666669</v>
      </c>
      <c r="L312" s="75"/>
      <c r="M312" s="71">
        <f t="shared" si="148"/>
        <v>0</v>
      </c>
      <c r="N312" s="86" t="str">
        <f t="shared" si="133"/>
        <v/>
      </c>
      <c r="O312" s="75" t="str">
        <f t="shared" si="151"/>
        <v/>
      </c>
      <c r="P312" s="75" t="str">
        <f t="shared" si="151"/>
        <v/>
      </c>
      <c r="Q312" s="38"/>
      <c r="R312" s="3" t="str">
        <f t="shared" si="150"/>
        <v>Kallakurichi</v>
      </c>
      <c r="S312" s="3" t="str">
        <f t="shared" si="127"/>
        <v>Vaanaapuram</v>
      </c>
      <c r="T312" s="3" t="str">
        <f t="shared" si="127"/>
        <v>Thiyagadurgam</v>
      </c>
      <c r="U312" s="3" t="str">
        <f t="shared" si="143"/>
        <v>Kallakurichi_Vaanaapuram_Thiyagadurgam</v>
      </c>
      <c r="V312" s="3">
        <f>IF(_xlfn.XLOOKUP($U312,GCA!$H$3:$H$593,GCA!E$3:E$593,"",0,1)="","",_xlfn.XLOOKUP($U312,GCA!$H$3:$H$593,GCA!E$3:E$593,"",0,1))</f>
        <v>2003.7</v>
      </c>
      <c r="W312" s="3">
        <f>IF(_xlfn.XLOOKUP($U312,GCA!$H$3:$H$593,GCA!F$3:F$593,"",0,1)="","",_xlfn.XLOOKUP($U312,GCA!$H$3:$H$593,GCA!F$3:F$593,"",0,1))</f>
        <v>1924.6</v>
      </c>
      <c r="X312" s="3">
        <f>IF(_xlfn.XLOOKUP($U312,GCA!$H$3:$H$593,GCA!G$3:G$593,"",0,1)="","",_xlfn.XLOOKUP($U312,GCA!$H$3:$H$593,GCA!G$3:G$593,"",0,1))</f>
        <v>1886.47</v>
      </c>
    </row>
    <row r="313" spans="1:24" ht="13.2">
      <c r="A313" s="49"/>
      <c r="B313" s="49"/>
      <c r="C313" s="48"/>
      <c r="D313" s="49"/>
      <c r="E313" s="47" t="s">
        <v>564</v>
      </c>
      <c r="F313" s="47"/>
      <c r="G313" s="47"/>
      <c r="H313" s="29">
        <f t="shared" ref="H313:P313" si="152">SUM(H295:H312)</f>
        <v>225571.49000000002</v>
      </c>
      <c r="I313" s="29">
        <f t="shared" si="152"/>
        <v>213736.40999999997</v>
      </c>
      <c r="J313" s="29">
        <f t="shared" si="152"/>
        <v>213239.19499999998</v>
      </c>
      <c r="K313" s="29">
        <f t="shared" si="152"/>
        <v>217515.69833333333</v>
      </c>
      <c r="L313" s="29">
        <f t="shared" si="152"/>
        <v>217515.69833333333</v>
      </c>
      <c r="M313" s="30">
        <f t="shared" si="152"/>
        <v>9.1300116439945853</v>
      </c>
      <c r="N313" s="31">
        <f t="shared" si="152"/>
        <v>9</v>
      </c>
      <c r="O313" s="31">
        <f t="shared" si="152"/>
        <v>9</v>
      </c>
      <c r="P313" s="31">
        <f t="shared" si="152"/>
        <v>9</v>
      </c>
      <c r="Q313" s="38"/>
      <c r="R313" s="3" t="str">
        <f t="shared" si="150"/>
        <v>Kallakurichi</v>
      </c>
      <c r="S313" s="3">
        <f t="shared" si="127"/>
        <v>0</v>
      </c>
      <c r="T313" s="3">
        <f t="shared" si="127"/>
        <v>0</v>
      </c>
      <c r="U313" s="3" t="str">
        <f t="shared" si="143"/>
        <v>Kallakurichi_0_0</v>
      </c>
      <c r="V313" s="3" t="str">
        <f>IF(_xlfn.XLOOKUP($U313,GCA!$H$3:$H$593,GCA!E$3:E$593,"",0,1)="","",_xlfn.XLOOKUP($U313,GCA!$H$3:$H$593,GCA!E$3:E$593,"",0,1))</f>
        <v/>
      </c>
      <c r="W313" s="3" t="str">
        <f>IF(_xlfn.XLOOKUP($U313,GCA!$H$3:$H$593,GCA!F$3:F$593,"",0,1)="","",_xlfn.XLOOKUP($U313,GCA!$H$3:$H$593,GCA!F$3:F$593,"",0,1))</f>
        <v/>
      </c>
      <c r="X313" s="3" t="str">
        <f>IF(_xlfn.XLOOKUP($U313,GCA!$H$3:$H$593,GCA!G$3:G$593,"",0,1)="","",_xlfn.XLOOKUP($U313,GCA!$H$3:$H$593,GCA!G$3:G$593,"",0,1))</f>
        <v/>
      </c>
    </row>
    <row r="314" spans="1:24" ht="13.2">
      <c r="A314" s="49"/>
      <c r="B314" s="49"/>
      <c r="C314" s="48" t="s">
        <v>516</v>
      </c>
      <c r="D314" s="49" t="s">
        <v>560</v>
      </c>
      <c r="E314" s="50">
        <v>1</v>
      </c>
      <c r="F314" s="26" t="s">
        <v>913</v>
      </c>
      <c r="G314" s="26" t="s">
        <v>913</v>
      </c>
      <c r="H314" s="27">
        <f t="shared" ref="H314:J320" si="153">V314</f>
        <v>30870.54</v>
      </c>
      <c r="I314" s="27">
        <f t="shared" si="153"/>
        <v>31146.071</v>
      </c>
      <c r="J314" s="27">
        <f t="shared" si="153"/>
        <v>31168.154999999999</v>
      </c>
      <c r="K314" s="27">
        <f t="shared" ref="K314:K320" si="154">IFERROR(AVERAGE(H314:J314),"")</f>
        <v>31061.588666666667</v>
      </c>
      <c r="L314" s="65">
        <f>SUM(K314:K315)</f>
        <v>73643.762000000002</v>
      </c>
      <c r="M314" s="67">
        <f t="shared" ref="M314:M320" si="155">L314*$L$643/$L$642</f>
        <v>3.0911258806580055</v>
      </c>
      <c r="N314" s="65">
        <f t="shared" ref="N314:N320" si="156">IF(M314&gt;=2, ROUND(M314,0), IF(M314&gt;1.1,2,""))</f>
        <v>3</v>
      </c>
      <c r="O314" s="65">
        <f t="shared" ref="O314:P320" si="157">N314</f>
        <v>3</v>
      </c>
      <c r="P314" s="65">
        <f t="shared" si="157"/>
        <v>3</v>
      </c>
      <c r="Q314" s="38"/>
      <c r="R314" s="3" t="str">
        <f t="shared" ref="R314" si="158">C314</f>
        <v>Mayiladuthurai</v>
      </c>
      <c r="S314" s="3" t="str">
        <f t="shared" si="127"/>
        <v>Kuttalam</v>
      </c>
      <c r="T314" s="3" t="str">
        <f t="shared" si="127"/>
        <v>Kuttalam</v>
      </c>
      <c r="U314" s="3" t="str">
        <f t="shared" si="143"/>
        <v>Mayiladuthurai_Kuttalam_Kuttalam</v>
      </c>
      <c r="V314" s="3">
        <f>IF(_xlfn.XLOOKUP($U314,GCA!$H$3:$H$593,GCA!E$3:E$593,"",0,1)="","",_xlfn.XLOOKUP($U314,GCA!$H$3:$H$593,GCA!E$3:E$593,"",0,1))</f>
        <v>30870.54</v>
      </c>
      <c r="W314" s="3">
        <f>IF(_xlfn.XLOOKUP($U314,GCA!$H$3:$H$593,GCA!F$3:F$593,"",0,1)="","",_xlfn.XLOOKUP($U314,GCA!$H$3:$H$593,GCA!F$3:F$593,"",0,1))</f>
        <v>31146.071</v>
      </c>
      <c r="X314" s="3">
        <f>IF(_xlfn.XLOOKUP($U314,GCA!$H$3:$H$593,GCA!G$3:G$593,"",0,1)="","",_xlfn.XLOOKUP($U314,GCA!$H$3:$H$593,GCA!G$3:G$593,"",0,1))</f>
        <v>31168.154999999999</v>
      </c>
    </row>
    <row r="315" spans="1:24" ht="13.2">
      <c r="A315" s="49"/>
      <c r="B315" s="49"/>
      <c r="C315" s="48"/>
      <c r="D315" s="49"/>
      <c r="E315" s="50"/>
      <c r="F315" s="26" t="s">
        <v>516</v>
      </c>
      <c r="G315" s="26" t="s">
        <v>516</v>
      </c>
      <c r="H315" s="27">
        <f t="shared" si="153"/>
        <v>42700.705000000002</v>
      </c>
      <c r="I315" s="27">
        <f t="shared" si="153"/>
        <v>42398.735000000001</v>
      </c>
      <c r="J315" s="27">
        <f t="shared" si="153"/>
        <v>42647.08</v>
      </c>
      <c r="K315" s="27">
        <f t="shared" si="154"/>
        <v>42582.173333333332</v>
      </c>
      <c r="L315" s="65"/>
      <c r="M315" s="67">
        <f t="shared" si="155"/>
        <v>0</v>
      </c>
      <c r="N315" s="65" t="str">
        <f t="shared" si="156"/>
        <v/>
      </c>
      <c r="O315" s="65" t="str">
        <f t="shared" si="157"/>
        <v/>
      </c>
      <c r="P315" s="65" t="str">
        <f t="shared" si="157"/>
        <v/>
      </c>
      <c r="Q315" s="38"/>
      <c r="R315" s="3" t="str">
        <f t="shared" ref="R315:R321" si="159">R314</f>
        <v>Mayiladuthurai</v>
      </c>
      <c r="S315" s="3" t="str">
        <f t="shared" si="127"/>
        <v>Mayiladuthurai</v>
      </c>
      <c r="T315" s="3" t="str">
        <f t="shared" si="127"/>
        <v>Mayiladuthurai</v>
      </c>
      <c r="U315" s="3" t="str">
        <f t="shared" si="143"/>
        <v>Mayiladuthurai_Mayiladuthurai_Mayiladuthurai</v>
      </c>
      <c r="V315" s="3">
        <f>IF(_xlfn.XLOOKUP($U315,GCA!$H$3:$H$593,GCA!E$3:E$593,"",0,1)="","",_xlfn.XLOOKUP($U315,GCA!$H$3:$H$593,GCA!E$3:E$593,"",0,1))</f>
        <v>42700.705000000002</v>
      </c>
      <c r="W315" s="3">
        <f>IF(_xlfn.XLOOKUP($U315,GCA!$H$3:$H$593,GCA!F$3:F$593,"",0,1)="","",_xlfn.XLOOKUP($U315,GCA!$H$3:$H$593,GCA!F$3:F$593,"",0,1))</f>
        <v>42398.735000000001</v>
      </c>
      <c r="X315" s="3">
        <f>IF(_xlfn.XLOOKUP($U315,GCA!$H$3:$H$593,GCA!G$3:G$593,"",0,1)="","",_xlfn.XLOOKUP($U315,GCA!$H$3:$H$593,GCA!G$3:G$593,"",0,1))</f>
        <v>42647.08</v>
      </c>
    </row>
    <row r="316" spans="1:24" ht="13.2">
      <c r="A316" s="49"/>
      <c r="B316" s="49"/>
      <c r="C316" s="48"/>
      <c r="D316" s="49"/>
      <c r="E316" s="50">
        <v>2</v>
      </c>
      <c r="F316" s="26" t="s">
        <v>914</v>
      </c>
      <c r="G316" s="26" t="s">
        <v>915</v>
      </c>
      <c r="H316" s="27">
        <f t="shared" si="153"/>
        <v>25586.044999999998</v>
      </c>
      <c r="I316" s="27">
        <f t="shared" si="153"/>
        <v>24629</v>
      </c>
      <c r="J316" s="27">
        <f t="shared" si="153"/>
        <v>25551.718000000001</v>
      </c>
      <c r="K316" s="27">
        <f t="shared" si="154"/>
        <v>25255.58766666667</v>
      </c>
      <c r="L316" s="65">
        <f>SUM(K316:K318)</f>
        <v>55156.886000000006</v>
      </c>
      <c r="M316" s="67">
        <f t="shared" si="155"/>
        <v>2.3151570911206738</v>
      </c>
      <c r="N316" s="65">
        <f t="shared" si="156"/>
        <v>2</v>
      </c>
      <c r="O316" s="65">
        <f t="shared" si="157"/>
        <v>2</v>
      </c>
      <c r="P316" s="65">
        <f t="shared" si="157"/>
        <v>2</v>
      </c>
      <c r="Q316" s="38"/>
      <c r="R316" s="3" t="str">
        <f t="shared" si="159"/>
        <v>Mayiladuthurai</v>
      </c>
      <c r="S316" s="3" t="str">
        <f t="shared" si="127"/>
        <v>Sirkali</v>
      </c>
      <c r="T316" s="3" t="str">
        <f t="shared" si="127"/>
        <v>Kollidam</v>
      </c>
      <c r="U316" s="3" t="str">
        <f t="shared" si="143"/>
        <v>Mayiladuthurai_Sirkali_Kollidam</v>
      </c>
      <c r="V316" s="3">
        <f>IF(_xlfn.XLOOKUP($U316,GCA!$H$3:$H$593,GCA!E$3:E$593,"",0,1)="","",_xlfn.XLOOKUP($U316,GCA!$H$3:$H$593,GCA!E$3:E$593,"",0,1))</f>
        <v>25586.044999999998</v>
      </c>
      <c r="W316" s="3">
        <f>IF(_xlfn.XLOOKUP($U316,GCA!$H$3:$H$593,GCA!F$3:F$593,"",0,1)="","",_xlfn.XLOOKUP($U316,GCA!$H$3:$H$593,GCA!F$3:F$593,"",0,1))</f>
        <v>24629</v>
      </c>
      <c r="X316" s="3">
        <f>IF(_xlfn.XLOOKUP($U316,GCA!$H$3:$H$593,GCA!G$3:G$593,"",0,1)="","",_xlfn.XLOOKUP($U316,GCA!$H$3:$H$593,GCA!G$3:G$593,"",0,1))</f>
        <v>25551.718000000001</v>
      </c>
    </row>
    <row r="317" spans="1:24" ht="13.2">
      <c r="A317" s="49"/>
      <c r="B317" s="49"/>
      <c r="C317" s="48"/>
      <c r="D317" s="49"/>
      <c r="E317" s="50"/>
      <c r="F317" s="26" t="s">
        <v>914</v>
      </c>
      <c r="G317" s="26" t="s">
        <v>916</v>
      </c>
      <c r="H317" s="27">
        <f t="shared" si="153"/>
        <v>4198.1099999999997</v>
      </c>
      <c r="I317" s="27">
        <f t="shared" si="153"/>
        <v>4038.5450000000001</v>
      </c>
      <c r="J317" s="27">
        <f t="shared" si="153"/>
        <v>3978.105</v>
      </c>
      <c r="K317" s="27">
        <f t="shared" si="154"/>
        <v>4071.5866666666661</v>
      </c>
      <c r="L317" s="65"/>
      <c r="M317" s="67">
        <f t="shared" si="155"/>
        <v>0</v>
      </c>
      <c r="N317" s="65" t="str">
        <f t="shared" si="156"/>
        <v/>
      </c>
      <c r="O317" s="65" t="str">
        <f t="shared" si="157"/>
        <v/>
      </c>
      <c r="P317" s="65" t="str">
        <f t="shared" si="157"/>
        <v/>
      </c>
      <c r="Q317" s="38"/>
      <c r="R317" s="3" t="str">
        <f t="shared" si="159"/>
        <v>Mayiladuthurai</v>
      </c>
      <c r="S317" s="3" t="str">
        <f t="shared" si="127"/>
        <v>Sirkali</v>
      </c>
      <c r="T317" s="3" t="str">
        <f t="shared" si="127"/>
        <v>Sembanarkoil</v>
      </c>
      <c r="U317" s="3" t="str">
        <f t="shared" si="143"/>
        <v>Mayiladuthurai_Sirkali_Sembanarkoil</v>
      </c>
      <c r="V317" s="3">
        <f>IF(_xlfn.XLOOKUP($U317,GCA!$H$3:$H$593,GCA!E$3:E$593,"",0,1)="","",_xlfn.XLOOKUP($U317,GCA!$H$3:$H$593,GCA!E$3:E$593,"",0,1))</f>
        <v>4198.1099999999997</v>
      </c>
      <c r="W317" s="3">
        <f>IF(_xlfn.XLOOKUP($U317,GCA!$H$3:$H$593,GCA!F$3:F$593,"",0,1)="","",_xlfn.XLOOKUP($U317,GCA!$H$3:$H$593,GCA!F$3:F$593,"",0,1))</f>
        <v>4038.5450000000001</v>
      </c>
      <c r="X317" s="3">
        <f>IF(_xlfn.XLOOKUP($U317,GCA!$H$3:$H$593,GCA!G$3:G$593,"",0,1)="","",_xlfn.XLOOKUP($U317,GCA!$H$3:$H$593,GCA!G$3:G$593,"",0,1))</f>
        <v>3978.105</v>
      </c>
    </row>
    <row r="318" spans="1:24" ht="13.2">
      <c r="A318" s="49"/>
      <c r="B318" s="49"/>
      <c r="C318" s="48"/>
      <c r="D318" s="49"/>
      <c r="E318" s="50"/>
      <c r="F318" s="26" t="s">
        <v>914</v>
      </c>
      <c r="G318" s="26" t="s">
        <v>914</v>
      </c>
      <c r="H318" s="27">
        <f t="shared" si="153"/>
        <v>26360.935000000001</v>
      </c>
      <c r="I318" s="27">
        <f t="shared" si="153"/>
        <v>25334.93</v>
      </c>
      <c r="J318" s="27">
        <f t="shared" si="153"/>
        <v>25793.27</v>
      </c>
      <c r="K318" s="27">
        <f t="shared" si="154"/>
        <v>25829.71166666667</v>
      </c>
      <c r="L318" s="65"/>
      <c r="M318" s="67">
        <f t="shared" si="155"/>
        <v>0</v>
      </c>
      <c r="N318" s="65" t="str">
        <f t="shared" si="156"/>
        <v/>
      </c>
      <c r="O318" s="65" t="str">
        <f t="shared" si="157"/>
        <v/>
      </c>
      <c r="P318" s="65" t="str">
        <f t="shared" si="157"/>
        <v/>
      </c>
      <c r="Q318" s="38"/>
      <c r="R318" s="3" t="str">
        <f t="shared" si="159"/>
        <v>Mayiladuthurai</v>
      </c>
      <c r="S318" s="3" t="str">
        <f t="shared" si="127"/>
        <v>Sirkali</v>
      </c>
      <c r="T318" s="3" t="str">
        <f t="shared" si="127"/>
        <v>Sirkali</v>
      </c>
      <c r="U318" s="3" t="str">
        <f t="shared" si="143"/>
        <v>Mayiladuthurai_Sirkali_Sirkali</v>
      </c>
      <c r="V318" s="3">
        <f>IF(_xlfn.XLOOKUP($U318,GCA!$H$3:$H$593,GCA!E$3:E$593,"",0,1)="","",_xlfn.XLOOKUP($U318,GCA!$H$3:$H$593,GCA!E$3:E$593,"",0,1))</f>
        <v>26360.935000000001</v>
      </c>
      <c r="W318" s="3">
        <f>IF(_xlfn.XLOOKUP($U318,GCA!$H$3:$H$593,GCA!F$3:F$593,"",0,1)="","",_xlfn.XLOOKUP($U318,GCA!$H$3:$H$593,GCA!F$3:F$593,"",0,1))</f>
        <v>25334.93</v>
      </c>
      <c r="X318" s="3">
        <f>IF(_xlfn.XLOOKUP($U318,GCA!$H$3:$H$593,GCA!G$3:G$593,"",0,1)="","",_xlfn.XLOOKUP($U318,GCA!$H$3:$H$593,GCA!G$3:G$593,"",0,1))</f>
        <v>25793.27</v>
      </c>
    </row>
    <row r="319" spans="1:24" ht="13.2">
      <c r="A319" s="49"/>
      <c r="B319" s="49"/>
      <c r="C319" s="48"/>
      <c r="D319" s="49"/>
      <c r="E319" s="50">
        <v>3</v>
      </c>
      <c r="F319" s="26" t="s">
        <v>917</v>
      </c>
      <c r="G319" s="26" t="s">
        <v>913</v>
      </c>
      <c r="H319" s="27">
        <f t="shared" si="153"/>
        <v>5348.82</v>
      </c>
      <c r="I319" s="27">
        <f t="shared" si="153"/>
        <v>5472.14</v>
      </c>
      <c r="J319" s="27">
        <f t="shared" si="153"/>
        <v>5524.71</v>
      </c>
      <c r="K319" s="27">
        <f t="shared" si="154"/>
        <v>5448.5566666666664</v>
      </c>
      <c r="L319" s="65">
        <f>SUM(K319:K320)</f>
        <v>39249.97</v>
      </c>
      <c r="M319" s="67">
        <f t="shared" si="155"/>
        <v>1.6474796342160021</v>
      </c>
      <c r="N319" s="65">
        <f t="shared" si="156"/>
        <v>2</v>
      </c>
      <c r="O319" s="65">
        <f t="shared" si="157"/>
        <v>2</v>
      </c>
      <c r="P319" s="65">
        <f t="shared" si="157"/>
        <v>2</v>
      </c>
      <c r="Q319" s="38"/>
      <c r="R319" s="3" t="str">
        <f t="shared" si="159"/>
        <v>Mayiladuthurai</v>
      </c>
      <c r="S319" s="3" t="str">
        <f t="shared" si="127"/>
        <v>Tharangambadi</v>
      </c>
      <c r="T319" s="3" t="str">
        <f t="shared" si="127"/>
        <v>Kuttalam</v>
      </c>
      <c r="U319" s="3" t="str">
        <f t="shared" si="143"/>
        <v>Mayiladuthurai_Tharangambadi_Kuttalam</v>
      </c>
      <c r="V319" s="3">
        <f>IF(_xlfn.XLOOKUP($U319,GCA!$H$3:$H$593,GCA!E$3:E$593,"",0,1)="","",_xlfn.XLOOKUP($U319,GCA!$H$3:$H$593,GCA!E$3:E$593,"",0,1))</f>
        <v>5348.82</v>
      </c>
      <c r="W319" s="3">
        <f>IF(_xlfn.XLOOKUP($U319,GCA!$H$3:$H$593,GCA!F$3:F$593,"",0,1)="","",_xlfn.XLOOKUP($U319,GCA!$H$3:$H$593,GCA!F$3:F$593,"",0,1))</f>
        <v>5472.14</v>
      </c>
      <c r="X319" s="3">
        <f>IF(_xlfn.XLOOKUP($U319,GCA!$H$3:$H$593,GCA!G$3:G$593,"",0,1)="","",_xlfn.XLOOKUP($U319,GCA!$H$3:$H$593,GCA!G$3:G$593,"",0,1))</f>
        <v>5524.71</v>
      </c>
    </row>
    <row r="320" spans="1:24" ht="13.2">
      <c r="A320" s="49"/>
      <c r="B320" s="49"/>
      <c r="C320" s="48"/>
      <c r="D320" s="49"/>
      <c r="E320" s="50"/>
      <c r="F320" s="26" t="s">
        <v>917</v>
      </c>
      <c r="G320" s="26" t="s">
        <v>916</v>
      </c>
      <c r="H320" s="27">
        <f t="shared" si="153"/>
        <v>33952.910000000003</v>
      </c>
      <c r="I320" s="27">
        <f t="shared" si="153"/>
        <v>33790.445</v>
      </c>
      <c r="J320" s="27">
        <f t="shared" si="153"/>
        <v>33660.885000000002</v>
      </c>
      <c r="K320" s="27">
        <f t="shared" si="154"/>
        <v>33801.413333333338</v>
      </c>
      <c r="L320" s="65"/>
      <c r="M320" s="67">
        <f t="shared" si="155"/>
        <v>0</v>
      </c>
      <c r="N320" s="65" t="str">
        <f t="shared" si="156"/>
        <v/>
      </c>
      <c r="O320" s="65" t="str">
        <f t="shared" si="157"/>
        <v/>
      </c>
      <c r="P320" s="65" t="str">
        <f t="shared" si="157"/>
        <v/>
      </c>
      <c r="Q320" s="38"/>
      <c r="R320" s="3" t="str">
        <f t="shared" si="159"/>
        <v>Mayiladuthurai</v>
      </c>
      <c r="S320" s="3" t="str">
        <f t="shared" si="127"/>
        <v>Tharangambadi</v>
      </c>
      <c r="T320" s="3" t="str">
        <f t="shared" si="127"/>
        <v>Sembanarkoil</v>
      </c>
      <c r="U320" s="3" t="str">
        <f t="shared" si="143"/>
        <v>Mayiladuthurai_Tharangambadi_Sembanarkoil</v>
      </c>
      <c r="V320" s="3">
        <f>IF(_xlfn.XLOOKUP($U320,GCA!$H$3:$H$593,GCA!E$3:E$593,"",0,1)="","",_xlfn.XLOOKUP($U320,GCA!$H$3:$H$593,GCA!E$3:E$593,"",0,1))</f>
        <v>33952.910000000003</v>
      </c>
      <c r="W320" s="3">
        <f>IF(_xlfn.XLOOKUP($U320,GCA!$H$3:$H$593,GCA!F$3:F$593,"",0,1)="","",_xlfn.XLOOKUP($U320,GCA!$H$3:$H$593,GCA!F$3:F$593,"",0,1))</f>
        <v>33790.445</v>
      </c>
      <c r="X320" s="3">
        <f>IF(_xlfn.XLOOKUP($U320,GCA!$H$3:$H$593,GCA!G$3:G$593,"",0,1)="","",_xlfn.XLOOKUP($U320,GCA!$H$3:$H$593,GCA!G$3:G$593,"",0,1))</f>
        <v>33660.885000000002</v>
      </c>
    </row>
    <row r="321" spans="1:24" ht="13.2">
      <c r="A321" s="49"/>
      <c r="B321" s="49"/>
      <c r="C321" s="48"/>
      <c r="D321" s="49"/>
      <c r="E321" s="47" t="s">
        <v>564</v>
      </c>
      <c r="F321" s="47"/>
      <c r="G321" s="47"/>
      <c r="H321" s="29">
        <f t="shared" ref="H321:P321" si="160">SUM(H314:H320)</f>
        <v>169018.065</v>
      </c>
      <c r="I321" s="29">
        <f t="shared" si="160"/>
        <v>166809.86600000001</v>
      </c>
      <c r="J321" s="29">
        <f t="shared" si="160"/>
        <v>168323.92300000001</v>
      </c>
      <c r="K321" s="29">
        <f t="shared" si="160"/>
        <v>168050.61800000002</v>
      </c>
      <c r="L321" s="29">
        <f t="shared" si="160"/>
        <v>168050.61800000002</v>
      </c>
      <c r="M321" s="30">
        <f t="shared" si="160"/>
        <v>7.0537626059946819</v>
      </c>
      <c r="N321" s="31">
        <f t="shared" si="160"/>
        <v>7</v>
      </c>
      <c r="O321" s="31">
        <f t="shared" si="160"/>
        <v>7</v>
      </c>
      <c r="P321" s="31">
        <f t="shared" si="160"/>
        <v>7</v>
      </c>
      <c r="Q321" s="38"/>
      <c r="R321" s="3" t="str">
        <f t="shared" si="159"/>
        <v>Mayiladuthurai</v>
      </c>
      <c r="S321" s="3">
        <f t="shared" si="127"/>
        <v>0</v>
      </c>
      <c r="T321" s="3">
        <f t="shared" si="127"/>
        <v>0</v>
      </c>
      <c r="U321" s="3" t="str">
        <f t="shared" si="143"/>
        <v>Mayiladuthurai_0_0</v>
      </c>
      <c r="V321" s="3" t="str">
        <f>IF(_xlfn.XLOOKUP($U321,GCA!$H$3:$H$593,GCA!E$3:E$593,"",0,1)="","",_xlfn.XLOOKUP($U321,GCA!$H$3:$H$593,GCA!E$3:E$593,"",0,1))</f>
        <v/>
      </c>
      <c r="W321" s="3" t="str">
        <f>IF(_xlfn.XLOOKUP($U321,GCA!$H$3:$H$593,GCA!F$3:F$593,"",0,1)="","",_xlfn.XLOOKUP($U321,GCA!$H$3:$H$593,GCA!F$3:F$593,"",0,1))</f>
        <v/>
      </c>
      <c r="X321" s="3" t="str">
        <f>IF(_xlfn.XLOOKUP($U321,GCA!$H$3:$H$593,GCA!G$3:G$593,"",0,1)="","",_xlfn.XLOOKUP($U321,GCA!$H$3:$H$593,GCA!G$3:G$593,"",0,1))</f>
        <v/>
      </c>
    </row>
    <row r="322" spans="1:24" ht="13.2">
      <c r="A322" s="49"/>
      <c r="B322" s="49"/>
      <c r="C322" s="54" t="s">
        <v>521</v>
      </c>
      <c r="D322" s="54"/>
      <c r="E322" s="54"/>
      <c r="F322" s="54"/>
      <c r="G322" s="54"/>
      <c r="H322" s="32">
        <f>SUM(H313,H294,H272,H321)</f>
        <v>949205.625</v>
      </c>
      <c r="I322" s="32">
        <f t="shared" ref="I322:P322" si="161">SUM(I313,I294,I272,I321)</f>
        <v>916940.446</v>
      </c>
      <c r="J322" s="32">
        <f t="shared" si="161"/>
        <v>928178.30300000007</v>
      </c>
      <c r="K322" s="32">
        <f t="shared" si="161"/>
        <v>931441.4580000001</v>
      </c>
      <c r="L322" s="32">
        <f t="shared" si="161"/>
        <v>931441.45799999998</v>
      </c>
      <c r="M322" s="46">
        <f t="shared" si="161"/>
        <v>39.09635682573667</v>
      </c>
      <c r="N322" s="32">
        <f t="shared" si="161"/>
        <v>39</v>
      </c>
      <c r="O322" s="32">
        <f t="shared" si="161"/>
        <v>39</v>
      </c>
      <c r="P322" s="32">
        <f t="shared" si="161"/>
        <v>39</v>
      </c>
      <c r="Q322" s="38"/>
      <c r="R322" s="3" t="str">
        <f t="shared" si="129"/>
        <v>SRO TOTAL</v>
      </c>
      <c r="S322" s="3">
        <f t="shared" si="127"/>
        <v>0</v>
      </c>
      <c r="T322" s="3">
        <f t="shared" si="127"/>
        <v>0</v>
      </c>
      <c r="U322" s="3" t="str">
        <f t="shared" si="143"/>
        <v>SRO TOTAL_0_0</v>
      </c>
      <c r="V322" s="3" t="str">
        <f>IF(_xlfn.XLOOKUP($U322,GCA!$H$3:$H$593,GCA!E$3:E$593,"",0,1)="","",_xlfn.XLOOKUP($U322,GCA!$H$3:$H$593,GCA!E$3:E$593,"",0,1))</f>
        <v/>
      </c>
      <c r="W322" s="3" t="str">
        <f>IF(_xlfn.XLOOKUP($U322,GCA!$H$3:$H$593,GCA!F$3:F$593,"",0,1)="","",_xlfn.XLOOKUP($U322,GCA!$H$3:$H$593,GCA!F$3:F$593,"",0,1))</f>
        <v/>
      </c>
      <c r="X322" s="3" t="str">
        <f>IF(_xlfn.XLOOKUP($U322,GCA!$H$3:$H$593,GCA!G$3:G$593,"",0,1)="","",_xlfn.XLOOKUP($U322,GCA!$H$3:$H$593,GCA!G$3:G$593,"",0,1))</f>
        <v/>
      </c>
    </row>
    <row r="323" spans="1:24" ht="13.2">
      <c r="A323" s="49"/>
      <c r="B323" s="49" t="s">
        <v>226</v>
      </c>
      <c r="C323" s="48" t="s">
        <v>226</v>
      </c>
      <c r="D323" s="49" t="s">
        <v>539</v>
      </c>
      <c r="E323" s="50">
        <v>1</v>
      </c>
      <c r="F323" s="26" t="s">
        <v>799</v>
      </c>
      <c r="G323" s="26" t="s">
        <v>799</v>
      </c>
      <c r="H323" s="27">
        <f t="shared" ref="H323:J331" si="162">V323</f>
        <v>15134.475</v>
      </c>
      <c r="I323" s="27">
        <f t="shared" si="162"/>
        <v>14323.19</v>
      </c>
      <c r="J323" s="27">
        <f t="shared" si="162"/>
        <v>14227.21</v>
      </c>
      <c r="K323" s="27">
        <f t="shared" ref="K323:K331" si="163">IFERROR(AVERAGE(H323:J323),"")</f>
        <v>14561.625</v>
      </c>
      <c r="L323" s="65">
        <f>SUM(K323:K331)</f>
        <v>65825.551666666666</v>
      </c>
      <c r="M323" s="67">
        <f t="shared" ref="M323:M331" si="164">L323*$L$643/$L$642</f>
        <v>2.7629640425678423</v>
      </c>
      <c r="N323" s="65">
        <f t="shared" ref="N323:N386" si="165">IF(M323&gt;=2, ROUND(M323,0), IF(M323&gt;1.1,2,""))</f>
        <v>3</v>
      </c>
      <c r="O323" s="65">
        <f t="shared" ref="O323:P331" si="166">N323</f>
        <v>3</v>
      </c>
      <c r="P323" s="65">
        <f t="shared" si="166"/>
        <v>3</v>
      </c>
      <c r="Q323" s="38"/>
      <c r="R323" s="3" t="str">
        <f t="shared" si="129"/>
        <v>Vellore</v>
      </c>
      <c r="S323" s="3" t="str">
        <f t="shared" si="127"/>
        <v>Anaicut</v>
      </c>
      <c r="T323" s="3" t="str">
        <f t="shared" si="127"/>
        <v>Anaicut</v>
      </c>
      <c r="U323" s="3" t="str">
        <f t="shared" si="143"/>
        <v>Vellore_Anaicut_Anaicut</v>
      </c>
      <c r="V323" s="3">
        <f>IF(_xlfn.XLOOKUP($U323,GCA!$H$3:$H$593,GCA!E$3:E$593,"",0,1)="","",_xlfn.XLOOKUP($U323,GCA!$H$3:$H$593,GCA!E$3:E$593,"",0,1))</f>
        <v>15134.475</v>
      </c>
      <c r="W323" s="3">
        <f>IF(_xlfn.XLOOKUP($U323,GCA!$H$3:$H$593,GCA!F$3:F$593,"",0,1)="","",_xlfn.XLOOKUP($U323,GCA!$H$3:$H$593,GCA!F$3:F$593,"",0,1))</f>
        <v>14323.19</v>
      </c>
      <c r="X323" s="3">
        <f>IF(_xlfn.XLOOKUP($U323,GCA!$H$3:$H$593,GCA!G$3:G$593,"",0,1)="","",_xlfn.XLOOKUP($U323,GCA!$H$3:$H$593,GCA!G$3:G$593,"",0,1))</f>
        <v>14227.21</v>
      </c>
    </row>
    <row r="324" spans="1:24" ht="13.2">
      <c r="A324" s="49"/>
      <c r="B324" s="49"/>
      <c r="C324" s="48"/>
      <c r="D324" s="49"/>
      <c r="E324" s="50"/>
      <c r="F324" s="26" t="s">
        <v>799</v>
      </c>
      <c r="G324" s="26" t="s">
        <v>226</v>
      </c>
      <c r="H324" s="27">
        <f t="shared" si="162"/>
        <v>2478.8000000000002</v>
      </c>
      <c r="I324" s="27">
        <f t="shared" si="162"/>
        <v>2406.54</v>
      </c>
      <c r="J324" s="27">
        <f t="shared" si="162"/>
        <v>2584.73</v>
      </c>
      <c r="K324" s="27">
        <f t="shared" si="163"/>
        <v>2490.0233333333331</v>
      </c>
      <c r="L324" s="65"/>
      <c r="M324" s="67">
        <f t="shared" si="164"/>
        <v>0</v>
      </c>
      <c r="N324" s="65" t="str">
        <f t="shared" si="165"/>
        <v/>
      </c>
      <c r="O324" s="65" t="str">
        <f t="shared" si="166"/>
        <v/>
      </c>
      <c r="P324" s="65" t="str">
        <f t="shared" si="166"/>
        <v/>
      </c>
      <c r="Q324" s="38"/>
      <c r="R324" s="3" t="str">
        <f t="shared" ref="R324:R332" si="167">R323</f>
        <v>Vellore</v>
      </c>
      <c r="S324" s="3" t="str">
        <f t="shared" ref="S324:T376" si="168">F324</f>
        <v>Anaicut</v>
      </c>
      <c r="T324" s="3" t="str">
        <f t="shared" si="168"/>
        <v>Vellore</v>
      </c>
      <c r="U324" s="3" t="str">
        <f t="shared" si="143"/>
        <v>Vellore_Anaicut_Vellore</v>
      </c>
      <c r="V324" s="3">
        <f>IF(_xlfn.XLOOKUP($U324,GCA!$H$3:$H$593,GCA!E$3:E$593,"",0,1)="","",_xlfn.XLOOKUP($U324,GCA!$H$3:$H$593,GCA!E$3:E$593,"",0,1))</f>
        <v>2478.8000000000002</v>
      </c>
      <c r="W324" s="3">
        <f>IF(_xlfn.XLOOKUP($U324,GCA!$H$3:$H$593,GCA!F$3:F$593,"",0,1)="","",_xlfn.XLOOKUP($U324,GCA!$H$3:$H$593,GCA!F$3:F$593,"",0,1))</f>
        <v>2406.54</v>
      </c>
      <c r="X324" s="3">
        <f>IF(_xlfn.XLOOKUP($U324,GCA!$H$3:$H$593,GCA!G$3:G$593,"",0,1)="","",_xlfn.XLOOKUP($U324,GCA!$H$3:$H$593,GCA!G$3:G$593,"",0,1))</f>
        <v>2584.73</v>
      </c>
    </row>
    <row r="325" spans="1:24" ht="13.2">
      <c r="A325" s="49"/>
      <c r="B325" s="49"/>
      <c r="C325" s="48"/>
      <c r="D325" s="49"/>
      <c r="E325" s="50"/>
      <c r="F325" s="26" t="s">
        <v>800</v>
      </c>
      <c r="G325" s="26" t="s">
        <v>800</v>
      </c>
      <c r="H325" s="27">
        <f t="shared" si="162"/>
        <v>14763.13</v>
      </c>
      <c r="I325" s="27">
        <f t="shared" si="162"/>
        <v>14422.665000000001</v>
      </c>
      <c r="J325" s="27">
        <f t="shared" si="162"/>
        <v>14406.33</v>
      </c>
      <c r="K325" s="27">
        <f t="shared" si="163"/>
        <v>14530.708333333334</v>
      </c>
      <c r="L325" s="65"/>
      <c r="M325" s="67">
        <f t="shared" si="164"/>
        <v>0</v>
      </c>
      <c r="N325" s="65" t="str">
        <f t="shared" si="165"/>
        <v/>
      </c>
      <c r="O325" s="65" t="str">
        <f t="shared" si="166"/>
        <v/>
      </c>
      <c r="P325" s="65" t="str">
        <f t="shared" si="166"/>
        <v/>
      </c>
      <c r="Q325" s="38"/>
      <c r="R325" s="3" t="str">
        <f t="shared" si="167"/>
        <v>Vellore</v>
      </c>
      <c r="S325" s="3" t="str">
        <f t="shared" si="168"/>
        <v>Gudiyatham</v>
      </c>
      <c r="T325" s="3" t="str">
        <f t="shared" si="168"/>
        <v>Gudiyatham</v>
      </c>
      <c r="U325" s="3" t="str">
        <f t="shared" si="143"/>
        <v>Vellore_Gudiyatham_Gudiyatham</v>
      </c>
      <c r="V325" s="3">
        <f>IF(_xlfn.XLOOKUP($U325,GCA!$H$3:$H$593,GCA!E$3:E$593,"",0,1)="","",_xlfn.XLOOKUP($U325,GCA!$H$3:$H$593,GCA!E$3:E$593,"",0,1))</f>
        <v>14763.13</v>
      </c>
      <c r="W325" s="3">
        <f>IF(_xlfn.XLOOKUP($U325,GCA!$H$3:$H$593,GCA!F$3:F$593,"",0,1)="","",_xlfn.XLOOKUP($U325,GCA!$H$3:$H$593,GCA!F$3:F$593,"",0,1))</f>
        <v>14422.665000000001</v>
      </c>
      <c r="X325" s="3">
        <f>IF(_xlfn.XLOOKUP($U325,GCA!$H$3:$H$593,GCA!G$3:G$593,"",0,1)="","",_xlfn.XLOOKUP($U325,GCA!$H$3:$H$593,GCA!G$3:G$593,"",0,1))</f>
        <v>14406.33</v>
      </c>
    </row>
    <row r="326" spans="1:24" ht="13.2">
      <c r="A326" s="49"/>
      <c r="B326" s="49"/>
      <c r="C326" s="48"/>
      <c r="D326" s="49"/>
      <c r="E326" s="50"/>
      <c r="F326" s="26" t="s">
        <v>800</v>
      </c>
      <c r="G326" s="26" t="s">
        <v>801</v>
      </c>
      <c r="H326" s="27">
        <f t="shared" si="162"/>
        <v>456.57</v>
      </c>
      <c r="I326" s="27">
        <f t="shared" si="162"/>
        <v>411.9</v>
      </c>
      <c r="J326" s="27">
        <f t="shared" si="162"/>
        <v>442.03</v>
      </c>
      <c r="K326" s="27">
        <f t="shared" si="163"/>
        <v>436.83333333333331</v>
      </c>
      <c r="L326" s="65"/>
      <c r="M326" s="67">
        <f t="shared" si="164"/>
        <v>0</v>
      </c>
      <c r="N326" s="65" t="str">
        <f t="shared" si="165"/>
        <v/>
      </c>
      <c r="O326" s="65" t="str">
        <f t="shared" si="166"/>
        <v/>
      </c>
      <c r="P326" s="65" t="str">
        <f t="shared" si="166"/>
        <v/>
      </c>
      <c r="Q326" s="38"/>
      <c r="R326" s="3" t="str">
        <f t="shared" si="167"/>
        <v>Vellore</v>
      </c>
      <c r="S326" s="3" t="str">
        <f t="shared" si="168"/>
        <v>Gudiyatham</v>
      </c>
      <c r="T326" s="3" t="str">
        <f t="shared" si="168"/>
        <v>K.V.Kuppam</v>
      </c>
      <c r="U326" s="3" t="str">
        <f t="shared" si="143"/>
        <v>Vellore_Gudiyatham_K.V.Kuppam</v>
      </c>
      <c r="V326" s="3">
        <f>IF(_xlfn.XLOOKUP($U326,GCA!$H$3:$H$593,GCA!E$3:E$593,"",0,1)="","",_xlfn.XLOOKUP($U326,GCA!$H$3:$H$593,GCA!E$3:E$593,"",0,1))</f>
        <v>456.57</v>
      </c>
      <c r="W326" s="3">
        <f>IF(_xlfn.XLOOKUP($U326,GCA!$H$3:$H$593,GCA!F$3:F$593,"",0,1)="","",_xlfn.XLOOKUP($U326,GCA!$H$3:$H$593,GCA!F$3:F$593,"",0,1))</f>
        <v>411.9</v>
      </c>
      <c r="X326" s="3">
        <f>IF(_xlfn.XLOOKUP($U326,GCA!$H$3:$H$593,GCA!G$3:G$593,"",0,1)="","",_xlfn.XLOOKUP($U326,GCA!$H$3:$H$593,GCA!G$3:G$593,"",0,1))</f>
        <v>442.03</v>
      </c>
    </row>
    <row r="327" spans="1:24" ht="13.2">
      <c r="A327" s="49"/>
      <c r="B327" s="49"/>
      <c r="C327" s="48"/>
      <c r="D327" s="49"/>
      <c r="E327" s="50"/>
      <c r="F327" s="26" t="s">
        <v>801</v>
      </c>
      <c r="G327" s="26" t="s">
        <v>801</v>
      </c>
      <c r="H327" s="27">
        <f t="shared" si="162"/>
        <v>8435.5499999999993</v>
      </c>
      <c r="I327" s="27">
        <f t="shared" si="162"/>
        <v>8225.23</v>
      </c>
      <c r="J327" s="27">
        <f t="shared" si="162"/>
        <v>7590.6350000000002</v>
      </c>
      <c r="K327" s="27">
        <f t="shared" si="163"/>
        <v>8083.8050000000003</v>
      </c>
      <c r="L327" s="65"/>
      <c r="M327" s="67">
        <f t="shared" si="164"/>
        <v>0</v>
      </c>
      <c r="N327" s="65" t="str">
        <f t="shared" si="165"/>
        <v/>
      </c>
      <c r="O327" s="65" t="str">
        <f t="shared" si="166"/>
        <v/>
      </c>
      <c r="P327" s="65" t="str">
        <f t="shared" si="166"/>
        <v/>
      </c>
      <c r="Q327" s="38"/>
      <c r="R327" s="3" t="str">
        <f t="shared" si="167"/>
        <v>Vellore</v>
      </c>
      <c r="S327" s="3" t="str">
        <f t="shared" si="168"/>
        <v>K.V.Kuppam</v>
      </c>
      <c r="T327" s="3" t="str">
        <f t="shared" si="168"/>
        <v>K.V.Kuppam</v>
      </c>
      <c r="U327" s="3" t="str">
        <f t="shared" si="143"/>
        <v>Vellore_K.V.Kuppam_K.V.Kuppam</v>
      </c>
      <c r="V327" s="3">
        <f>IF(_xlfn.XLOOKUP($U327,GCA!$H$3:$H$593,GCA!E$3:E$593,"",0,1)="","",_xlfn.XLOOKUP($U327,GCA!$H$3:$H$593,GCA!E$3:E$593,"",0,1))</f>
        <v>8435.5499999999993</v>
      </c>
      <c r="W327" s="3">
        <f>IF(_xlfn.XLOOKUP($U327,GCA!$H$3:$H$593,GCA!F$3:F$593,"",0,1)="","",_xlfn.XLOOKUP($U327,GCA!$H$3:$H$593,GCA!F$3:F$593,"",0,1))</f>
        <v>8225.23</v>
      </c>
      <c r="X327" s="3">
        <f>IF(_xlfn.XLOOKUP($U327,GCA!$H$3:$H$593,GCA!G$3:G$593,"",0,1)="","",_xlfn.XLOOKUP($U327,GCA!$H$3:$H$593,GCA!G$3:G$593,"",0,1))</f>
        <v>7590.6350000000002</v>
      </c>
    </row>
    <row r="328" spans="1:24" ht="13.2">
      <c r="A328" s="49"/>
      <c r="B328" s="49"/>
      <c r="C328" s="48"/>
      <c r="D328" s="49"/>
      <c r="E328" s="50"/>
      <c r="F328" s="26" t="s">
        <v>802</v>
      </c>
      <c r="G328" s="26" t="s">
        <v>802</v>
      </c>
      <c r="H328" s="27">
        <f t="shared" si="162"/>
        <v>10754.37</v>
      </c>
      <c r="I328" s="27">
        <f t="shared" si="162"/>
        <v>10605.514999999999</v>
      </c>
      <c r="J328" s="27">
        <f t="shared" si="162"/>
        <v>10326.41</v>
      </c>
      <c r="K328" s="27">
        <f t="shared" si="163"/>
        <v>10562.098333333333</v>
      </c>
      <c r="L328" s="65"/>
      <c r="M328" s="67">
        <f t="shared" si="164"/>
        <v>0</v>
      </c>
      <c r="N328" s="65" t="str">
        <f t="shared" si="165"/>
        <v/>
      </c>
      <c r="O328" s="65" t="str">
        <f t="shared" si="166"/>
        <v/>
      </c>
      <c r="P328" s="65" t="str">
        <f t="shared" si="166"/>
        <v/>
      </c>
      <c r="Q328" s="38"/>
      <c r="R328" s="3" t="str">
        <f t="shared" si="167"/>
        <v>Vellore</v>
      </c>
      <c r="S328" s="3" t="str">
        <f t="shared" si="168"/>
        <v>Katpadi</v>
      </c>
      <c r="T328" s="3" t="str">
        <f t="shared" si="168"/>
        <v>Katpadi</v>
      </c>
      <c r="U328" s="3" t="str">
        <f t="shared" si="143"/>
        <v>Vellore_Katpadi_Katpadi</v>
      </c>
      <c r="V328" s="3">
        <f>IF(_xlfn.XLOOKUP($U328,GCA!$H$3:$H$593,GCA!E$3:E$593,"",0,1)="","",_xlfn.XLOOKUP($U328,GCA!$H$3:$H$593,GCA!E$3:E$593,"",0,1))</f>
        <v>10754.37</v>
      </c>
      <c r="W328" s="3">
        <f>IF(_xlfn.XLOOKUP($U328,GCA!$H$3:$H$593,GCA!F$3:F$593,"",0,1)="","",_xlfn.XLOOKUP($U328,GCA!$H$3:$H$593,GCA!F$3:F$593,"",0,1))</f>
        <v>10605.514999999999</v>
      </c>
      <c r="X328" s="3">
        <f>IF(_xlfn.XLOOKUP($U328,GCA!$H$3:$H$593,GCA!G$3:G$593,"",0,1)="","",_xlfn.XLOOKUP($U328,GCA!$H$3:$H$593,GCA!G$3:G$593,"",0,1))</f>
        <v>10326.41</v>
      </c>
    </row>
    <row r="329" spans="1:24" ht="13.2">
      <c r="A329" s="49"/>
      <c r="B329" s="49"/>
      <c r="C329" s="48"/>
      <c r="D329" s="49"/>
      <c r="E329" s="50"/>
      <c r="F329" s="26" t="s">
        <v>803</v>
      </c>
      <c r="G329" s="26" t="s">
        <v>803</v>
      </c>
      <c r="H329" s="27">
        <f t="shared" si="162"/>
        <v>6678.8450000000003</v>
      </c>
      <c r="I329" s="27">
        <f t="shared" si="162"/>
        <v>5952.87</v>
      </c>
      <c r="J329" s="27">
        <f t="shared" si="162"/>
        <v>6202.165</v>
      </c>
      <c r="K329" s="27">
        <f t="shared" si="163"/>
        <v>6277.96</v>
      </c>
      <c r="L329" s="65"/>
      <c r="M329" s="67">
        <f t="shared" si="164"/>
        <v>0</v>
      </c>
      <c r="N329" s="65" t="str">
        <f t="shared" si="165"/>
        <v/>
      </c>
      <c r="O329" s="65" t="str">
        <f t="shared" si="166"/>
        <v/>
      </c>
      <c r="P329" s="65" t="str">
        <f t="shared" si="166"/>
        <v/>
      </c>
      <c r="Q329" s="38"/>
      <c r="R329" s="3" t="str">
        <f t="shared" si="167"/>
        <v>Vellore</v>
      </c>
      <c r="S329" s="3" t="str">
        <f t="shared" si="168"/>
        <v>Pernampet</v>
      </c>
      <c r="T329" s="3" t="str">
        <f t="shared" si="168"/>
        <v>Pernampet</v>
      </c>
      <c r="U329" s="3" t="str">
        <f t="shared" si="143"/>
        <v>Vellore_Pernampet_Pernampet</v>
      </c>
      <c r="V329" s="3">
        <f>IF(_xlfn.XLOOKUP($U329,GCA!$H$3:$H$593,GCA!E$3:E$593,"",0,1)="","",_xlfn.XLOOKUP($U329,GCA!$H$3:$H$593,GCA!E$3:E$593,"",0,1))</f>
        <v>6678.8450000000003</v>
      </c>
      <c r="W329" s="3">
        <f>IF(_xlfn.XLOOKUP($U329,GCA!$H$3:$H$593,GCA!F$3:F$593,"",0,1)="","",_xlfn.XLOOKUP($U329,GCA!$H$3:$H$593,GCA!F$3:F$593,"",0,1))</f>
        <v>5952.87</v>
      </c>
      <c r="X329" s="3">
        <f>IF(_xlfn.XLOOKUP($U329,GCA!$H$3:$H$593,GCA!G$3:G$593,"",0,1)="","",_xlfn.XLOOKUP($U329,GCA!$H$3:$H$593,GCA!G$3:G$593,"",0,1))</f>
        <v>6202.165</v>
      </c>
    </row>
    <row r="330" spans="1:24" ht="13.2">
      <c r="A330" s="49"/>
      <c r="B330" s="49"/>
      <c r="C330" s="48"/>
      <c r="D330" s="49"/>
      <c r="E330" s="50"/>
      <c r="F330" s="26" t="s">
        <v>226</v>
      </c>
      <c r="G330" s="26" t="s">
        <v>804</v>
      </c>
      <c r="H330" s="27">
        <f t="shared" si="162"/>
        <v>7221.39</v>
      </c>
      <c r="I330" s="27">
        <f t="shared" si="162"/>
        <v>7047.375</v>
      </c>
      <c r="J330" s="27">
        <f t="shared" si="162"/>
        <v>7498.31</v>
      </c>
      <c r="K330" s="27">
        <f t="shared" si="163"/>
        <v>7255.6916666666666</v>
      </c>
      <c r="L330" s="65"/>
      <c r="M330" s="67">
        <f t="shared" si="164"/>
        <v>0</v>
      </c>
      <c r="N330" s="65" t="str">
        <f t="shared" si="165"/>
        <v/>
      </c>
      <c r="O330" s="65" t="str">
        <f t="shared" si="166"/>
        <v/>
      </c>
      <c r="P330" s="65" t="str">
        <f t="shared" si="166"/>
        <v/>
      </c>
      <c r="Q330" s="38"/>
      <c r="R330" s="3" t="str">
        <f t="shared" si="167"/>
        <v>Vellore</v>
      </c>
      <c r="S330" s="3" t="str">
        <f t="shared" si="168"/>
        <v>Vellore</v>
      </c>
      <c r="T330" s="3" t="str">
        <f t="shared" si="168"/>
        <v>Kaniyambadi</v>
      </c>
      <c r="U330" s="3" t="str">
        <f t="shared" si="143"/>
        <v>Vellore_Vellore_Kaniyambadi</v>
      </c>
      <c r="V330" s="3">
        <f>IF(_xlfn.XLOOKUP($U330,GCA!$H$3:$H$593,GCA!E$3:E$593,"",0,1)="","",_xlfn.XLOOKUP($U330,GCA!$H$3:$H$593,GCA!E$3:E$593,"",0,1))</f>
        <v>7221.39</v>
      </c>
      <c r="W330" s="3">
        <f>IF(_xlfn.XLOOKUP($U330,GCA!$H$3:$H$593,GCA!F$3:F$593,"",0,1)="","",_xlfn.XLOOKUP($U330,GCA!$H$3:$H$593,GCA!F$3:F$593,"",0,1))</f>
        <v>7047.375</v>
      </c>
      <c r="X330" s="3">
        <f>IF(_xlfn.XLOOKUP($U330,GCA!$H$3:$H$593,GCA!G$3:G$593,"",0,1)="","",_xlfn.XLOOKUP($U330,GCA!$H$3:$H$593,GCA!G$3:G$593,"",0,1))</f>
        <v>7498.31</v>
      </c>
    </row>
    <row r="331" spans="1:24" ht="13.2">
      <c r="A331" s="49"/>
      <c r="B331" s="49"/>
      <c r="C331" s="48"/>
      <c r="D331" s="49"/>
      <c r="E331" s="50"/>
      <c r="F331" s="26" t="s">
        <v>226</v>
      </c>
      <c r="G331" s="26" t="s">
        <v>226</v>
      </c>
      <c r="H331" s="27">
        <f t="shared" si="162"/>
        <v>1498.72</v>
      </c>
      <c r="I331" s="27">
        <f t="shared" si="162"/>
        <v>1902.62</v>
      </c>
      <c r="J331" s="27">
        <f t="shared" si="162"/>
        <v>1479.08</v>
      </c>
      <c r="K331" s="27">
        <f t="shared" si="163"/>
        <v>1626.8066666666666</v>
      </c>
      <c r="L331" s="65"/>
      <c r="M331" s="67">
        <f t="shared" si="164"/>
        <v>0</v>
      </c>
      <c r="N331" s="65" t="str">
        <f t="shared" si="165"/>
        <v/>
      </c>
      <c r="O331" s="65" t="str">
        <f t="shared" si="166"/>
        <v/>
      </c>
      <c r="P331" s="65" t="str">
        <f t="shared" si="166"/>
        <v/>
      </c>
      <c r="Q331" s="38"/>
      <c r="R331" s="3" t="str">
        <f t="shared" si="167"/>
        <v>Vellore</v>
      </c>
      <c r="S331" s="3" t="str">
        <f t="shared" si="168"/>
        <v>Vellore</v>
      </c>
      <c r="T331" s="3" t="str">
        <f t="shared" si="168"/>
        <v>Vellore</v>
      </c>
      <c r="U331" s="3" t="str">
        <f t="shared" si="143"/>
        <v>Vellore_Vellore_Vellore</v>
      </c>
      <c r="V331" s="3">
        <f>IF(_xlfn.XLOOKUP($U331,GCA!$H$3:$H$593,GCA!E$3:E$593,"",0,1)="","",_xlfn.XLOOKUP($U331,GCA!$H$3:$H$593,GCA!E$3:E$593,"",0,1))</f>
        <v>1498.72</v>
      </c>
      <c r="W331" s="3">
        <f>IF(_xlfn.XLOOKUP($U331,GCA!$H$3:$H$593,GCA!F$3:F$593,"",0,1)="","",_xlfn.XLOOKUP($U331,GCA!$H$3:$H$593,GCA!F$3:F$593,"",0,1))</f>
        <v>1902.62</v>
      </c>
      <c r="X331" s="3">
        <f>IF(_xlfn.XLOOKUP($U331,GCA!$H$3:$H$593,GCA!G$3:G$593,"",0,1)="","",_xlfn.XLOOKUP($U331,GCA!$H$3:$H$593,GCA!G$3:G$593,"",0,1))</f>
        <v>1479.08</v>
      </c>
    </row>
    <row r="332" spans="1:24" ht="13.2">
      <c r="A332" s="49"/>
      <c r="B332" s="49"/>
      <c r="C332" s="48"/>
      <c r="D332" s="49"/>
      <c r="E332" s="47" t="s">
        <v>564</v>
      </c>
      <c r="F332" s="47"/>
      <c r="G332" s="47"/>
      <c r="H332" s="29">
        <f t="shared" ref="H332:P332" si="169">SUM(H323:H331)</f>
        <v>67421.850000000006</v>
      </c>
      <c r="I332" s="29">
        <f t="shared" si="169"/>
        <v>65297.905000000006</v>
      </c>
      <c r="J332" s="29">
        <f t="shared" si="169"/>
        <v>64756.9</v>
      </c>
      <c r="K332" s="29">
        <f t="shared" si="169"/>
        <v>65825.551666666666</v>
      </c>
      <c r="L332" s="29">
        <f t="shared" si="169"/>
        <v>65825.551666666666</v>
      </c>
      <c r="M332" s="30">
        <f t="shared" si="169"/>
        <v>2.7629640425678423</v>
      </c>
      <c r="N332" s="31">
        <f t="shared" si="169"/>
        <v>3</v>
      </c>
      <c r="O332" s="31">
        <f t="shared" si="169"/>
        <v>3</v>
      </c>
      <c r="P332" s="31">
        <f t="shared" si="169"/>
        <v>3</v>
      </c>
      <c r="Q332" s="38"/>
      <c r="R332" s="3" t="str">
        <f t="shared" si="167"/>
        <v>Vellore</v>
      </c>
      <c r="S332" s="3">
        <f t="shared" si="168"/>
        <v>0</v>
      </c>
      <c r="T332" s="3">
        <f t="shared" si="168"/>
        <v>0</v>
      </c>
      <c r="U332" s="3" t="str">
        <f t="shared" si="143"/>
        <v>Vellore_0_0</v>
      </c>
      <c r="V332" s="3" t="str">
        <f>IF(_xlfn.XLOOKUP($U332,GCA!$H$3:$H$593,GCA!E$3:E$593,"",0,1)="","",_xlfn.XLOOKUP($U332,GCA!$H$3:$H$593,GCA!E$3:E$593,"",0,1))</f>
        <v/>
      </c>
      <c r="W332" s="3" t="str">
        <f>IF(_xlfn.XLOOKUP($U332,GCA!$H$3:$H$593,GCA!F$3:F$593,"",0,1)="","",_xlfn.XLOOKUP($U332,GCA!$H$3:$H$593,GCA!F$3:F$593,"",0,1))</f>
        <v/>
      </c>
      <c r="X332" s="3" t="str">
        <f>IF(_xlfn.XLOOKUP($U332,GCA!$H$3:$H$593,GCA!G$3:G$593,"",0,1)="","",_xlfn.XLOOKUP($U332,GCA!$H$3:$H$593,GCA!G$3:G$593,"",0,1))</f>
        <v/>
      </c>
    </row>
    <row r="333" spans="1:24" ht="13.2">
      <c r="A333" s="49"/>
      <c r="B333" s="49"/>
      <c r="C333" s="48" t="s">
        <v>274</v>
      </c>
      <c r="D333" s="49" t="s">
        <v>540</v>
      </c>
      <c r="E333" s="50">
        <v>1</v>
      </c>
      <c r="F333" s="26" t="s">
        <v>805</v>
      </c>
      <c r="G333" s="26" t="s">
        <v>805</v>
      </c>
      <c r="H333" s="27">
        <f t="shared" ref="H333:J357" si="170">V333</f>
        <v>11038.42</v>
      </c>
      <c r="I333" s="27">
        <f t="shared" si="170"/>
        <v>13667.475</v>
      </c>
      <c r="J333" s="27">
        <f t="shared" si="170"/>
        <v>12678.28</v>
      </c>
      <c r="K333" s="27">
        <f t="shared" ref="K333:K357" si="171">IFERROR(AVERAGE(H333:J333),"")</f>
        <v>12461.391666666668</v>
      </c>
      <c r="L333" s="65">
        <f>SUM(K333:K337)</f>
        <v>63516.523333333331</v>
      </c>
      <c r="M333" s="67">
        <f t="shared" ref="M333:M357" si="172">L333*$L$643/$L$642</f>
        <v>2.6660448053303516</v>
      </c>
      <c r="N333" s="65">
        <f t="shared" si="165"/>
        <v>3</v>
      </c>
      <c r="O333" s="65">
        <f t="shared" ref="O333:P348" si="173">N333</f>
        <v>3</v>
      </c>
      <c r="P333" s="65">
        <f t="shared" si="173"/>
        <v>3</v>
      </c>
      <c r="Q333" s="38"/>
      <c r="R333" s="3" t="str">
        <f t="shared" ref="R333:R373" si="174">C333</f>
        <v>Tiruvannamalai</v>
      </c>
      <c r="S333" s="3" t="str">
        <f t="shared" si="168"/>
        <v>Arni</v>
      </c>
      <c r="T333" s="3" t="str">
        <f t="shared" si="168"/>
        <v>Arni</v>
      </c>
      <c r="U333" s="3" t="str">
        <f t="shared" si="143"/>
        <v>Tiruvannamalai_Arni_Arni</v>
      </c>
      <c r="V333" s="3">
        <f>IF(_xlfn.XLOOKUP($U333,GCA!$H$3:$H$593,GCA!E$3:E$593,"",0,1)="","",_xlfn.XLOOKUP($U333,GCA!$H$3:$H$593,GCA!E$3:E$593,"",0,1))</f>
        <v>11038.42</v>
      </c>
      <c r="W333" s="3">
        <f>IF(_xlfn.XLOOKUP($U333,GCA!$H$3:$H$593,GCA!F$3:F$593,"",0,1)="","",_xlfn.XLOOKUP($U333,GCA!$H$3:$H$593,GCA!F$3:F$593,"",0,1))</f>
        <v>13667.475</v>
      </c>
      <c r="X333" s="3">
        <f>IF(_xlfn.XLOOKUP($U333,GCA!$H$3:$H$593,GCA!G$3:G$593,"",0,1)="","",_xlfn.XLOOKUP($U333,GCA!$H$3:$H$593,GCA!G$3:G$593,"",0,1))</f>
        <v>12678.28</v>
      </c>
    </row>
    <row r="334" spans="1:24" ht="13.2">
      <c r="A334" s="49"/>
      <c r="B334" s="49"/>
      <c r="C334" s="48"/>
      <c r="D334" s="49"/>
      <c r="E334" s="50"/>
      <c r="F334" s="26" t="s">
        <v>805</v>
      </c>
      <c r="G334" s="26" t="s">
        <v>806</v>
      </c>
      <c r="H334" s="27">
        <f t="shared" si="170"/>
        <v>9775.58</v>
      </c>
      <c r="I334" s="27">
        <f t="shared" si="170"/>
        <v>10120.625</v>
      </c>
      <c r="J334" s="27">
        <f t="shared" si="170"/>
        <v>8880.0650000000005</v>
      </c>
      <c r="K334" s="27">
        <f t="shared" si="171"/>
        <v>9592.090000000002</v>
      </c>
      <c r="L334" s="65"/>
      <c r="M334" s="67">
        <f t="shared" si="172"/>
        <v>0</v>
      </c>
      <c r="N334" s="65" t="str">
        <f t="shared" si="165"/>
        <v/>
      </c>
      <c r="O334" s="65" t="str">
        <f t="shared" si="173"/>
        <v/>
      </c>
      <c r="P334" s="65" t="str">
        <f t="shared" si="173"/>
        <v/>
      </c>
      <c r="Q334" s="38"/>
      <c r="R334" s="3" t="str">
        <f t="shared" ref="R334:R358" si="175">R333</f>
        <v>Tiruvannamalai</v>
      </c>
      <c r="S334" s="3" t="str">
        <f t="shared" si="168"/>
        <v>Arni</v>
      </c>
      <c r="T334" s="3" t="str">
        <f t="shared" si="168"/>
        <v>West Arni</v>
      </c>
      <c r="U334" s="3" t="str">
        <f t="shared" si="143"/>
        <v>Tiruvannamalai_Arni_West Arni</v>
      </c>
      <c r="V334" s="3">
        <f>IF(_xlfn.XLOOKUP($U334,GCA!$H$3:$H$593,GCA!E$3:E$593,"",0,1)="","",_xlfn.XLOOKUP($U334,GCA!$H$3:$H$593,GCA!E$3:E$593,"",0,1))</f>
        <v>9775.58</v>
      </c>
      <c r="W334" s="3">
        <f>IF(_xlfn.XLOOKUP($U334,GCA!$H$3:$H$593,GCA!F$3:F$593,"",0,1)="","",_xlfn.XLOOKUP($U334,GCA!$H$3:$H$593,GCA!F$3:F$593,"",0,1))</f>
        <v>10120.625</v>
      </c>
      <c r="X334" s="3">
        <f>IF(_xlfn.XLOOKUP($U334,GCA!$H$3:$H$593,GCA!G$3:G$593,"",0,1)="","",_xlfn.XLOOKUP($U334,GCA!$H$3:$H$593,GCA!G$3:G$593,"",0,1))</f>
        <v>8880.0650000000005</v>
      </c>
    </row>
    <row r="335" spans="1:24" ht="13.2">
      <c r="A335" s="49"/>
      <c r="B335" s="49"/>
      <c r="C335" s="48"/>
      <c r="D335" s="49"/>
      <c r="E335" s="50"/>
      <c r="F335" s="26" t="s">
        <v>807</v>
      </c>
      <c r="G335" s="26" t="s">
        <v>807</v>
      </c>
      <c r="H335" s="27">
        <f t="shared" si="170"/>
        <v>19082.77</v>
      </c>
      <c r="I335" s="27">
        <f t="shared" si="170"/>
        <v>21225.62</v>
      </c>
      <c r="J335" s="27">
        <f t="shared" si="170"/>
        <v>24671.165000000001</v>
      </c>
      <c r="K335" s="27">
        <f t="shared" si="171"/>
        <v>21659.851666666666</v>
      </c>
      <c r="L335" s="65"/>
      <c r="M335" s="67">
        <f t="shared" si="172"/>
        <v>0</v>
      </c>
      <c r="N335" s="65" t="str">
        <f t="shared" si="165"/>
        <v/>
      </c>
      <c r="O335" s="65" t="str">
        <f t="shared" si="173"/>
        <v/>
      </c>
      <c r="P335" s="65" t="str">
        <f t="shared" si="173"/>
        <v/>
      </c>
      <c r="Q335" s="38"/>
      <c r="R335" s="3" t="str">
        <f t="shared" si="175"/>
        <v>Tiruvannamalai</v>
      </c>
      <c r="S335" s="3" t="str">
        <f t="shared" si="168"/>
        <v>Chengam</v>
      </c>
      <c r="T335" s="3" t="str">
        <f t="shared" si="168"/>
        <v>Chengam</v>
      </c>
      <c r="U335" s="3" t="str">
        <f t="shared" si="143"/>
        <v>Tiruvannamalai_Chengam_Chengam</v>
      </c>
      <c r="V335" s="3">
        <f>IF(_xlfn.XLOOKUP($U335,GCA!$H$3:$H$593,GCA!E$3:E$593,"",0,1)="","",_xlfn.XLOOKUP($U335,GCA!$H$3:$H$593,GCA!E$3:E$593,"",0,1))</f>
        <v>19082.77</v>
      </c>
      <c r="W335" s="3">
        <f>IF(_xlfn.XLOOKUP($U335,GCA!$H$3:$H$593,GCA!F$3:F$593,"",0,1)="","",_xlfn.XLOOKUP($U335,GCA!$H$3:$H$593,GCA!F$3:F$593,"",0,1))</f>
        <v>21225.62</v>
      </c>
      <c r="X335" s="3">
        <f>IF(_xlfn.XLOOKUP($U335,GCA!$H$3:$H$593,GCA!G$3:G$593,"",0,1)="","",_xlfn.XLOOKUP($U335,GCA!$H$3:$H$593,GCA!G$3:G$593,"",0,1))</f>
        <v>24671.165000000001</v>
      </c>
    </row>
    <row r="336" spans="1:24" ht="13.2">
      <c r="A336" s="49"/>
      <c r="B336" s="49"/>
      <c r="C336" s="48"/>
      <c r="D336" s="49"/>
      <c r="E336" s="50"/>
      <c r="F336" s="26" t="s">
        <v>807</v>
      </c>
      <c r="G336" s="26" t="s">
        <v>808</v>
      </c>
      <c r="H336" s="27">
        <f t="shared" si="170"/>
        <v>1064.45</v>
      </c>
      <c r="I336" s="27">
        <f t="shared" si="170"/>
        <v>909.9</v>
      </c>
      <c r="J336" s="27">
        <f t="shared" si="170"/>
        <v>875.76499999999999</v>
      </c>
      <c r="K336" s="27">
        <f t="shared" si="171"/>
        <v>950.0383333333333</v>
      </c>
      <c r="L336" s="65"/>
      <c r="M336" s="67">
        <f t="shared" si="172"/>
        <v>0</v>
      </c>
      <c r="N336" s="65" t="str">
        <f t="shared" si="165"/>
        <v/>
      </c>
      <c r="O336" s="65" t="str">
        <f t="shared" si="173"/>
        <v/>
      </c>
      <c r="P336" s="65" t="str">
        <f t="shared" si="173"/>
        <v/>
      </c>
      <c r="Q336" s="38"/>
      <c r="R336" s="3" t="str">
        <f t="shared" si="175"/>
        <v>Tiruvannamalai</v>
      </c>
      <c r="S336" s="3" t="str">
        <f t="shared" si="168"/>
        <v>Chengam</v>
      </c>
      <c r="T336" s="3" t="str">
        <f t="shared" si="168"/>
        <v>Jawadhuhills</v>
      </c>
      <c r="U336" s="3" t="str">
        <f t="shared" si="143"/>
        <v>Tiruvannamalai_Chengam_Jawadhuhills</v>
      </c>
      <c r="V336" s="3">
        <f>IF(_xlfn.XLOOKUP($U336,GCA!$H$3:$H$593,GCA!E$3:E$593,"",0,1)="","",_xlfn.XLOOKUP($U336,GCA!$H$3:$H$593,GCA!E$3:E$593,"",0,1))</f>
        <v>1064.45</v>
      </c>
      <c r="W336" s="3">
        <f>IF(_xlfn.XLOOKUP($U336,GCA!$H$3:$H$593,GCA!F$3:F$593,"",0,1)="","",_xlfn.XLOOKUP($U336,GCA!$H$3:$H$593,GCA!F$3:F$593,"",0,1))</f>
        <v>909.9</v>
      </c>
      <c r="X336" s="3">
        <f>IF(_xlfn.XLOOKUP($U336,GCA!$H$3:$H$593,GCA!G$3:G$593,"",0,1)="","",_xlfn.XLOOKUP($U336,GCA!$H$3:$H$593,GCA!G$3:G$593,"",0,1))</f>
        <v>875.76499999999999</v>
      </c>
    </row>
    <row r="337" spans="1:24" ht="13.2">
      <c r="A337" s="49"/>
      <c r="B337" s="49"/>
      <c r="C337" s="48"/>
      <c r="D337" s="49"/>
      <c r="E337" s="50"/>
      <c r="F337" s="26" t="s">
        <v>807</v>
      </c>
      <c r="G337" s="26" t="s">
        <v>809</v>
      </c>
      <c r="H337" s="27">
        <f t="shared" si="170"/>
        <v>18148.18</v>
      </c>
      <c r="I337" s="27">
        <f t="shared" si="170"/>
        <v>19778.48</v>
      </c>
      <c r="J337" s="27">
        <f t="shared" si="170"/>
        <v>18632.794999999998</v>
      </c>
      <c r="K337" s="27">
        <f t="shared" si="171"/>
        <v>18853.151666666668</v>
      </c>
      <c r="L337" s="65"/>
      <c r="M337" s="67">
        <f t="shared" si="172"/>
        <v>0</v>
      </c>
      <c r="N337" s="65" t="str">
        <f t="shared" si="165"/>
        <v/>
      </c>
      <c r="O337" s="65" t="str">
        <f t="shared" si="173"/>
        <v/>
      </c>
      <c r="P337" s="65" t="str">
        <f t="shared" si="173"/>
        <v/>
      </c>
      <c r="Q337" s="38"/>
      <c r="R337" s="3" t="str">
        <f t="shared" si="175"/>
        <v>Tiruvannamalai</v>
      </c>
      <c r="S337" s="3" t="str">
        <f t="shared" si="168"/>
        <v>Chengam</v>
      </c>
      <c r="T337" s="3" t="str">
        <f t="shared" si="168"/>
        <v>Pudupalayam</v>
      </c>
      <c r="U337" s="3" t="str">
        <f t="shared" si="143"/>
        <v>Tiruvannamalai_Chengam_Pudupalayam</v>
      </c>
      <c r="V337" s="3">
        <f>IF(_xlfn.XLOOKUP($U337,GCA!$H$3:$H$593,GCA!E$3:E$593,"",0,1)="","",_xlfn.XLOOKUP($U337,GCA!$H$3:$H$593,GCA!E$3:E$593,"",0,1))</f>
        <v>18148.18</v>
      </c>
      <c r="W337" s="3">
        <f>IF(_xlfn.XLOOKUP($U337,GCA!$H$3:$H$593,GCA!F$3:F$593,"",0,1)="","",_xlfn.XLOOKUP($U337,GCA!$H$3:$H$593,GCA!F$3:F$593,"",0,1))</f>
        <v>19778.48</v>
      </c>
      <c r="X337" s="3">
        <f>IF(_xlfn.XLOOKUP($U337,GCA!$H$3:$H$593,GCA!G$3:G$593,"",0,1)="","",_xlfn.XLOOKUP($U337,GCA!$H$3:$H$593,GCA!G$3:G$593,"",0,1))</f>
        <v>18632.794999999998</v>
      </c>
    </row>
    <row r="338" spans="1:24" ht="13.2">
      <c r="A338" s="49"/>
      <c r="B338" s="49"/>
      <c r="C338" s="48"/>
      <c r="D338" s="49"/>
      <c r="E338" s="50">
        <v>2</v>
      </c>
      <c r="F338" s="26" t="s">
        <v>810</v>
      </c>
      <c r="G338" s="26" t="s">
        <v>810</v>
      </c>
      <c r="H338" s="27">
        <f t="shared" si="170"/>
        <v>10183.52</v>
      </c>
      <c r="I338" s="27">
        <f t="shared" si="170"/>
        <v>8643.48</v>
      </c>
      <c r="J338" s="27">
        <f t="shared" si="170"/>
        <v>9085.06</v>
      </c>
      <c r="K338" s="27">
        <f t="shared" si="171"/>
        <v>9304.0199999999986</v>
      </c>
      <c r="L338" s="65">
        <f>SUM(K338:K342)</f>
        <v>47652.898666666661</v>
      </c>
      <c r="M338" s="67">
        <f t="shared" si="172"/>
        <v>2.0001844603879237</v>
      </c>
      <c r="N338" s="65">
        <f t="shared" si="165"/>
        <v>2</v>
      </c>
      <c r="O338" s="65">
        <f t="shared" si="173"/>
        <v>2</v>
      </c>
      <c r="P338" s="65">
        <f t="shared" si="173"/>
        <v>2</v>
      </c>
      <c r="Q338" s="38"/>
      <c r="R338" s="3" t="str">
        <f t="shared" si="175"/>
        <v>Tiruvannamalai</v>
      </c>
      <c r="S338" s="3" t="str">
        <f t="shared" si="168"/>
        <v>Chetpet</v>
      </c>
      <c r="T338" s="3" t="str">
        <f t="shared" si="168"/>
        <v>Chetpet</v>
      </c>
      <c r="U338" s="3" t="str">
        <f t="shared" si="143"/>
        <v>Tiruvannamalai_Chetpet_Chetpet</v>
      </c>
      <c r="V338" s="3">
        <f>IF(_xlfn.XLOOKUP($U338,GCA!$H$3:$H$593,GCA!E$3:E$593,"",0,1)="","",_xlfn.XLOOKUP($U338,GCA!$H$3:$H$593,GCA!E$3:E$593,"",0,1))</f>
        <v>10183.52</v>
      </c>
      <c r="W338" s="3">
        <f>IF(_xlfn.XLOOKUP($U338,GCA!$H$3:$H$593,GCA!F$3:F$593,"",0,1)="","",_xlfn.XLOOKUP($U338,GCA!$H$3:$H$593,GCA!F$3:F$593,"",0,1))</f>
        <v>8643.48</v>
      </c>
      <c r="X338" s="3">
        <f>IF(_xlfn.XLOOKUP($U338,GCA!$H$3:$H$593,GCA!G$3:G$593,"",0,1)="","",_xlfn.XLOOKUP($U338,GCA!$H$3:$H$593,GCA!G$3:G$593,"",0,1))</f>
        <v>9085.06</v>
      </c>
    </row>
    <row r="339" spans="1:24" ht="13.2">
      <c r="A339" s="49"/>
      <c r="B339" s="49"/>
      <c r="C339" s="48"/>
      <c r="D339" s="49"/>
      <c r="E339" s="50"/>
      <c r="F339" s="26" t="s">
        <v>810</v>
      </c>
      <c r="G339" s="26" t="s">
        <v>811</v>
      </c>
      <c r="H339" s="27">
        <f t="shared" si="170"/>
        <v>8598.0249999999996</v>
      </c>
      <c r="I339" s="27">
        <f t="shared" si="170"/>
        <v>9221.66</v>
      </c>
      <c r="J339" s="27">
        <f t="shared" si="170"/>
        <v>9778.9050000000007</v>
      </c>
      <c r="K339" s="27">
        <f t="shared" si="171"/>
        <v>9199.5299999999988</v>
      </c>
      <c r="L339" s="65"/>
      <c r="M339" s="67">
        <f t="shared" si="172"/>
        <v>0</v>
      </c>
      <c r="N339" s="65" t="str">
        <f t="shared" si="165"/>
        <v/>
      </c>
      <c r="O339" s="65" t="str">
        <f t="shared" si="173"/>
        <v/>
      </c>
      <c r="P339" s="65" t="str">
        <f t="shared" si="173"/>
        <v/>
      </c>
      <c r="Q339" s="38"/>
      <c r="R339" s="3" t="str">
        <f t="shared" si="175"/>
        <v>Tiruvannamalai</v>
      </c>
      <c r="S339" s="3" t="str">
        <f t="shared" si="168"/>
        <v>Chetpet</v>
      </c>
      <c r="T339" s="3" t="str">
        <f t="shared" si="168"/>
        <v>Peranamallur</v>
      </c>
      <c r="U339" s="3" t="str">
        <f t="shared" si="143"/>
        <v>Tiruvannamalai_Chetpet_Peranamallur</v>
      </c>
      <c r="V339" s="3">
        <f>IF(_xlfn.XLOOKUP($U339,GCA!$H$3:$H$593,GCA!E$3:E$593,"",0,1)="","",_xlfn.XLOOKUP($U339,GCA!$H$3:$H$593,GCA!E$3:E$593,"",0,1))</f>
        <v>8598.0249999999996</v>
      </c>
      <c r="W339" s="3">
        <f>IF(_xlfn.XLOOKUP($U339,GCA!$H$3:$H$593,GCA!F$3:F$593,"",0,1)="","",_xlfn.XLOOKUP($U339,GCA!$H$3:$H$593,GCA!F$3:F$593,"",0,1))</f>
        <v>9221.66</v>
      </c>
      <c r="X339" s="3">
        <f>IF(_xlfn.XLOOKUP($U339,GCA!$H$3:$H$593,GCA!G$3:G$593,"",0,1)="","",_xlfn.XLOOKUP($U339,GCA!$H$3:$H$593,GCA!G$3:G$593,"",0,1))</f>
        <v>9778.9050000000007</v>
      </c>
    </row>
    <row r="340" spans="1:24" ht="13.2">
      <c r="A340" s="49"/>
      <c r="B340" s="49"/>
      <c r="C340" s="48"/>
      <c r="D340" s="49"/>
      <c r="E340" s="50"/>
      <c r="F340" s="26" t="s">
        <v>810</v>
      </c>
      <c r="G340" s="26" t="s">
        <v>806</v>
      </c>
      <c r="H340" s="27">
        <f t="shared" si="170"/>
        <v>2196.2649999999999</v>
      </c>
      <c r="I340" s="27">
        <f t="shared" si="170"/>
        <v>1862.12</v>
      </c>
      <c r="J340" s="27">
        <f t="shared" si="170"/>
        <v>2047.1849999999999</v>
      </c>
      <c r="K340" s="27">
        <f t="shared" si="171"/>
        <v>2035.1899999999998</v>
      </c>
      <c r="L340" s="65"/>
      <c r="M340" s="67">
        <f t="shared" si="172"/>
        <v>0</v>
      </c>
      <c r="N340" s="65" t="str">
        <f t="shared" si="165"/>
        <v/>
      </c>
      <c r="O340" s="65" t="str">
        <f t="shared" si="173"/>
        <v/>
      </c>
      <c r="P340" s="65" t="str">
        <f t="shared" si="173"/>
        <v/>
      </c>
      <c r="Q340" s="38"/>
      <c r="R340" s="3" t="str">
        <f t="shared" si="175"/>
        <v>Tiruvannamalai</v>
      </c>
      <c r="S340" s="3" t="str">
        <f t="shared" si="168"/>
        <v>Chetpet</v>
      </c>
      <c r="T340" s="3" t="str">
        <f t="shared" si="168"/>
        <v>West Arni</v>
      </c>
      <c r="U340" s="3" t="str">
        <f t="shared" si="143"/>
        <v>Tiruvannamalai_Chetpet_West Arni</v>
      </c>
      <c r="V340" s="3">
        <f>IF(_xlfn.XLOOKUP($U340,GCA!$H$3:$H$593,GCA!E$3:E$593,"",0,1)="","",_xlfn.XLOOKUP($U340,GCA!$H$3:$H$593,GCA!E$3:E$593,"",0,1))</f>
        <v>2196.2649999999999</v>
      </c>
      <c r="W340" s="3">
        <f>IF(_xlfn.XLOOKUP($U340,GCA!$H$3:$H$593,GCA!F$3:F$593,"",0,1)="","",_xlfn.XLOOKUP($U340,GCA!$H$3:$H$593,GCA!F$3:F$593,"",0,1))</f>
        <v>1862.12</v>
      </c>
      <c r="X340" s="3">
        <f>IF(_xlfn.XLOOKUP($U340,GCA!$H$3:$H$593,GCA!G$3:G$593,"",0,1)="","",_xlfn.XLOOKUP($U340,GCA!$H$3:$H$593,GCA!G$3:G$593,"",0,1))</f>
        <v>2047.1849999999999</v>
      </c>
    </row>
    <row r="341" spans="1:24" ht="13.2">
      <c r="A341" s="49"/>
      <c r="B341" s="49"/>
      <c r="C341" s="48"/>
      <c r="D341" s="49"/>
      <c r="E341" s="50"/>
      <c r="F341" s="26" t="s">
        <v>812</v>
      </c>
      <c r="G341" s="26" t="s">
        <v>813</v>
      </c>
      <c r="H341" s="27">
        <f t="shared" si="170"/>
        <v>12721.3</v>
      </c>
      <c r="I341" s="27">
        <f t="shared" si="170"/>
        <v>12288.105</v>
      </c>
      <c r="J341" s="27">
        <f t="shared" si="170"/>
        <v>12145.18</v>
      </c>
      <c r="K341" s="27">
        <f t="shared" si="171"/>
        <v>12384.861666666666</v>
      </c>
      <c r="L341" s="65"/>
      <c r="M341" s="67">
        <f t="shared" si="172"/>
        <v>0</v>
      </c>
      <c r="N341" s="65" t="str">
        <f t="shared" si="165"/>
        <v/>
      </c>
      <c r="O341" s="65" t="str">
        <f t="shared" si="173"/>
        <v/>
      </c>
      <c r="P341" s="65" t="str">
        <f t="shared" si="173"/>
        <v/>
      </c>
      <c r="Q341" s="38"/>
      <c r="R341" s="3" t="str">
        <f t="shared" si="175"/>
        <v>Tiruvannamalai</v>
      </c>
      <c r="S341" s="3" t="str">
        <f t="shared" si="168"/>
        <v>Cheyyar</v>
      </c>
      <c r="T341" s="3" t="str">
        <f t="shared" si="168"/>
        <v>Anakkavoor</v>
      </c>
      <c r="U341" s="3" t="str">
        <f t="shared" si="143"/>
        <v>Tiruvannamalai_Cheyyar_Anakkavoor</v>
      </c>
      <c r="V341" s="3">
        <f>IF(_xlfn.XLOOKUP($U341,GCA!$H$3:$H$593,GCA!E$3:E$593,"",0,1)="","",_xlfn.XLOOKUP($U341,GCA!$H$3:$H$593,GCA!E$3:E$593,"",0,1))</f>
        <v>12721.3</v>
      </c>
      <c r="W341" s="3">
        <f>IF(_xlfn.XLOOKUP($U341,GCA!$H$3:$H$593,GCA!F$3:F$593,"",0,1)="","",_xlfn.XLOOKUP($U341,GCA!$H$3:$H$593,GCA!F$3:F$593,"",0,1))</f>
        <v>12288.105</v>
      </c>
      <c r="X341" s="3">
        <f>IF(_xlfn.XLOOKUP($U341,GCA!$H$3:$H$593,GCA!G$3:G$593,"",0,1)="","",_xlfn.XLOOKUP($U341,GCA!$H$3:$H$593,GCA!G$3:G$593,"",0,1))</f>
        <v>12145.18</v>
      </c>
    </row>
    <row r="342" spans="1:24" ht="13.2">
      <c r="A342" s="49"/>
      <c r="B342" s="49"/>
      <c r="C342" s="48"/>
      <c r="D342" s="49"/>
      <c r="E342" s="50"/>
      <c r="F342" s="26" t="s">
        <v>812</v>
      </c>
      <c r="G342" s="26" t="s">
        <v>812</v>
      </c>
      <c r="H342" s="27">
        <f t="shared" si="170"/>
        <v>16493.916000000001</v>
      </c>
      <c r="I342" s="27">
        <f t="shared" si="170"/>
        <v>14378.155000000001</v>
      </c>
      <c r="J342" s="27">
        <f t="shared" si="170"/>
        <v>13315.82</v>
      </c>
      <c r="K342" s="27">
        <f t="shared" si="171"/>
        <v>14729.297</v>
      </c>
      <c r="L342" s="65"/>
      <c r="M342" s="67">
        <f t="shared" si="172"/>
        <v>0</v>
      </c>
      <c r="N342" s="65" t="str">
        <f t="shared" si="165"/>
        <v/>
      </c>
      <c r="O342" s="65" t="str">
        <f t="shared" si="173"/>
        <v/>
      </c>
      <c r="P342" s="65" t="str">
        <f t="shared" si="173"/>
        <v/>
      </c>
      <c r="Q342" s="38"/>
      <c r="R342" s="3" t="str">
        <f t="shared" si="175"/>
        <v>Tiruvannamalai</v>
      </c>
      <c r="S342" s="3" t="str">
        <f t="shared" si="168"/>
        <v>Cheyyar</v>
      </c>
      <c r="T342" s="3" t="str">
        <f t="shared" si="168"/>
        <v>Cheyyar</v>
      </c>
      <c r="U342" s="3" t="str">
        <f t="shared" si="143"/>
        <v>Tiruvannamalai_Cheyyar_Cheyyar</v>
      </c>
      <c r="V342" s="3">
        <f>IF(_xlfn.XLOOKUP($U342,GCA!$H$3:$H$593,GCA!E$3:E$593,"",0,1)="","",_xlfn.XLOOKUP($U342,GCA!$H$3:$H$593,GCA!E$3:E$593,"",0,1))</f>
        <v>16493.916000000001</v>
      </c>
      <c r="W342" s="3">
        <f>IF(_xlfn.XLOOKUP($U342,GCA!$H$3:$H$593,GCA!F$3:F$593,"",0,1)="","",_xlfn.XLOOKUP($U342,GCA!$H$3:$H$593,GCA!F$3:F$593,"",0,1))</f>
        <v>14378.155000000001</v>
      </c>
      <c r="X342" s="3">
        <f>IF(_xlfn.XLOOKUP($U342,GCA!$H$3:$H$593,GCA!G$3:G$593,"",0,1)="","",_xlfn.XLOOKUP($U342,GCA!$H$3:$H$593,GCA!G$3:G$593,"",0,1))</f>
        <v>13315.82</v>
      </c>
    </row>
    <row r="343" spans="1:24" ht="13.2">
      <c r="A343" s="49"/>
      <c r="B343" s="49"/>
      <c r="C343" s="48"/>
      <c r="D343" s="49"/>
      <c r="E343" s="50">
        <v>3</v>
      </c>
      <c r="F343" s="26" t="s">
        <v>814</v>
      </c>
      <c r="G343" s="26" t="s">
        <v>808</v>
      </c>
      <c r="H343" s="27">
        <f t="shared" si="170"/>
        <v>12872</v>
      </c>
      <c r="I343" s="27">
        <f t="shared" si="170"/>
        <v>12848</v>
      </c>
      <c r="J343" s="27">
        <f t="shared" si="170"/>
        <v>13715</v>
      </c>
      <c r="K343" s="27">
        <f t="shared" si="171"/>
        <v>13145</v>
      </c>
      <c r="L343" s="65">
        <f>SUM(K343:K347)</f>
        <v>67455.848333333328</v>
      </c>
      <c r="M343" s="67">
        <f t="shared" si="172"/>
        <v>2.8313941727326184</v>
      </c>
      <c r="N343" s="65">
        <f t="shared" si="165"/>
        <v>3</v>
      </c>
      <c r="O343" s="65">
        <f t="shared" si="173"/>
        <v>3</v>
      </c>
      <c r="P343" s="65">
        <f t="shared" si="173"/>
        <v>3</v>
      </c>
      <c r="Q343" s="38"/>
      <c r="R343" s="3" t="str">
        <f t="shared" si="175"/>
        <v>Tiruvannamalai</v>
      </c>
      <c r="S343" s="3" t="str">
        <f t="shared" si="168"/>
        <v>Jamunamarathoor</v>
      </c>
      <c r="T343" s="3" t="str">
        <f t="shared" si="168"/>
        <v>Jawadhuhills</v>
      </c>
      <c r="U343" s="3" t="str">
        <f t="shared" si="143"/>
        <v>Tiruvannamalai_Jamunamarathoor_Jawadhuhills</v>
      </c>
      <c r="V343" s="3">
        <f>IF(_xlfn.XLOOKUP($U343,GCA!$H$3:$H$593,GCA!E$3:E$593,"",0,1)="","",_xlfn.XLOOKUP($U343,GCA!$H$3:$H$593,GCA!E$3:E$593,"",0,1))</f>
        <v>12872</v>
      </c>
      <c r="W343" s="3">
        <f>IF(_xlfn.XLOOKUP($U343,GCA!$H$3:$H$593,GCA!F$3:F$593,"",0,1)="","",_xlfn.XLOOKUP($U343,GCA!$H$3:$H$593,GCA!F$3:F$593,"",0,1))</f>
        <v>12848</v>
      </c>
      <c r="X343" s="3">
        <f>IF(_xlfn.XLOOKUP($U343,GCA!$H$3:$H$593,GCA!G$3:G$593,"",0,1)="","",_xlfn.XLOOKUP($U343,GCA!$H$3:$H$593,GCA!G$3:G$593,"",0,1))</f>
        <v>13715</v>
      </c>
    </row>
    <row r="344" spans="1:24" ht="13.2">
      <c r="A344" s="49"/>
      <c r="B344" s="49"/>
      <c r="C344" s="48"/>
      <c r="D344" s="49"/>
      <c r="E344" s="50"/>
      <c r="F344" s="26" t="s">
        <v>815</v>
      </c>
      <c r="G344" s="26" t="s">
        <v>815</v>
      </c>
      <c r="H344" s="27">
        <f t="shared" si="170"/>
        <v>23659</v>
      </c>
      <c r="I344" s="27">
        <f t="shared" si="170"/>
        <v>22261</v>
      </c>
      <c r="J344" s="27">
        <f t="shared" si="170"/>
        <v>20059</v>
      </c>
      <c r="K344" s="27">
        <f t="shared" si="171"/>
        <v>21993</v>
      </c>
      <c r="L344" s="65"/>
      <c r="M344" s="67">
        <f t="shared" si="172"/>
        <v>0</v>
      </c>
      <c r="N344" s="65" t="str">
        <f t="shared" si="165"/>
        <v/>
      </c>
      <c r="O344" s="65" t="str">
        <f t="shared" si="173"/>
        <v/>
      </c>
      <c r="P344" s="65" t="str">
        <f t="shared" si="173"/>
        <v/>
      </c>
      <c r="Q344" s="38"/>
      <c r="R344" s="3" t="str">
        <f t="shared" si="175"/>
        <v>Tiruvannamalai</v>
      </c>
      <c r="S344" s="3" t="str">
        <f t="shared" si="168"/>
        <v>Kalasapakkam</v>
      </c>
      <c r="T344" s="3" t="str">
        <f t="shared" si="168"/>
        <v>Kalasapakkam</v>
      </c>
      <c r="U344" s="3" t="str">
        <f t="shared" si="143"/>
        <v>Tiruvannamalai_Kalasapakkam_Kalasapakkam</v>
      </c>
      <c r="V344" s="3">
        <f>IF(_xlfn.XLOOKUP($U344,GCA!$H$3:$H$593,GCA!E$3:E$593,"",0,1)="","",_xlfn.XLOOKUP($U344,GCA!$H$3:$H$593,GCA!E$3:E$593,"",0,1))</f>
        <v>23659</v>
      </c>
      <c r="W344" s="3">
        <f>IF(_xlfn.XLOOKUP($U344,GCA!$H$3:$H$593,GCA!F$3:F$593,"",0,1)="","",_xlfn.XLOOKUP($U344,GCA!$H$3:$H$593,GCA!F$3:F$593,"",0,1))</f>
        <v>22261</v>
      </c>
      <c r="X344" s="3">
        <f>IF(_xlfn.XLOOKUP($U344,GCA!$H$3:$H$593,GCA!G$3:G$593,"",0,1)="","",_xlfn.XLOOKUP($U344,GCA!$H$3:$H$593,GCA!G$3:G$593,"",0,1))</f>
        <v>20059</v>
      </c>
    </row>
    <row r="345" spans="1:24" ht="13.2">
      <c r="A345" s="49"/>
      <c r="B345" s="49"/>
      <c r="C345" s="48"/>
      <c r="D345" s="49"/>
      <c r="E345" s="50"/>
      <c r="F345" s="26" t="s">
        <v>816</v>
      </c>
      <c r="G345" s="26" t="s">
        <v>816</v>
      </c>
      <c r="H345" s="27">
        <f t="shared" si="170"/>
        <v>23239.21</v>
      </c>
      <c r="I345" s="27">
        <f t="shared" si="170"/>
        <v>22740.974999999999</v>
      </c>
      <c r="J345" s="27">
        <f t="shared" si="170"/>
        <v>23465.244999999999</v>
      </c>
      <c r="K345" s="27">
        <f t="shared" si="171"/>
        <v>23148.476666666666</v>
      </c>
      <c r="L345" s="65"/>
      <c r="M345" s="67">
        <f t="shared" si="172"/>
        <v>0</v>
      </c>
      <c r="N345" s="65" t="str">
        <f t="shared" si="165"/>
        <v/>
      </c>
      <c r="O345" s="65" t="str">
        <f t="shared" si="173"/>
        <v/>
      </c>
      <c r="P345" s="65" t="str">
        <f t="shared" si="173"/>
        <v/>
      </c>
      <c r="Q345" s="38"/>
      <c r="R345" s="3" t="str">
        <f t="shared" si="175"/>
        <v>Tiruvannamalai</v>
      </c>
      <c r="S345" s="3" t="str">
        <f t="shared" si="168"/>
        <v>Kilpenathur</v>
      </c>
      <c r="T345" s="3" t="str">
        <f t="shared" si="168"/>
        <v>Kilpenathur</v>
      </c>
      <c r="U345" s="3" t="str">
        <f t="shared" si="143"/>
        <v>Tiruvannamalai_Kilpenathur_Kilpenathur</v>
      </c>
      <c r="V345" s="3">
        <f>IF(_xlfn.XLOOKUP($U345,GCA!$H$3:$H$593,GCA!E$3:E$593,"",0,1)="","",_xlfn.XLOOKUP($U345,GCA!$H$3:$H$593,GCA!E$3:E$593,"",0,1))</f>
        <v>23239.21</v>
      </c>
      <c r="W345" s="3">
        <f>IF(_xlfn.XLOOKUP($U345,GCA!$H$3:$H$593,GCA!F$3:F$593,"",0,1)="","",_xlfn.XLOOKUP($U345,GCA!$H$3:$H$593,GCA!F$3:F$593,"",0,1))</f>
        <v>22740.974999999999</v>
      </c>
      <c r="X345" s="3">
        <f>IF(_xlfn.XLOOKUP($U345,GCA!$H$3:$H$593,GCA!G$3:G$593,"",0,1)="","",_xlfn.XLOOKUP($U345,GCA!$H$3:$H$593,GCA!G$3:G$593,"",0,1))</f>
        <v>23465.244999999999</v>
      </c>
    </row>
    <row r="346" spans="1:24" ht="13.2">
      <c r="A346" s="49"/>
      <c r="B346" s="49"/>
      <c r="C346" s="48"/>
      <c r="D346" s="49"/>
      <c r="E346" s="50"/>
      <c r="F346" s="26" t="s">
        <v>816</v>
      </c>
      <c r="G346" s="26" t="s">
        <v>817</v>
      </c>
      <c r="H346" s="27">
        <f t="shared" si="170"/>
        <v>5236.74</v>
      </c>
      <c r="I346" s="27">
        <f t="shared" si="170"/>
        <v>5126.6750000000002</v>
      </c>
      <c r="J346" s="27">
        <f t="shared" si="170"/>
        <v>5257.08</v>
      </c>
      <c r="K346" s="27">
        <f t="shared" si="171"/>
        <v>5206.8316666666669</v>
      </c>
      <c r="L346" s="65"/>
      <c r="M346" s="67">
        <f t="shared" si="172"/>
        <v>0</v>
      </c>
      <c r="N346" s="65" t="str">
        <f t="shared" si="165"/>
        <v/>
      </c>
      <c r="O346" s="65" t="str">
        <f t="shared" si="173"/>
        <v/>
      </c>
      <c r="P346" s="65" t="str">
        <f t="shared" si="173"/>
        <v/>
      </c>
      <c r="Q346" s="38"/>
      <c r="R346" s="3" t="str">
        <f t="shared" si="175"/>
        <v>Tiruvannamalai</v>
      </c>
      <c r="S346" s="3" t="str">
        <f t="shared" si="168"/>
        <v>Kilpenathur</v>
      </c>
      <c r="T346" s="3" t="str">
        <f t="shared" si="168"/>
        <v>Thurinjapuram</v>
      </c>
      <c r="U346" s="3" t="str">
        <f t="shared" ref="U346:U409" si="176">CONCATENATE(R346,"_",S346,"_",T346)</f>
        <v>Tiruvannamalai_Kilpenathur_Thurinjapuram</v>
      </c>
      <c r="V346" s="3">
        <f>IF(_xlfn.XLOOKUP($U346,GCA!$H$3:$H$593,GCA!E$3:E$593,"",0,1)="","",_xlfn.XLOOKUP($U346,GCA!$H$3:$H$593,GCA!E$3:E$593,"",0,1))</f>
        <v>5236.74</v>
      </c>
      <c r="W346" s="3">
        <f>IF(_xlfn.XLOOKUP($U346,GCA!$H$3:$H$593,GCA!F$3:F$593,"",0,1)="","",_xlfn.XLOOKUP($U346,GCA!$H$3:$H$593,GCA!F$3:F$593,"",0,1))</f>
        <v>5126.6750000000002</v>
      </c>
      <c r="X346" s="3">
        <f>IF(_xlfn.XLOOKUP($U346,GCA!$H$3:$H$593,GCA!G$3:G$593,"",0,1)="","",_xlfn.XLOOKUP($U346,GCA!$H$3:$H$593,GCA!G$3:G$593,"",0,1))</f>
        <v>5257.08</v>
      </c>
    </row>
    <row r="347" spans="1:24" ht="13.2">
      <c r="A347" s="49"/>
      <c r="B347" s="49"/>
      <c r="C347" s="48"/>
      <c r="D347" s="49"/>
      <c r="E347" s="50"/>
      <c r="F347" s="26" t="s">
        <v>816</v>
      </c>
      <c r="G347" s="26" t="s">
        <v>274</v>
      </c>
      <c r="H347" s="27">
        <f t="shared" si="170"/>
        <v>4582.05</v>
      </c>
      <c r="I347" s="27">
        <f t="shared" si="170"/>
        <v>4372.8149999999996</v>
      </c>
      <c r="J347" s="27">
        <f t="shared" si="170"/>
        <v>2932.7550000000001</v>
      </c>
      <c r="K347" s="27">
        <f t="shared" si="171"/>
        <v>3962.5399999999995</v>
      </c>
      <c r="L347" s="65"/>
      <c r="M347" s="67">
        <f t="shared" si="172"/>
        <v>0</v>
      </c>
      <c r="N347" s="65" t="str">
        <f t="shared" si="165"/>
        <v/>
      </c>
      <c r="O347" s="65" t="str">
        <f t="shared" si="173"/>
        <v/>
      </c>
      <c r="P347" s="65" t="str">
        <f t="shared" si="173"/>
        <v/>
      </c>
      <c r="Q347" s="38"/>
      <c r="R347" s="3" t="str">
        <f t="shared" si="175"/>
        <v>Tiruvannamalai</v>
      </c>
      <c r="S347" s="3" t="str">
        <f t="shared" si="168"/>
        <v>Kilpenathur</v>
      </c>
      <c r="T347" s="3" t="str">
        <f t="shared" si="168"/>
        <v>Tiruvannamalai</v>
      </c>
      <c r="U347" s="3" t="str">
        <f t="shared" si="176"/>
        <v>Tiruvannamalai_Kilpenathur_Tiruvannamalai</v>
      </c>
      <c r="V347" s="3">
        <f>IF(_xlfn.XLOOKUP($U347,GCA!$H$3:$H$593,GCA!E$3:E$593,"",0,1)="","",_xlfn.XLOOKUP($U347,GCA!$H$3:$H$593,GCA!E$3:E$593,"",0,1))</f>
        <v>4582.05</v>
      </c>
      <c r="W347" s="3">
        <f>IF(_xlfn.XLOOKUP($U347,GCA!$H$3:$H$593,GCA!F$3:F$593,"",0,1)="","",_xlfn.XLOOKUP($U347,GCA!$H$3:$H$593,GCA!F$3:F$593,"",0,1))</f>
        <v>4372.8149999999996</v>
      </c>
      <c r="X347" s="3">
        <f>IF(_xlfn.XLOOKUP($U347,GCA!$H$3:$H$593,GCA!G$3:G$593,"",0,1)="","",_xlfn.XLOOKUP($U347,GCA!$H$3:$H$593,GCA!G$3:G$593,"",0,1))</f>
        <v>2932.7550000000001</v>
      </c>
    </row>
    <row r="348" spans="1:24" ht="13.2">
      <c r="A348" s="49"/>
      <c r="B348" s="49"/>
      <c r="C348" s="48"/>
      <c r="D348" s="49"/>
      <c r="E348" s="50">
        <v>4</v>
      </c>
      <c r="F348" s="26" t="s">
        <v>818</v>
      </c>
      <c r="G348" s="26" t="s">
        <v>810</v>
      </c>
      <c r="H348" s="27">
        <f t="shared" si="170"/>
        <v>9699.3050000000003</v>
      </c>
      <c r="I348" s="27">
        <f t="shared" si="170"/>
        <v>11094.5</v>
      </c>
      <c r="J348" s="27">
        <f t="shared" si="170"/>
        <v>11270.57</v>
      </c>
      <c r="K348" s="27">
        <f t="shared" si="171"/>
        <v>10688.125</v>
      </c>
      <c r="L348" s="65">
        <f>SUM(K348:K351)</f>
        <v>72318.21166666667</v>
      </c>
      <c r="M348" s="67">
        <f t="shared" si="172"/>
        <v>3.0354871839075397</v>
      </c>
      <c r="N348" s="65">
        <f t="shared" si="165"/>
        <v>3</v>
      </c>
      <c r="O348" s="65">
        <f t="shared" si="173"/>
        <v>3</v>
      </c>
      <c r="P348" s="65">
        <f t="shared" si="173"/>
        <v>3</v>
      </c>
      <c r="Q348" s="38"/>
      <c r="R348" s="3" t="str">
        <f t="shared" si="175"/>
        <v>Tiruvannamalai</v>
      </c>
      <c r="S348" s="3" t="str">
        <f t="shared" si="168"/>
        <v>Polur</v>
      </c>
      <c r="T348" s="3" t="str">
        <f t="shared" si="168"/>
        <v>Chetpet</v>
      </c>
      <c r="U348" s="3" t="str">
        <f t="shared" si="176"/>
        <v>Tiruvannamalai_Polur_Chetpet</v>
      </c>
      <c r="V348" s="3">
        <f>IF(_xlfn.XLOOKUP($U348,GCA!$H$3:$H$593,GCA!E$3:E$593,"",0,1)="","",_xlfn.XLOOKUP($U348,GCA!$H$3:$H$593,GCA!E$3:E$593,"",0,1))</f>
        <v>9699.3050000000003</v>
      </c>
      <c r="W348" s="3">
        <f>IF(_xlfn.XLOOKUP($U348,GCA!$H$3:$H$593,GCA!F$3:F$593,"",0,1)="","",_xlfn.XLOOKUP($U348,GCA!$H$3:$H$593,GCA!F$3:F$593,"",0,1))</f>
        <v>11094.5</v>
      </c>
      <c r="X348" s="3">
        <f>IF(_xlfn.XLOOKUP($U348,GCA!$H$3:$H$593,GCA!G$3:G$593,"",0,1)="","",_xlfn.XLOOKUP($U348,GCA!$H$3:$H$593,GCA!G$3:G$593,"",0,1))</f>
        <v>11270.57</v>
      </c>
    </row>
    <row r="349" spans="1:24" ht="13.2">
      <c r="A349" s="49"/>
      <c r="B349" s="49"/>
      <c r="C349" s="48"/>
      <c r="D349" s="49"/>
      <c r="E349" s="50"/>
      <c r="F349" s="26" t="s">
        <v>818</v>
      </c>
      <c r="G349" s="26" t="s">
        <v>818</v>
      </c>
      <c r="H349" s="27">
        <f t="shared" si="170"/>
        <v>25963.474999999999</v>
      </c>
      <c r="I349" s="27">
        <f t="shared" si="170"/>
        <v>25686.5</v>
      </c>
      <c r="J349" s="27">
        <f t="shared" si="170"/>
        <v>24547.794999999998</v>
      </c>
      <c r="K349" s="27">
        <f t="shared" si="171"/>
        <v>25399.256666666664</v>
      </c>
      <c r="L349" s="65"/>
      <c r="M349" s="67">
        <f t="shared" si="172"/>
        <v>0</v>
      </c>
      <c r="N349" s="65" t="str">
        <f t="shared" si="165"/>
        <v/>
      </c>
      <c r="O349" s="65" t="str">
        <f t="shared" ref="O349:P357" si="177">N349</f>
        <v/>
      </c>
      <c r="P349" s="65" t="str">
        <f t="shared" si="177"/>
        <v/>
      </c>
      <c r="Q349" s="38"/>
      <c r="R349" s="3" t="str">
        <f t="shared" si="175"/>
        <v>Tiruvannamalai</v>
      </c>
      <c r="S349" s="3" t="str">
        <f t="shared" si="168"/>
        <v>Polur</v>
      </c>
      <c r="T349" s="3" t="str">
        <f t="shared" si="168"/>
        <v>Polur</v>
      </c>
      <c r="U349" s="3" t="str">
        <f t="shared" si="176"/>
        <v>Tiruvannamalai_Polur_Polur</v>
      </c>
      <c r="V349" s="3">
        <f>IF(_xlfn.XLOOKUP($U349,GCA!$H$3:$H$593,GCA!E$3:E$593,"",0,1)="","",_xlfn.XLOOKUP($U349,GCA!$H$3:$H$593,GCA!E$3:E$593,"",0,1))</f>
        <v>25963.474999999999</v>
      </c>
      <c r="W349" s="3">
        <f>IF(_xlfn.XLOOKUP($U349,GCA!$H$3:$H$593,GCA!F$3:F$593,"",0,1)="","",_xlfn.XLOOKUP($U349,GCA!$H$3:$H$593,GCA!F$3:F$593,"",0,1))</f>
        <v>25686.5</v>
      </c>
      <c r="X349" s="3">
        <f>IF(_xlfn.XLOOKUP($U349,GCA!$H$3:$H$593,GCA!G$3:G$593,"",0,1)="","",_xlfn.XLOOKUP($U349,GCA!$H$3:$H$593,GCA!G$3:G$593,"",0,1))</f>
        <v>24547.794999999998</v>
      </c>
    </row>
    <row r="350" spans="1:24" ht="13.2">
      <c r="A350" s="49"/>
      <c r="B350" s="49"/>
      <c r="C350" s="48"/>
      <c r="D350" s="49"/>
      <c r="E350" s="50"/>
      <c r="F350" s="26" t="s">
        <v>819</v>
      </c>
      <c r="G350" s="26" t="s">
        <v>807</v>
      </c>
      <c r="H350" s="27">
        <f t="shared" si="170"/>
        <v>119.6</v>
      </c>
      <c r="I350" s="27">
        <f t="shared" si="170"/>
        <v>152.80000000000001</v>
      </c>
      <c r="J350" s="27">
        <f t="shared" si="170"/>
        <v>136.5</v>
      </c>
      <c r="K350" s="27">
        <f t="shared" si="171"/>
        <v>136.29999999999998</v>
      </c>
      <c r="L350" s="65"/>
      <c r="M350" s="67">
        <f t="shared" si="172"/>
        <v>0</v>
      </c>
      <c r="N350" s="65" t="str">
        <f t="shared" si="165"/>
        <v/>
      </c>
      <c r="O350" s="65" t="str">
        <f t="shared" si="177"/>
        <v/>
      </c>
      <c r="P350" s="65" t="str">
        <f t="shared" si="177"/>
        <v/>
      </c>
      <c r="Q350" s="38"/>
      <c r="R350" s="3" t="str">
        <f t="shared" si="175"/>
        <v>Tiruvannamalai</v>
      </c>
      <c r="S350" s="3" t="str">
        <f t="shared" si="168"/>
        <v>Thandarampattu</v>
      </c>
      <c r="T350" s="3" t="str">
        <f t="shared" si="168"/>
        <v>Chengam</v>
      </c>
      <c r="U350" s="3" t="str">
        <f t="shared" si="176"/>
        <v>Tiruvannamalai_Thandarampattu_Chengam</v>
      </c>
      <c r="V350" s="3">
        <f>IF(_xlfn.XLOOKUP($U350,GCA!$H$3:$H$593,GCA!E$3:E$593,"",0,1)="","",_xlfn.XLOOKUP($U350,GCA!$H$3:$H$593,GCA!E$3:E$593,"",0,1))</f>
        <v>119.6</v>
      </c>
      <c r="W350" s="3">
        <f>IF(_xlfn.XLOOKUP($U350,GCA!$H$3:$H$593,GCA!F$3:F$593,"",0,1)="","",_xlfn.XLOOKUP($U350,GCA!$H$3:$H$593,GCA!F$3:F$593,"",0,1))</f>
        <v>152.80000000000001</v>
      </c>
      <c r="X350" s="3">
        <f>IF(_xlfn.XLOOKUP($U350,GCA!$H$3:$H$593,GCA!G$3:G$593,"",0,1)="","",_xlfn.XLOOKUP($U350,GCA!$H$3:$H$593,GCA!G$3:G$593,"",0,1))</f>
        <v>136.5</v>
      </c>
    </row>
    <row r="351" spans="1:24" ht="13.2">
      <c r="A351" s="49"/>
      <c r="B351" s="49"/>
      <c r="C351" s="48"/>
      <c r="D351" s="49"/>
      <c r="E351" s="50"/>
      <c r="F351" s="26" t="s">
        <v>819</v>
      </c>
      <c r="G351" s="26" t="s">
        <v>820</v>
      </c>
      <c r="H351" s="27">
        <f t="shared" si="170"/>
        <v>35150</v>
      </c>
      <c r="I351" s="27">
        <f t="shared" si="170"/>
        <v>37618.644999999997</v>
      </c>
      <c r="J351" s="27">
        <f t="shared" si="170"/>
        <v>35514.945</v>
      </c>
      <c r="K351" s="27">
        <f t="shared" si="171"/>
        <v>36094.53</v>
      </c>
      <c r="L351" s="65"/>
      <c r="M351" s="67">
        <f t="shared" si="172"/>
        <v>0</v>
      </c>
      <c r="N351" s="65" t="str">
        <f t="shared" si="165"/>
        <v/>
      </c>
      <c r="O351" s="65" t="str">
        <f t="shared" si="177"/>
        <v/>
      </c>
      <c r="P351" s="65" t="str">
        <f t="shared" si="177"/>
        <v/>
      </c>
      <c r="Q351" s="38"/>
      <c r="R351" s="3" t="str">
        <f t="shared" si="175"/>
        <v>Tiruvannamalai</v>
      </c>
      <c r="S351" s="3" t="str">
        <f t="shared" si="168"/>
        <v>Thandarampattu</v>
      </c>
      <c r="T351" s="3" t="str">
        <f t="shared" si="168"/>
        <v>Thandarampat</v>
      </c>
      <c r="U351" s="3" t="str">
        <f t="shared" si="176"/>
        <v>Tiruvannamalai_Thandarampattu_Thandarampat</v>
      </c>
      <c r="V351" s="3">
        <f>IF(_xlfn.XLOOKUP($U351,GCA!$H$3:$H$593,GCA!E$3:E$593,"",0,1)="","",_xlfn.XLOOKUP($U351,GCA!$H$3:$H$593,GCA!E$3:E$593,"",0,1))</f>
        <v>35150</v>
      </c>
      <c r="W351" s="3">
        <f>IF(_xlfn.XLOOKUP($U351,GCA!$H$3:$H$593,GCA!F$3:F$593,"",0,1)="","",_xlfn.XLOOKUP($U351,GCA!$H$3:$H$593,GCA!F$3:F$593,"",0,1))</f>
        <v>37618.644999999997</v>
      </c>
      <c r="X351" s="3">
        <f>IF(_xlfn.XLOOKUP($U351,GCA!$H$3:$H$593,GCA!G$3:G$593,"",0,1)="","",_xlfn.XLOOKUP($U351,GCA!$H$3:$H$593,GCA!G$3:G$593,"",0,1))</f>
        <v>35514.945</v>
      </c>
    </row>
    <row r="352" spans="1:24" ht="13.2">
      <c r="A352" s="49"/>
      <c r="B352" s="49"/>
      <c r="C352" s="48"/>
      <c r="D352" s="49"/>
      <c r="E352" s="50">
        <v>5</v>
      </c>
      <c r="F352" s="26" t="s">
        <v>274</v>
      </c>
      <c r="G352" s="26" t="s">
        <v>817</v>
      </c>
      <c r="H352" s="27">
        <f t="shared" si="170"/>
        <v>20311.7</v>
      </c>
      <c r="I352" s="27">
        <f t="shared" si="170"/>
        <v>24806.028999999999</v>
      </c>
      <c r="J352" s="27">
        <f t="shared" si="170"/>
        <v>22086.601999999999</v>
      </c>
      <c r="K352" s="27">
        <f t="shared" si="171"/>
        <v>22401.44366666667</v>
      </c>
      <c r="L352" s="65">
        <f>SUM(K352:K353)</f>
        <v>41849.723333333342</v>
      </c>
      <c r="M352" s="67">
        <f t="shared" si="172"/>
        <v>1.7566017729246899</v>
      </c>
      <c r="N352" s="65">
        <f t="shared" si="165"/>
        <v>2</v>
      </c>
      <c r="O352" s="65">
        <f t="shared" si="177"/>
        <v>2</v>
      </c>
      <c r="P352" s="65">
        <f t="shared" si="177"/>
        <v>2</v>
      </c>
      <c r="Q352" s="38"/>
      <c r="R352" s="3" t="str">
        <f t="shared" si="175"/>
        <v>Tiruvannamalai</v>
      </c>
      <c r="S352" s="3" t="str">
        <f t="shared" si="168"/>
        <v>Tiruvannamalai</v>
      </c>
      <c r="T352" s="3" t="str">
        <f t="shared" si="168"/>
        <v>Thurinjapuram</v>
      </c>
      <c r="U352" s="3" t="str">
        <f t="shared" si="176"/>
        <v>Tiruvannamalai_Tiruvannamalai_Thurinjapuram</v>
      </c>
      <c r="V352" s="3">
        <f>IF(_xlfn.XLOOKUP($U352,GCA!$H$3:$H$593,GCA!E$3:E$593,"",0,1)="","",_xlfn.XLOOKUP($U352,GCA!$H$3:$H$593,GCA!E$3:E$593,"",0,1))</f>
        <v>20311.7</v>
      </c>
      <c r="W352" s="3">
        <f>IF(_xlfn.XLOOKUP($U352,GCA!$H$3:$H$593,GCA!F$3:F$593,"",0,1)="","",_xlfn.XLOOKUP($U352,GCA!$H$3:$H$593,GCA!F$3:F$593,"",0,1))</f>
        <v>24806.028999999999</v>
      </c>
      <c r="X352" s="3">
        <f>IF(_xlfn.XLOOKUP($U352,GCA!$H$3:$H$593,GCA!G$3:G$593,"",0,1)="","",_xlfn.XLOOKUP($U352,GCA!$H$3:$H$593,GCA!G$3:G$593,"",0,1))</f>
        <v>22086.601999999999</v>
      </c>
    </row>
    <row r="353" spans="1:24" ht="13.2">
      <c r="A353" s="49"/>
      <c r="B353" s="49"/>
      <c r="C353" s="48"/>
      <c r="D353" s="49"/>
      <c r="E353" s="50"/>
      <c r="F353" s="26" t="s">
        <v>274</v>
      </c>
      <c r="G353" s="26" t="s">
        <v>274</v>
      </c>
      <c r="H353" s="27">
        <f t="shared" si="170"/>
        <v>19196.47</v>
      </c>
      <c r="I353" s="27">
        <f t="shared" si="170"/>
        <v>20126.971000000001</v>
      </c>
      <c r="J353" s="27">
        <f t="shared" si="170"/>
        <v>19021.398000000001</v>
      </c>
      <c r="K353" s="27">
        <f t="shared" si="171"/>
        <v>19448.279666666669</v>
      </c>
      <c r="L353" s="65"/>
      <c r="M353" s="67">
        <f t="shared" si="172"/>
        <v>0</v>
      </c>
      <c r="N353" s="65" t="str">
        <f t="shared" si="165"/>
        <v/>
      </c>
      <c r="O353" s="65" t="str">
        <f t="shared" si="177"/>
        <v/>
      </c>
      <c r="P353" s="65" t="str">
        <f t="shared" si="177"/>
        <v/>
      </c>
      <c r="Q353" s="38"/>
      <c r="R353" s="3" t="str">
        <f t="shared" si="175"/>
        <v>Tiruvannamalai</v>
      </c>
      <c r="S353" s="3" t="str">
        <f t="shared" si="168"/>
        <v>Tiruvannamalai</v>
      </c>
      <c r="T353" s="3" t="str">
        <f t="shared" si="168"/>
        <v>Tiruvannamalai</v>
      </c>
      <c r="U353" s="3" t="str">
        <f t="shared" si="176"/>
        <v>Tiruvannamalai_Tiruvannamalai_Tiruvannamalai</v>
      </c>
      <c r="V353" s="3">
        <f>IF(_xlfn.XLOOKUP($U353,GCA!$H$3:$H$593,GCA!E$3:E$593,"",0,1)="","",_xlfn.XLOOKUP($U353,GCA!$H$3:$H$593,GCA!E$3:E$593,"",0,1))</f>
        <v>19196.47</v>
      </c>
      <c r="W353" s="3">
        <f>IF(_xlfn.XLOOKUP($U353,GCA!$H$3:$H$593,GCA!F$3:F$593,"",0,1)="","",_xlfn.XLOOKUP($U353,GCA!$H$3:$H$593,GCA!F$3:F$593,"",0,1))</f>
        <v>20126.971000000001</v>
      </c>
      <c r="X353" s="3">
        <f>IF(_xlfn.XLOOKUP($U353,GCA!$H$3:$H$593,GCA!G$3:G$593,"",0,1)="","",_xlfn.XLOOKUP($U353,GCA!$H$3:$H$593,GCA!G$3:G$593,"",0,1))</f>
        <v>19021.398000000001</v>
      </c>
    </row>
    <row r="354" spans="1:24" ht="13.2">
      <c r="A354" s="49"/>
      <c r="B354" s="49"/>
      <c r="C354" s="48"/>
      <c r="D354" s="49"/>
      <c r="E354" s="50">
        <v>6</v>
      </c>
      <c r="F354" s="26" t="s">
        <v>821</v>
      </c>
      <c r="G354" s="26" t="s">
        <v>811</v>
      </c>
      <c r="H354" s="27">
        <f t="shared" si="170"/>
        <v>4315.3</v>
      </c>
      <c r="I354" s="27">
        <f t="shared" si="170"/>
        <v>4369.3050000000003</v>
      </c>
      <c r="J354" s="27">
        <f t="shared" si="170"/>
        <v>5118.0349999999999</v>
      </c>
      <c r="K354" s="27">
        <f t="shared" si="171"/>
        <v>4600.88</v>
      </c>
      <c r="L354" s="65">
        <f>SUM(K354:K357)</f>
        <v>47173.286666666667</v>
      </c>
      <c r="M354" s="67">
        <f t="shared" si="172"/>
        <v>1.9800532092729395</v>
      </c>
      <c r="N354" s="65">
        <f t="shared" si="165"/>
        <v>2</v>
      </c>
      <c r="O354" s="65">
        <f t="shared" si="177"/>
        <v>2</v>
      </c>
      <c r="P354" s="65">
        <f t="shared" si="177"/>
        <v>2</v>
      </c>
      <c r="Q354" s="38"/>
      <c r="R354" s="3" t="str">
        <f t="shared" si="175"/>
        <v>Tiruvannamalai</v>
      </c>
      <c r="S354" s="3" t="str">
        <f t="shared" si="168"/>
        <v>Vandavasi</v>
      </c>
      <c r="T354" s="3" t="str">
        <f t="shared" si="168"/>
        <v>Peranamallur</v>
      </c>
      <c r="U354" s="3" t="str">
        <f t="shared" si="176"/>
        <v>Tiruvannamalai_Vandavasi_Peranamallur</v>
      </c>
      <c r="V354" s="3">
        <f>IF(_xlfn.XLOOKUP($U354,GCA!$H$3:$H$593,GCA!E$3:E$593,"",0,1)="","",_xlfn.XLOOKUP($U354,GCA!$H$3:$H$593,GCA!E$3:E$593,"",0,1))</f>
        <v>4315.3</v>
      </c>
      <c r="W354" s="3">
        <f>IF(_xlfn.XLOOKUP($U354,GCA!$H$3:$H$593,GCA!F$3:F$593,"",0,1)="","",_xlfn.XLOOKUP($U354,GCA!$H$3:$H$593,GCA!F$3:F$593,"",0,1))</f>
        <v>4369.3050000000003</v>
      </c>
      <c r="X354" s="3">
        <f>IF(_xlfn.XLOOKUP($U354,GCA!$H$3:$H$593,GCA!G$3:G$593,"",0,1)="","",_xlfn.XLOOKUP($U354,GCA!$H$3:$H$593,GCA!G$3:G$593,"",0,1))</f>
        <v>5118.0349999999999</v>
      </c>
    </row>
    <row r="355" spans="1:24" ht="13.2">
      <c r="A355" s="49"/>
      <c r="B355" s="49"/>
      <c r="C355" s="48"/>
      <c r="D355" s="49"/>
      <c r="E355" s="50"/>
      <c r="F355" s="26" t="s">
        <v>821</v>
      </c>
      <c r="G355" s="26" t="s">
        <v>822</v>
      </c>
      <c r="H355" s="27">
        <f t="shared" si="170"/>
        <v>11002.21</v>
      </c>
      <c r="I355" s="27">
        <f t="shared" si="170"/>
        <v>11541.764999999999</v>
      </c>
      <c r="J355" s="27">
        <f t="shared" si="170"/>
        <v>13080.014999999999</v>
      </c>
      <c r="K355" s="27">
        <f t="shared" si="171"/>
        <v>11874.663333333332</v>
      </c>
      <c r="L355" s="65"/>
      <c r="M355" s="67">
        <f t="shared" si="172"/>
        <v>0</v>
      </c>
      <c r="N355" s="65" t="str">
        <f t="shared" si="165"/>
        <v/>
      </c>
      <c r="O355" s="65" t="str">
        <f t="shared" si="177"/>
        <v/>
      </c>
      <c r="P355" s="65" t="str">
        <f t="shared" si="177"/>
        <v/>
      </c>
      <c r="Q355" s="38"/>
      <c r="R355" s="3" t="str">
        <f t="shared" si="175"/>
        <v>Tiruvannamalai</v>
      </c>
      <c r="S355" s="3" t="str">
        <f t="shared" si="168"/>
        <v>Vandavasi</v>
      </c>
      <c r="T355" s="3" t="str">
        <f t="shared" si="168"/>
        <v>Thellar</v>
      </c>
      <c r="U355" s="3" t="str">
        <f t="shared" si="176"/>
        <v>Tiruvannamalai_Vandavasi_Thellar</v>
      </c>
      <c r="V355" s="3">
        <f>IF(_xlfn.XLOOKUP($U355,GCA!$H$3:$H$593,GCA!E$3:E$593,"",0,1)="","",_xlfn.XLOOKUP($U355,GCA!$H$3:$H$593,GCA!E$3:E$593,"",0,1))</f>
        <v>11002.21</v>
      </c>
      <c r="W355" s="3">
        <f>IF(_xlfn.XLOOKUP($U355,GCA!$H$3:$H$593,GCA!F$3:F$593,"",0,1)="","",_xlfn.XLOOKUP($U355,GCA!$H$3:$H$593,GCA!F$3:F$593,"",0,1))</f>
        <v>11541.764999999999</v>
      </c>
      <c r="X355" s="3">
        <f>IF(_xlfn.XLOOKUP($U355,GCA!$H$3:$H$593,GCA!G$3:G$593,"",0,1)="","",_xlfn.XLOOKUP($U355,GCA!$H$3:$H$593,GCA!G$3:G$593,"",0,1))</f>
        <v>13080.014999999999</v>
      </c>
    </row>
    <row r="356" spans="1:24" ht="13.2">
      <c r="A356" s="49"/>
      <c r="B356" s="49"/>
      <c r="C356" s="48"/>
      <c r="D356" s="49"/>
      <c r="E356" s="50"/>
      <c r="F356" s="26" t="s">
        <v>821</v>
      </c>
      <c r="G356" s="26" t="s">
        <v>821</v>
      </c>
      <c r="H356" s="27">
        <f t="shared" si="170"/>
        <v>12564.49</v>
      </c>
      <c r="I356" s="27">
        <f t="shared" si="170"/>
        <v>12050.48</v>
      </c>
      <c r="J356" s="27">
        <f t="shared" si="170"/>
        <v>12381.95</v>
      </c>
      <c r="K356" s="27">
        <f t="shared" si="171"/>
        <v>12332.306666666665</v>
      </c>
      <c r="L356" s="65"/>
      <c r="M356" s="67">
        <f t="shared" si="172"/>
        <v>0</v>
      </c>
      <c r="N356" s="65" t="str">
        <f t="shared" si="165"/>
        <v/>
      </c>
      <c r="O356" s="65" t="str">
        <f t="shared" si="177"/>
        <v/>
      </c>
      <c r="P356" s="65" t="str">
        <f t="shared" si="177"/>
        <v/>
      </c>
      <c r="Q356" s="38"/>
      <c r="R356" s="3" t="str">
        <f t="shared" si="175"/>
        <v>Tiruvannamalai</v>
      </c>
      <c r="S356" s="3" t="str">
        <f t="shared" si="168"/>
        <v>Vandavasi</v>
      </c>
      <c r="T356" s="3" t="str">
        <f t="shared" si="168"/>
        <v>Vandavasi</v>
      </c>
      <c r="U356" s="3" t="str">
        <f t="shared" si="176"/>
        <v>Tiruvannamalai_Vandavasi_Vandavasi</v>
      </c>
      <c r="V356" s="3">
        <f>IF(_xlfn.XLOOKUP($U356,GCA!$H$3:$H$593,GCA!E$3:E$593,"",0,1)="","",_xlfn.XLOOKUP($U356,GCA!$H$3:$H$593,GCA!E$3:E$593,"",0,1))</f>
        <v>12564.49</v>
      </c>
      <c r="W356" s="3">
        <f>IF(_xlfn.XLOOKUP($U356,GCA!$H$3:$H$593,GCA!F$3:F$593,"",0,1)="","",_xlfn.XLOOKUP($U356,GCA!$H$3:$H$593,GCA!F$3:F$593,"",0,1))</f>
        <v>12050.48</v>
      </c>
      <c r="X356" s="3">
        <f>IF(_xlfn.XLOOKUP($U356,GCA!$H$3:$H$593,GCA!G$3:G$593,"",0,1)="","",_xlfn.XLOOKUP($U356,GCA!$H$3:$H$593,GCA!G$3:G$593,"",0,1))</f>
        <v>12381.95</v>
      </c>
    </row>
    <row r="357" spans="1:24" ht="13.2">
      <c r="A357" s="49"/>
      <c r="B357" s="49"/>
      <c r="C357" s="48"/>
      <c r="D357" s="49"/>
      <c r="E357" s="50"/>
      <c r="F357" s="26" t="s">
        <v>823</v>
      </c>
      <c r="G357" s="26" t="s">
        <v>823</v>
      </c>
      <c r="H357" s="27">
        <f t="shared" si="170"/>
        <v>18159.7</v>
      </c>
      <c r="I357" s="27">
        <f t="shared" si="170"/>
        <v>17853.5</v>
      </c>
      <c r="J357" s="27">
        <f t="shared" si="170"/>
        <v>19083.11</v>
      </c>
      <c r="K357" s="27">
        <f t="shared" si="171"/>
        <v>18365.436666666665</v>
      </c>
      <c r="L357" s="65"/>
      <c r="M357" s="67">
        <f t="shared" si="172"/>
        <v>0</v>
      </c>
      <c r="N357" s="65" t="str">
        <f t="shared" si="165"/>
        <v/>
      </c>
      <c r="O357" s="65" t="str">
        <f t="shared" si="177"/>
        <v/>
      </c>
      <c r="P357" s="65" t="str">
        <f t="shared" si="177"/>
        <v/>
      </c>
      <c r="Q357" s="38"/>
      <c r="R357" s="3" t="str">
        <f t="shared" si="175"/>
        <v>Tiruvannamalai</v>
      </c>
      <c r="S357" s="3" t="str">
        <f t="shared" si="168"/>
        <v>Vembakkam</v>
      </c>
      <c r="T357" s="3" t="str">
        <f t="shared" si="168"/>
        <v>Vembakkam</v>
      </c>
      <c r="U357" s="3" t="str">
        <f t="shared" si="176"/>
        <v>Tiruvannamalai_Vembakkam_Vembakkam</v>
      </c>
      <c r="V357" s="3">
        <f>IF(_xlfn.XLOOKUP($U357,GCA!$H$3:$H$593,GCA!E$3:E$593,"",0,1)="","",_xlfn.XLOOKUP($U357,GCA!$H$3:$H$593,GCA!E$3:E$593,"",0,1))</f>
        <v>18159.7</v>
      </c>
      <c r="W357" s="3">
        <f>IF(_xlfn.XLOOKUP($U357,GCA!$H$3:$H$593,GCA!F$3:F$593,"",0,1)="","",_xlfn.XLOOKUP($U357,GCA!$H$3:$H$593,GCA!F$3:F$593,"",0,1))</f>
        <v>17853.5</v>
      </c>
      <c r="X357" s="3">
        <f>IF(_xlfn.XLOOKUP($U357,GCA!$H$3:$H$593,GCA!G$3:G$593,"",0,1)="","",_xlfn.XLOOKUP($U357,GCA!$H$3:$H$593,GCA!G$3:G$593,"",0,1))</f>
        <v>19083.11</v>
      </c>
    </row>
    <row r="358" spans="1:24" ht="13.2">
      <c r="A358" s="49"/>
      <c r="B358" s="49"/>
      <c r="C358" s="48"/>
      <c r="D358" s="49"/>
      <c r="E358" s="47" t="s">
        <v>564</v>
      </c>
      <c r="F358" s="47"/>
      <c r="G358" s="47"/>
      <c r="H358" s="29">
        <f t="shared" ref="H358:P358" si="178">SUM(H333:H357)</f>
        <v>335373.67599999992</v>
      </c>
      <c r="I358" s="29">
        <f t="shared" si="178"/>
        <v>344745.57999999996</v>
      </c>
      <c r="J358" s="29">
        <f t="shared" si="178"/>
        <v>339780.22</v>
      </c>
      <c r="K358" s="29">
        <f t="shared" si="178"/>
        <v>339966.49199999997</v>
      </c>
      <c r="L358" s="29">
        <f t="shared" si="178"/>
        <v>339966.49200000003</v>
      </c>
      <c r="M358" s="30">
        <f t="shared" si="178"/>
        <v>14.269765604556063</v>
      </c>
      <c r="N358" s="31">
        <f t="shared" si="178"/>
        <v>15</v>
      </c>
      <c r="O358" s="31">
        <f t="shared" si="178"/>
        <v>15</v>
      </c>
      <c r="P358" s="31">
        <f t="shared" si="178"/>
        <v>15</v>
      </c>
      <c r="Q358" s="38"/>
      <c r="R358" s="3" t="str">
        <f t="shared" si="175"/>
        <v>Tiruvannamalai</v>
      </c>
      <c r="S358" s="3">
        <f t="shared" si="168"/>
        <v>0</v>
      </c>
      <c r="T358" s="3">
        <f t="shared" si="168"/>
        <v>0</v>
      </c>
      <c r="U358" s="3" t="str">
        <f t="shared" si="176"/>
        <v>Tiruvannamalai_0_0</v>
      </c>
      <c r="V358" s="3" t="str">
        <f>IF(_xlfn.XLOOKUP($U358,GCA!$H$3:$H$593,GCA!E$3:E$593,"",0,1)="","",_xlfn.XLOOKUP($U358,GCA!$H$3:$H$593,GCA!E$3:E$593,"",0,1))</f>
        <v/>
      </c>
      <c r="W358" s="3" t="str">
        <f>IF(_xlfn.XLOOKUP($U358,GCA!$H$3:$H$593,GCA!F$3:F$593,"",0,1)="","",_xlfn.XLOOKUP($U358,GCA!$H$3:$H$593,GCA!F$3:F$593,"",0,1))</f>
        <v/>
      </c>
      <c r="X358" s="3" t="str">
        <f>IF(_xlfn.XLOOKUP($U358,GCA!$H$3:$H$593,GCA!G$3:G$593,"",0,1)="","",_xlfn.XLOOKUP($U358,GCA!$H$3:$H$593,GCA!G$3:G$593,"",0,1))</f>
        <v/>
      </c>
    </row>
    <row r="359" spans="1:24" ht="13.2">
      <c r="A359" s="49"/>
      <c r="B359" s="49"/>
      <c r="C359" s="48" t="s">
        <v>490</v>
      </c>
      <c r="D359" s="49" t="s">
        <v>545</v>
      </c>
      <c r="E359" s="50">
        <v>1</v>
      </c>
      <c r="F359" s="26" t="s">
        <v>824</v>
      </c>
      <c r="G359" s="26" t="s">
        <v>824</v>
      </c>
      <c r="H359" s="27">
        <f t="shared" ref="H359:J369" si="179">V359</f>
        <v>8269.4500000000007</v>
      </c>
      <c r="I359" s="27">
        <f t="shared" si="179"/>
        <v>8280.1200000000008</v>
      </c>
      <c r="J359" s="27">
        <f t="shared" si="179"/>
        <v>6949.8050000000003</v>
      </c>
      <c r="K359" s="27">
        <f t="shared" ref="K359:K369" si="180">IFERROR(AVERAGE(H359:J359),"")</f>
        <v>7833.125</v>
      </c>
      <c r="L359" s="65">
        <f>SUM(K359:K369)</f>
        <v>74310.686666666661</v>
      </c>
      <c r="M359" s="67">
        <f t="shared" ref="M359:M369" si="181">L359*$L$643/$L$642</f>
        <v>3.1191194002935521</v>
      </c>
      <c r="N359" s="65">
        <f t="shared" si="165"/>
        <v>3</v>
      </c>
      <c r="O359" s="65">
        <f t="shared" ref="O359:P369" si="182">N359</f>
        <v>3</v>
      </c>
      <c r="P359" s="65">
        <f t="shared" si="182"/>
        <v>3</v>
      </c>
      <c r="Q359" s="38"/>
      <c r="R359" s="3" t="str">
        <f t="shared" si="174"/>
        <v>Ranipet</v>
      </c>
      <c r="S359" s="3" t="str">
        <f t="shared" si="168"/>
        <v>Arakonam</v>
      </c>
      <c r="T359" s="3" t="str">
        <f t="shared" si="168"/>
        <v>Arakonam</v>
      </c>
      <c r="U359" s="3" t="str">
        <f t="shared" si="176"/>
        <v>Ranipet_Arakonam_Arakonam</v>
      </c>
      <c r="V359" s="3">
        <f>IF(_xlfn.XLOOKUP($U359,GCA!$H$3:$H$593,GCA!E$3:E$593,"",0,1)="","",_xlfn.XLOOKUP($U359,GCA!$H$3:$H$593,GCA!E$3:E$593,"",0,1))</f>
        <v>8269.4500000000007</v>
      </c>
      <c r="W359" s="3">
        <f>IF(_xlfn.XLOOKUP($U359,GCA!$H$3:$H$593,GCA!F$3:F$593,"",0,1)="","",_xlfn.XLOOKUP($U359,GCA!$H$3:$H$593,GCA!F$3:F$593,"",0,1))</f>
        <v>8280.1200000000008</v>
      </c>
      <c r="X359" s="3">
        <f>IF(_xlfn.XLOOKUP($U359,GCA!$H$3:$H$593,GCA!G$3:G$593,"",0,1)="","",_xlfn.XLOOKUP($U359,GCA!$H$3:$H$593,GCA!G$3:G$593,"",0,1))</f>
        <v>6949.8050000000003</v>
      </c>
    </row>
    <row r="360" spans="1:24" ht="13.2">
      <c r="A360" s="49"/>
      <c r="B360" s="49"/>
      <c r="C360" s="48"/>
      <c r="D360" s="49"/>
      <c r="E360" s="50"/>
      <c r="F360" s="26" t="s">
        <v>824</v>
      </c>
      <c r="G360" s="26" t="s">
        <v>825</v>
      </c>
      <c r="H360" s="27">
        <f t="shared" si="179"/>
        <v>3832.0549999999998</v>
      </c>
      <c r="I360" s="27">
        <f t="shared" si="179"/>
        <v>3909.1149999999998</v>
      </c>
      <c r="J360" s="27">
        <f t="shared" si="179"/>
        <v>3647.7550000000001</v>
      </c>
      <c r="K360" s="27">
        <f t="shared" si="180"/>
        <v>3796.3083333333329</v>
      </c>
      <c r="L360" s="65"/>
      <c r="M360" s="67">
        <f t="shared" si="181"/>
        <v>0</v>
      </c>
      <c r="N360" s="65" t="str">
        <f t="shared" si="165"/>
        <v/>
      </c>
      <c r="O360" s="65" t="str">
        <f t="shared" si="182"/>
        <v/>
      </c>
      <c r="P360" s="65" t="str">
        <f t="shared" si="182"/>
        <v/>
      </c>
      <c r="Q360" s="38"/>
      <c r="R360" s="3" t="str">
        <f t="shared" ref="R360:R370" si="183">R359</f>
        <v>Ranipet</v>
      </c>
      <c r="S360" s="3" t="str">
        <f t="shared" si="168"/>
        <v>Arakonam</v>
      </c>
      <c r="T360" s="3" t="str">
        <f t="shared" si="168"/>
        <v>Nemeli</v>
      </c>
      <c r="U360" s="3" t="str">
        <f t="shared" si="176"/>
        <v>Ranipet_Arakonam_Nemeli</v>
      </c>
      <c r="V360" s="3">
        <f>IF(_xlfn.XLOOKUP($U360,GCA!$H$3:$H$593,GCA!E$3:E$593,"",0,1)="","",_xlfn.XLOOKUP($U360,GCA!$H$3:$H$593,GCA!E$3:E$593,"",0,1))</f>
        <v>3832.0549999999998</v>
      </c>
      <c r="W360" s="3">
        <f>IF(_xlfn.XLOOKUP($U360,GCA!$H$3:$H$593,GCA!F$3:F$593,"",0,1)="","",_xlfn.XLOOKUP($U360,GCA!$H$3:$H$593,GCA!F$3:F$593,"",0,1))</f>
        <v>3909.1149999999998</v>
      </c>
      <c r="X360" s="3">
        <f>IF(_xlfn.XLOOKUP($U360,GCA!$H$3:$H$593,GCA!G$3:G$593,"",0,1)="","",_xlfn.XLOOKUP($U360,GCA!$H$3:$H$593,GCA!G$3:G$593,"",0,1))</f>
        <v>3647.7550000000001</v>
      </c>
    </row>
    <row r="361" spans="1:24" ht="13.2">
      <c r="A361" s="49"/>
      <c r="B361" s="49"/>
      <c r="C361" s="48"/>
      <c r="D361" s="49"/>
      <c r="E361" s="50"/>
      <c r="F361" s="26" t="s">
        <v>826</v>
      </c>
      <c r="G361" s="26" t="s">
        <v>826</v>
      </c>
      <c r="H361" s="27">
        <f t="shared" si="179"/>
        <v>4810.42</v>
      </c>
      <c r="I361" s="27">
        <f t="shared" si="179"/>
        <v>4504.1850000000004</v>
      </c>
      <c r="J361" s="27">
        <f t="shared" si="179"/>
        <v>4115.8100000000004</v>
      </c>
      <c r="K361" s="27">
        <f t="shared" si="180"/>
        <v>4476.8050000000003</v>
      </c>
      <c r="L361" s="65"/>
      <c r="M361" s="67">
        <f t="shared" si="181"/>
        <v>0</v>
      </c>
      <c r="N361" s="65" t="str">
        <f t="shared" si="165"/>
        <v/>
      </c>
      <c r="O361" s="65" t="str">
        <f t="shared" si="182"/>
        <v/>
      </c>
      <c r="P361" s="65" t="str">
        <f t="shared" si="182"/>
        <v/>
      </c>
      <c r="Q361" s="38"/>
      <c r="R361" s="3" t="str">
        <f t="shared" si="183"/>
        <v>Ranipet</v>
      </c>
      <c r="S361" s="3" t="str">
        <f t="shared" si="168"/>
        <v>Arcot</v>
      </c>
      <c r="T361" s="3" t="str">
        <f t="shared" si="168"/>
        <v>Arcot</v>
      </c>
      <c r="U361" s="3" t="str">
        <f t="shared" si="176"/>
        <v>Ranipet_Arcot_Arcot</v>
      </c>
      <c r="V361" s="3">
        <f>IF(_xlfn.XLOOKUP($U361,GCA!$H$3:$H$593,GCA!E$3:E$593,"",0,1)="","",_xlfn.XLOOKUP($U361,GCA!$H$3:$H$593,GCA!E$3:E$593,"",0,1))</f>
        <v>4810.42</v>
      </c>
      <c r="W361" s="3">
        <f>IF(_xlfn.XLOOKUP($U361,GCA!$H$3:$H$593,GCA!F$3:F$593,"",0,1)="","",_xlfn.XLOOKUP($U361,GCA!$H$3:$H$593,GCA!F$3:F$593,"",0,1))</f>
        <v>4504.1850000000004</v>
      </c>
      <c r="X361" s="3">
        <f>IF(_xlfn.XLOOKUP($U361,GCA!$H$3:$H$593,GCA!G$3:G$593,"",0,1)="","",_xlfn.XLOOKUP($U361,GCA!$H$3:$H$593,GCA!G$3:G$593,"",0,1))</f>
        <v>4115.8100000000004</v>
      </c>
    </row>
    <row r="362" spans="1:24" ht="13.2">
      <c r="A362" s="49"/>
      <c r="B362" s="49"/>
      <c r="C362" s="48"/>
      <c r="D362" s="49"/>
      <c r="E362" s="50"/>
      <c r="F362" s="26" t="s">
        <v>826</v>
      </c>
      <c r="G362" s="26" t="s">
        <v>827</v>
      </c>
      <c r="H362" s="27">
        <f t="shared" si="179"/>
        <v>5062.3</v>
      </c>
      <c r="I362" s="27">
        <f t="shared" si="179"/>
        <v>4209.6499999999996</v>
      </c>
      <c r="J362" s="27">
        <f t="shared" si="179"/>
        <v>4763.08</v>
      </c>
      <c r="K362" s="27">
        <f t="shared" si="180"/>
        <v>4678.3433333333332</v>
      </c>
      <c r="L362" s="65"/>
      <c r="M362" s="67">
        <f t="shared" si="181"/>
        <v>0</v>
      </c>
      <c r="N362" s="65" t="str">
        <f t="shared" si="165"/>
        <v/>
      </c>
      <c r="O362" s="65" t="str">
        <f t="shared" si="182"/>
        <v/>
      </c>
      <c r="P362" s="65" t="str">
        <f t="shared" si="182"/>
        <v/>
      </c>
      <c r="Q362" s="38"/>
      <c r="R362" s="3" t="str">
        <f t="shared" si="183"/>
        <v>Ranipet</v>
      </c>
      <c r="S362" s="3" t="str">
        <f t="shared" si="168"/>
        <v>Arcot</v>
      </c>
      <c r="T362" s="3" t="str">
        <f t="shared" si="168"/>
        <v>Thimiri</v>
      </c>
      <c r="U362" s="3" t="str">
        <f t="shared" si="176"/>
        <v>Ranipet_Arcot_Thimiri</v>
      </c>
      <c r="V362" s="3">
        <f>IF(_xlfn.XLOOKUP($U362,GCA!$H$3:$H$593,GCA!E$3:E$593,"",0,1)="","",_xlfn.XLOOKUP($U362,GCA!$H$3:$H$593,GCA!E$3:E$593,"",0,1))</f>
        <v>5062.3</v>
      </c>
      <c r="W362" s="3">
        <f>IF(_xlfn.XLOOKUP($U362,GCA!$H$3:$H$593,GCA!F$3:F$593,"",0,1)="","",_xlfn.XLOOKUP($U362,GCA!$H$3:$H$593,GCA!F$3:F$593,"",0,1))</f>
        <v>4209.6499999999996</v>
      </c>
      <c r="X362" s="3">
        <f>IF(_xlfn.XLOOKUP($U362,GCA!$H$3:$H$593,GCA!G$3:G$593,"",0,1)="","",_xlfn.XLOOKUP($U362,GCA!$H$3:$H$593,GCA!G$3:G$593,"",0,1))</f>
        <v>4763.08</v>
      </c>
    </row>
    <row r="363" spans="1:24" ht="13.2">
      <c r="A363" s="49"/>
      <c r="B363" s="49"/>
      <c r="C363" s="48"/>
      <c r="D363" s="49"/>
      <c r="E363" s="50"/>
      <c r="F363" s="26" t="s">
        <v>828</v>
      </c>
      <c r="G363" s="26" t="s">
        <v>827</v>
      </c>
      <c r="H363" s="27">
        <f t="shared" si="179"/>
        <v>12930.39</v>
      </c>
      <c r="I363" s="27">
        <f t="shared" si="179"/>
        <v>11122.16</v>
      </c>
      <c r="J363" s="27">
        <f t="shared" si="179"/>
        <v>9455.2099999999991</v>
      </c>
      <c r="K363" s="27">
        <f t="shared" si="180"/>
        <v>11169.253333333332</v>
      </c>
      <c r="L363" s="65"/>
      <c r="M363" s="67">
        <f t="shared" si="181"/>
        <v>0</v>
      </c>
      <c r="N363" s="65" t="str">
        <f t="shared" si="165"/>
        <v/>
      </c>
      <c r="O363" s="65" t="str">
        <f t="shared" si="182"/>
        <v/>
      </c>
      <c r="P363" s="65" t="str">
        <f t="shared" si="182"/>
        <v/>
      </c>
      <c r="Q363" s="38"/>
      <c r="R363" s="3" t="str">
        <f t="shared" si="183"/>
        <v>Ranipet</v>
      </c>
      <c r="S363" s="3" t="str">
        <f t="shared" si="168"/>
        <v>Kalavai</v>
      </c>
      <c r="T363" s="3" t="str">
        <f t="shared" si="168"/>
        <v>Thimiri</v>
      </c>
      <c r="U363" s="3" t="str">
        <f t="shared" si="176"/>
        <v>Ranipet_Kalavai_Thimiri</v>
      </c>
      <c r="V363" s="3">
        <f>IF(_xlfn.XLOOKUP($U363,GCA!$H$3:$H$593,GCA!E$3:E$593,"",0,1)="","",_xlfn.XLOOKUP($U363,GCA!$H$3:$H$593,GCA!E$3:E$593,"",0,1))</f>
        <v>12930.39</v>
      </c>
      <c r="W363" s="3">
        <f>IF(_xlfn.XLOOKUP($U363,GCA!$H$3:$H$593,GCA!F$3:F$593,"",0,1)="","",_xlfn.XLOOKUP($U363,GCA!$H$3:$H$593,GCA!F$3:F$593,"",0,1))</f>
        <v>11122.16</v>
      </c>
      <c r="X363" s="3">
        <f>IF(_xlfn.XLOOKUP($U363,GCA!$H$3:$H$593,GCA!G$3:G$593,"",0,1)="","",_xlfn.XLOOKUP($U363,GCA!$H$3:$H$593,GCA!G$3:G$593,"",0,1))</f>
        <v>9455.2099999999991</v>
      </c>
    </row>
    <row r="364" spans="1:24" ht="13.2">
      <c r="A364" s="49"/>
      <c r="B364" s="49"/>
      <c r="C364" s="48"/>
      <c r="D364" s="49"/>
      <c r="E364" s="50"/>
      <c r="F364" s="26" t="s">
        <v>825</v>
      </c>
      <c r="G364" s="26" t="s">
        <v>829</v>
      </c>
      <c r="H364" s="27">
        <f t="shared" si="179"/>
        <v>7710.56</v>
      </c>
      <c r="I364" s="27">
        <f t="shared" si="179"/>
        <v>7394.25</v>
      </c>
      <c r="J364" s="27">
        <f t="shared" si="179"/>
        <v>7044.37</v>
      </c>
      <c r="K364" s="27">
        <f t="shared" si="180"/>
        <v>7383.06</v>
      </c>
      <c r="L364" s="65"/>
      <c r="M364" s="67">
        <f t="shared" si="181"/>
        <v>0</v>
      </c>
      <c r="N364" s="65" t="str">
        <f t="shared" si="165"/>
        <v/>
      </c>
      <c r="O364" s="65" t="str">
        <f t="shared" si="182"/>
        <v/>
      </c>
      <c r="P364" s="65" t="str">
        <f t="shared" si="182"/>
        <v/>
      </c>
      <c r="Q364" s="38"/>
      <c r="R364" s="3" t="str">
        <f t="shared" si="183"/>
        <v>Ranipet</v>
      </c>
      <c r="S364" s="3" t="str">
        <f t="shared" si="168"/>
        <v>Nemeli</v>
      </c>
      <c r="T364" s="3" t="str">
        <f t="shared" si="168"/>
        <v>Kaveripakkam</v>
      </c>
      <c r="U364" s="3" t="str">
        <f t="shared" si="176"/>
        <v>Ranipet_Nemeli_Kaveripakkam</v>
      </c>
      <c r="V364" s="3">
        <f>IF(_xlfn.XLOOKUP($U364,GCA!$H$3:$H$593,GCA!E$3:E$593,"",0,1)="","",_xlfn.XLOOKUP($U364,GCA!$H$3:$H$593,GCA!E$3:E$593,"",0,1))</f>
        <v>7710.56</v>
      </c>
      <c r="W364" s="3">
        <f>IF(_xlfn.XLOOKUP($U364,GCA!$H$3:$H$593,GCA!F$3:F$593,"",0,1)="","",_xlfn.XLOOKUP($U364,GCA!$H$3:$H$593,GCA!F$3:F$593,"",0,1))</f>
        <v>7394.25</v>
      </c>
      <c r="X364" s="3">
        <f>IF(_xlfn.XLOOKUP($U364,GCA!$H$3:$H$593,GCA!G$3:G$593,"",0,1)="","",_xlfn.XLOOKUP($U364,GCA!$H$3:$H$593,GCA!G$3:G$593,"",0,1))</f>
        <v>7044.37</v>
      </c>
    </row>
    <row r="365" spans="1:24" ht="13.2">
      <c r="A365" s="49"/>
      <c r="B365" s="49"/>
      <c r="C365" s="48"/>
      <c r="D365" s="49"/>
      <c r="E365" s="50"/>
      <c r="F365" s="26" t="s">
        <v>825</v>
      </c>
      <c r="G365" s="26" t="s">
        <v>825</v>
      </c>
      <c r="H365" s="27">
        <f t="shared" si="179"/>
        <v>13105.135</v>
      </c>
      <c r="I365" s="27">
        <f t="shared" si="179"/>
        <v>12779.665000000001</v>
      </c>
      <c r="J365" s="27">
        <f t="shared" si="179"/>
        <v>12033.965</v>
      </c>
      <c r="K365" s="27">
        <f t="shared" si="180"/>
        <v>12639.588333333333</v>
      </c>
      <c r="L365" s="65"/>
      <c r="M365" s="67">
        <f t="shared" si="181"/>
        <v>0</v>
      </c>
      <c r="N365" s="65" t="str">
        <f t="shared" si="165"/>
        <v/>
      </c>
      <c r="O365" s="65" t="str">
        <f t="shared" si="182"/>
        <v/>
      </c>
      <c r="P365" s="65" t="str">
        <f t="shared" si="182"/>
        <v/>
      </c>
      <c r="Q365" s="38"/>
      <c r="R365" s="3" t="str">
        <f t="shared" si="183"/>
        <v>Ranipet</v>
      </c>
      <c r="S365" s="3" t="str">
        <f t="shared" si="168"/>
        <v>Nemeli</v>
      </c>
      <c r="T365" s="3" t="str">
        <f t="shared" si="168"/>
        <v>Nemeli</v>
      </c>
      <c r="U365" s="3" t="str">
        <f t="shared" si="176"/>
        <v>Ranipet_Nemeli_Nemeli</v>
      </c>
      <c r="V365" s="3">
        <f>IF(_xlfn.XLOOKUP($U365,GCA!$H$3:$H$593,GCA!E$3:E$593,"",0,1)="","",_xlfn.XLOOKUP($U365,GCA!$H$3:$H$593,GCA!E$3:E$593,"",0,1))</f>
        <v>13105.135</v>
      </c>
      <c r="W365" s="3">
        <f>IF(_xlfn.XLOOKUP($U365,GCA!$H$3:$H$593,GCA!F$3:F$593,"",0,1)="","",_xlfn.XLOOKUP($U365,GCA!$H$3:$H$593,GCA!F$3:F$593,"",0,1))</f>
        <v>12779.665000000001</v>
      </c>
      <c r="X365" s="3">
        <f>IF(_xlfn.XLOOKUP($U365,GCA!$H$3:$H$593,GCA!G$3:G$593,"",0,1)="","",_xlfn.XLOOKUP($U365,GCA!$H$3:$H$593,GCA!G$3:G$593,"",0,1))</f>
        <v>12033.965</v>
      </c>
    </row>
    <row r="366" spans="1:24" ht="13.2">
      <c r="A366" s="49"/>
      <c r="B366" s="49"/>
      <c r="C366" s="48"/>
      <c r="D366" s="49"/>
      <c r="E366" s="50"/>
      <c r="F366" s="26" t="s">
        <v>830</v>
      </c>
      <c r="G366" s="26" t="s">
        <v>829</v>
      </c>
      <c r="H366" s="27">
        <f t="shared" si="179"/>
        <v>1374.2</v>
      </c>
      <c r="I366" s="27">
        <f t="shared" si="179"/>
        <v>1306.7</v>
      </c>
      <c r="J366" s="27">
        <f t="shared" si="179"/>
        <v>1379.22</v>
      </c>
      <c r="K366" s="27">
        <f t="shared" si="180"/>
        <v>1353.3733333333332</v>
      </c>
      <c r="L366" s="65"/>
      <c r="M366" s="67">
        <f t="shared" si="181"/>
        <v>0</v>
      </c>
      <c r="N366" s="65" t="str">
        <f t="shared" si="165"/>
        <v/>
      </c>
      <c r="O366" s="65" t="str">
        <f t="shared" si="182"/>
        <v/>
      </c>
      <c r="P366" s="65" t="str">
        <f t="shared" si="182"/>
        <v/>
      </c>
      <c r="Q366" s="38"/>
      <c r="R366" s="3" t="str">
        <f t="shared" si="183"/>
        <v>Ranipet</v>
      </c>
      <c r="S366" s="3" t="str">
        <f t="shared" si="168"/>
        <v>Sholinghur</v>
      </c>
      <c r="T366" s="3" t="str">
        <f t="shared" si="168"/>
        <v>Kaveripakkam</v>
      </c>
      <c r="U366" s="3" t="str">
        <f t="shared" si="176"/>
        <v>Ranipet_Sholinghur_Kaveripakkam</v>
      </c>
      <c r="V366" s="3">
        <f>IF(_xlfn.XLOOKUP($U366,GCA!$H$3:$H$593,GCA!E$3:E$593,"",0,1)="","",_xlfn.XLOOKUP($U366,GCA!$H$3:$H$593,GCA!E$3:E$593,"",0,1))</f>
        <v>1374.2</v>
      </c>
      <c r="W366" s="3">
        <f>IF(_xlfn.XLOOKUP($U366,GCA!$H$3:$H$593,GCA!F$3:F$593,"",0,1)="","",_xlfn.XLOOKUP($U366,GCA!$H$3:$H$593,GCA!F$3:F$593,"",0,1))</f>
        <v>1306.7</v>
      </c>
      <c r="X366" s="3">
        <f>IF(_xlfn.XLOOKUP($U366,GCA!$H$3:$H$593,GCA!G$3:G$593,"",0,1)="","",_xlfn.XLOOKUP($U366,GCA!$H$3:$H$593,GCA!G$3:G$593,"",0,1))</f>
        <v>1379.22</v>
      </c>
    </row>
    <row r="367" spans="1:24" ht="13.2">
      <c r="A367" s="49"/>
      <c r="B367" s="49"/>
      <c r="C367" s="48"/>
      <c r="D367" s="49"/>
      <c r="E367" s="50"/>
      <c r="F367" s="26" t="s">
        <v>830</v>
      </c>
      <c r="G367" s="26" t="s">
        <v>831</v>
      </c>
      <c r="H367" s="27">
        <f t="shared" si="179"/>
        <v>12556.8</v>
      </c>
      <c r="I367" s="27">
        <f t="shared" si="179"/>
        <v>12370.15</v>
      </c>
      <c r="J367" s="27">
        <f t="shared" si="179"/>
        <v>11680.184999999999</v>
      </c>
      <c r="K367" s="27">
        <f t="shared" si="180"/>
        <v>12202.378333333332</v>
      </c>
      <c r="L367" s="65"/>
      <c r="M367" s="67">
        <f t="shared" si="181"/>
        <v>0</v>
      </c>
      <c r="N367" s="65" t="str">
        <f t="shared" si="165"/>
        <v/>
      </c>
      <c r="O367" s="65" t="str">
        <f t="shared" si="182"/>
        <v/>
      </c>
      <c r="P367" s="65" t="str">
        <f t="shared" si="182"/>
        <v/>
      </c>
      <c r="Q367" s="38"/>
      <c r="R367" s="3" t="str">
        <f t="shared" si="183"/>
        <v>Ranipet</v>
      </c>
      <c r="S367" s="3" t="str">
        <f t="shared" si="168"/>
        <v>Sholinghur</v>
      </c>
      <c r="T367" s="3" t="str">
        <f t="shared" si="168"/>
        <v>Sholingar</v>
      </c>
      <c r="U367" s="3" t="str">
        <f t="shared" si="176"/>
        <v>Ranipet_Sholinghur_Sholingar</v>
      </c>
      <c r="V367" s="3">
        <f>IF(_xlfn.XLOOKUP($U367,GCA!$H$3:$H$593,GCA!E$3:E$593,"",0,1)="","",_xlfn.XLOOKUP($U367,GCA!$H$3:$H$593,GCA!E$3:E$593,"",0,1))</f>
        <v>12556.8</v>
      </c>
      <c r="W367" s="3">
        <f>IF(_xlfn.XLOOKUP($U367,GCA!$H$3:$H$593,GCA!F$3:F$593,"",0,1)="","",_xlfn.XLOOKUP($U367,GCA!$H$3:$H$593,GCA!F$3:F$593,"",0,1))</f>
        <v>12370.15</v>
      </c>
      <c r="X367" s="3">
        <f>IF(_xlfn.XLOOKUP($U367,GCA!$H$3:$H$593,GCA!G$3:G$593,"",0,1)="","",_xlfn.XLOOKUP($U367,GCA!$H$3:$H$593,GCA!G$3:G$593,"",0,1))</f>
        <v>11680.184999999999</v>
      </c>
    </row>
    <row r="368" spans="1:24" ht="13.2">
      <c r="A368" s="49"/>
      <c r="B368" s="49"/>
      <c r="C368" s="48"/>
      <c r="D368" s="49"/>
      <c r="E368" s="50"/>
      <c r="F368" s="26" t="s">
        <v>832</v>
      </c>
      <c r="G368" s="26" t="s">
        <v>826</v>
      </c>
      <c r="H368" s="27">
        <f t="shared" si="179"/>
        <v>2587.15</v>
      </c>
      <c r="I368" s="27">
        <f t="shared" si="179"/>
        <v>2502.7600000000002</v>
      </c>
      <c r="J368" s="27">
        <f t="shared" si="179"/>
        <v>2227.0500000000002</v>
      </c>
      <c r="K368" s="27">
        <f t="shared" si="180"/>
        <v>2438.9866666666667</v>
      </c>
      <c r="L368" s="65"/>
      <c r="M368" s="67">
        <f t="shared" si="181"/>
        <v>0</v>
      </c>
      <c r="N368" s="65" t="str">
        <f t="shared" si="165"/>
        <v/>
      </c>
      <c r="O368" s="65" t="str">
        <f t="shared" si="182"/>
        <v/>
      </c>
      <c r="P368" s="65" t="str">
        <f t="shared" si="182"/>
        <v/>
      </c>
      <c r="Q368" s="38"/>
      <c r="R368" s="3" t="str">
        <f t="shared" si="183"/>
        <v>Ranipet</v>
      </c>
      <c r="S368" s="3" t="str">
        <f t="shared" si="168"/>
        <v>Walajah</v>
      </c>
      <c r="T368" s="3" t="str">
        <f t="shared" si="168"/>
        <v>Arcot</v>
      </c>
      <c r="U368" s="3" t="str">
        <f t="shared" si="176"/>
        <v>Ranipet_Walajah_Arcot</v>
      </c>
      <c r="V368" s="3">
        <f>IF(_xlfn.XLOOKUP($U368,GCA!$H$3:$H$593,GCA!E$3:E$593,"",0,1)="","",_xlfn.XLOOKUP($U368,GCA!$H$3:$H$593,GCA!E$3:E$593,"",0,1))</f>
        <v>2587.15</v>
      </c>
      <c r="W368" s="3">
        <f>IF(_xlfn.XLOOKUP($U368,GCA!$H$3:$H$593,GCA!F$3:F$593,"",0,1)="","",_xlfn.XLOOKUP($U368,GCA!$H$3:$H$593,GCA!F$3:F$593,"",0,1))</f>
        <v>2502.7600000000002</v>
      </c>
      <c r="X368" s="3">
        <f>IF(_xlfn.XLOOKUP($U368,GCA!$H$3:$H$593,GCA!G$3:G$593,"",0,1)="","",_xlfn.XLOOKUP($U368,GCA!$H$3:$H$593,GCA!G$3:G$593,"",0,1))</f>
        <v>2227.0500000000002</v>
      </c>
    </row>
    <row r="369" spans="1:24" ht="13.2">
      <c r="A369" s="49"/>
      <c r="B369" s="49"/>
      <c r="C369" s="48"/>
      <c r="D369" s="49"/>
      <c r="E369" s="50"/>
      <c r="F369" s="26" t="s">
        <v>832</v>
      </c>
      <c r="G369" s="26" t="s">
        <v>832</v>
      </c>
      <c r="H369" s="27">
        <f t="shared" si="179"/>
        <v>6843.3</v>
      </c>
      <c r="I369" s="27">
        <f t="shared" si="179"/>
        <v>6051.21</v>
      </c>
      <c r="J369" s="27">
        <f t="shared" si="179"/>
        <v>6123.8850000000002</v>
      </c>
      <c r="K369" s="27">
        <f t="shared" si="180"/>
        <v>6339.4650000000001</v>
      </c>
      <c r="L369" s="65"/>
      <c r="M369" s="67">
        <f t="shared" si="181"/>
        <v>0</v>
      </c>
      <c r="N369" s="65" t="str">
        <f t="shared" si="165"/>
        <v/>
      </c>
      <c r="O369" s="65" t="str">
        <f t="shared" si="182"/>
        <v/>
      </c>
      <c r="P369" s="65" t="str">
        <f t="shared" si="182"/>
        <v/>
      </c>
      <c r="Q369" s="38"/>
      <c r="R369" s="3" t="str">
        <f t="shared" si="183"/>
        <v>Ranipet</v>
      </c>
      <c r="S369" s="3" t="str">
        <f t="shared" si="168"/>
        <v>Walajah</v>
      </c>
      <c r="T369" s="3" t="str">
        <f t="shared" si="168"/>
        <v>Walajah</v>
      </c>
      <c r="U369" s="3" t="str">
        <f t="shared" si="176"/>
        <v>Ranipet_Walajah_Walajah</v>
      </c>
      <c r="V369" s="3">
        <f>IF(_xlfn.XLOOKUP($U369,GCA!$H$3:$H$593,GCA!E$3:E$593,"",0,1)="","",_xlfn.XLOOKUP($U369,GCA!$H$3:$H$593,GCA!E$3:E$593,"",0,1))</f>
        <v>6843.3</v>
      </c>
      <c r="W369" s="3">
        <f>IF(_xlfn.XLOOKUP($U369,GCA!$H$3:$H$593,GCA!F$3:F$593,"",0,1)="","",_xlfn.XLOOKUP($U369,GCA!$H$3:$H$593,GCA!F$3:F$593,"",0,1))</f>
        <v>6051.21</v>
      </c>
      <c r="X369" s="3">
        <f>IF(_xlfn.XLOOKUP($U369,GCA!$H$3:$H$593,GCA!G$3:G$593,"",0,1)="","",_xlfn.XLOOKUP($U369,GCA!$H$3:$H$593,GCA!G$3:G$593,"",0,1))</f>
        <v>6123.8850000000002</v>
      </c>
    </row>
    <row r="370" spans="1:24" ht="13.2">
      <c r="A370" s="49"/>
      <c r="B370" s="49"/>
      <c r="C370" s="48"/>
      <c r="D370" s="49"/>
      <c r="E370" s="47" t="s">
        <v>564</v>
      </c>
      <c r="F370" s="47"/>
      <c r="G370" s="47"/>
      <c r="H370" s="29">
        <f t="shared" ref="H370:P370" si="184">SUM(H359:H369)</f>
        <v>79081.759999999995</v>
      </c>
      <c r="I370" s="29">
        <f t="shared" si="184"/>
        <v>74429.964999999997</v>
      </c>
      <c r="J370" s="29">
        <f t="shared" si="184"/>
        <v>69420.335000000006</v>
      </c>
      <c r="K370" s="29">
        <f t="shared" si="184"/>
        <v>74310.686666666661</v>
      </c>
      <c r="L370" s="29">
        <f t="shared" si="184"/>
        <v>74310.686666666661</v>
      </c>
      <c r="M370" s="30">
        <f t="shared" si="184"/>
        <v>3.1191194002935521</v>
      </c>
      <c r="N370" s="31">
        <f t="shared" si="184"/>
        <v>3</v>
      </c>
      <c r="O370" s="31">
        <f t="shared" si="184"/>
        <v>3</v>
      </c>
      <c r="P370" s="31">
        <f t="shared" si="184"/>
        <v>3</v>
      </c>
      <c r="Q370" s="38"/>
      <c r="R370" s="3" t="str">
        <f t="shared" si="183"/>
        <v>Ranipet</v>
      </c>
      <c r="S370" s="3">
        <f t="shared" si="168"/>
        <v>0</v>
      </c>
      <c r="T370" s="3">
        <f t="shared" si="168"/>
        <v>0</v>
      </c>
      <c r="U370" s="3" t="str">
        <f t="shared" si="176"/>
        <v>Ranipet_0_0</v>
      </c>
      <c r="V370" s="3" t="str">
        <f>IF(_xlfn.XLOOKUP($U370,GCA!$H$3:$H$593,GCA!E$3:E$593,"",0,1)="","",_xlfn.XLOOKUP($U370,GCA!$H$3:$H$593,GCA!E$3:E$593,"",0,1))</f>
        <v/>
      </c>
      <c r="W370" s="3" t="str">
        <f>IF(_xlfn.XLOOKUP($U370,GCA!$H$3:$H$593,GCA!F$3:F$593,"",0,1)="","",_xlfn.XLOOKUP($U370,GCA!$H$3:$H$593,GCA!F$3:F$593,"",0,1))</f>
        <v/>
      </c>
      <c r="X370" s="3" t="str">
        <f>IF(_xlfn.XLOOKUP($U370,GCA!$H$3:$H$593,GCA!G$3:G$593,"",0,1)="","",_xlfn.XLOOKUP($U370,GCA!$H$3:$H$593,GCA!G$3:G$593,"",0,1))</f>
        <v/>
      </c>
    </row>
    <row r="371" spans="1:24" ht="13.2">
      <c r="A371" s="49"/>
      <c r="B371" s="49"/>
      <c r="C371" s="54" t="s">
        <v>521</v>
      </c>
      <c r="D371" s="54"/>
      <c r="E371" s="54"/>
      <c r="F371" s="54"/>
      <c r="G371" s="54"/>
      <c r="H371" s="32">
        <f>SUM(H370,H358,H332)</f>
        <v>481877.28599999996</v>
      </c>
      <c r="I371" s="32">
        <f t="shared" ref="I371:P371" si="185">SUM(I370,I358,I332)</f>
        <v>484473.44999999995</v>
      </c>
      <c r="J371" s="32">
        <f t="shared" si="185"/>
        <v>473957.45500000002</v>
      </c>
      <c r="K371" s="32">
        <f t="shared" si="185"/>
        <v>480102.73033333325</v>
      </c>
      <c r="L371" s="32">
        <f t="shared" si="185"/>
        <v>480102.73033333337</v>
      </c>
      <c r="M371" s="46">
        <f t="shared" si="185"/>
        <v>20.151849047417457</v>
      </c>
      <c r="N371" s="32">
        <f t="shared" si="185"/>
        <v>21</v>
      </c>
      <c r="O371" s="32">
        <f t="shared" si="185"/>
        <v>21</v>
      </c>
      <c r="P371" s="32">
        <f t="shared" si="185"/>
        <v>21</v>
      </c>
      <c r="Q371" s="38"/>
      <c r="R371" s="3" t="str">
        <f t="shared" si="174"/>
        <v>SRO TOTAL</v>
      </c>
      <c r="S371" s="3">
        <f t="shared" si="168"/>
        <v>0</v>
      </c>
      <c r="T371" s="3">
        <f t="shared" si="168"/>
        <v>0</v>
      </c>
      <c r="U371" s="3" t="str">
        <f t="shared" si="176"/>
        <v>SRO TOTAL_0_0</v>
      </c>
      <c r="V371" s="3" t="str">
        <f>IF(_xlfn.XLOOKUP($U371,GCA!$H$3:$H$593,GCA!E$3:E$593,"",0,1)="","",_xlfn.XLOOKUP($U371,GCA!$H$3:$H$593,GCA!E$3:E$593,"",0,1))</f>
        <v/>
      </c>
      <c r="W371" s="3" t="str">
        <f>IF(_xlfn.XLOOKUP($U371,GCA!$H$3:$H$593,GCA!F$3:F$593,"",0,1)="","",_xlfn.XLOOKUP($U371,GCA!$H$3:$H$593,GCA!F$3:F$593,"",0,1))</f>
        <v/>
      </c>
      <c r="X371" s="3" t="str">
        <f>IF(_xlfn.XLOOKUP($U371,GCA!$H$3:$H$593,GCA!G$3:G$593,"",0,1)="","",_xlfn.XLOOKUP($U371,GCA!$H$3:$H$593,GCA!G$3:G$593,"",0,1))</f>
        <v/>
      </c>
    </row>
    <row r="372" spans="1:24" ht="13.2">
      <c r="A372" s="49"/>
      <c r="B372" s="55" t="s">
        <v>522</v>
      </c>
      <c r="C372" s="55"/>
      <c r="D372" s="55"/>
      <c r="E372" s="55"/>
      <c r="F372" s="55"/>
      <c r="G372" s="55"/>
      <c r="H372" s="43">
        <f t="shared" ref="H372:P372" si="186">SUM(H371,H322,H253)</f>
        <v>1728297.7989999999</v>
      </c>
      <c r="I372" s="43">
        <f t="shared" si="186"/>
        <v>1694689.3149999999</v>
      </c>
      <c r="J372" s="43">
        <f t="shared" si="186"/>
        <v>1694984.2460000003</v>
      </c>
      <c r="K372" s="43">
        <f t="shared" si="186"/>
        <v>1705990.4533333336</v>
      </c>
      <c r="L372" s="43">
        <f t="shared" si="186"/>
        <v>1705990.4533333336</v>
      </c>
      <c r="M372" s="44">
        <f t="shared" si="186"/>
        <v>71.607303853572148</v>
      </c>
      <c r="N372" s="45">
        <f t="shared" si="186"/>
        <v>72</v>
      </c>
      <c r="O372" s="45">
        <f t="shared" si="186"/>
        <v>72</v>
      </c>
      <c r="P372" s="45">
        <f t="shared" si="186"/>
        <v>72</v>
      </c>
      <c r="Q372" s="38"/>
      <c r="R372" s="3" t="str">
        <f>R371</f>
        <v>SRO TOTAL</v>
      </c>
      <c r="S372" s="3">
        <f t="shared" si="168"/>
        <v>0</v>
      </c>
      <c r="T372" s="3">
        <f t="shared" si="168"/>
        <v>0</v>
      </c>
      <c r="U372" s="3" t="str">
        <f t="shared" si="176"/>
        <v>SRO TOTAL_0_0</v>
      </c>
      <c r="V372" s="3" t="str">
        <f>IF(_xlfn.XLOOKUP($U372,GCA!$H$3:$H$593,GCA!E$3:E$593,"",0,1)="","",_xlfn.XLOOKUP($U372,GCA!$H$3:$H$593,GCA!E$3:E$593,"",0,1))</f>
        <v/>
      </c>
      <c r="W372" s="3" t="str">
        <f>IF(_xlfn.XLOOKUP($U372,GCA!$H$3:$H$593,GCA!F$3:F$593,"",0,1)="","",_xlfn.XLOOKUP($U372,GCA!$H$3:$H$593,GCA!F$3:F$593,"",0,1))</f>
        <v/>
      </c>
      <c r="X372" s="3" t="str">
        <f>IF(_xlfn.XLOOKUP($U372,GCA!$H$3:$H$593,GCA!G$3:G$593,"",0,1)="","",_xlfn.XLOOKUP($U372,GCA!$H$3:$H$593,GCA!G$3:G$593,"",0,1))</f>
        <v/>
      </c>
    </row>
    <row r="373" spans="1:24" ht="13.2">
      <c r="A373" s="49" t="s">
        <v>418</v>
      </c>
      <c r="B373" s="49" t="s">
        <v>418</v>
      </c>
      <c r="C373" s="48" t="s">
        <v>239</v>
      </c>
      <c r="D373" s="49" t="s">
        <v>547</v>
      </c>
      <c r="E373" s="50">
        <v>1</v>
      </c>
      <c r="F373" s="26" t="s">
        <v>841</v>
      </c>
      <c r="G373" s="26" t="s">
        <v>841</v>
      </c>
      <c r="H373" s="27">
        <f t="shared" ref="H373:J389" si="187">V373</f>
        <v>13541.58</v>
      </c>
      <c r="I373" s="27">
        <f t="shared" si="187"/>
        <v>13856.844999999999</v>
      </c>
      <c r="J373" s="27">
        <f t="shared" si="187"/>
        <v>13812.62</v>
      </c>
      <c r="K373" s="27">
        <f t="shared" ref="K373:K389" si="188">IFERROR(AVERAGE(H373:J373),"")</f>
        <v>13737.014999999999</v>
      </c>
      <c r="L373" s="65">
        <f>SUM(K373:K377)</f>
        <v>58933.468666666668</v>
      </c>
      <c r="M373" s="67">
        <f t="shared" ref="M373:M389" si="189">L373*$L$643/$L$642</f>
        <v>2.4736755060459972</v>
      </c>
      <c r="N373" s="65">
        <f t="shared" si="165"/>
        <v>2</v>
      </c>
      <c r="O373" s="65">
        <f t="shared" ref="O373:P388" si="190">N373</f>
        <v>2</v>
      </c>
      <c r="P373" s="65">
        <f t="shared" si="190"/>
        <v>2</v>
      </c>
      <c r="Q373" s="38"/>
      <c r="R373" s="3" t="str">
        <f t="shared" si="174"/>
        <v>Dindigul</v>
      </c>
      <c r="S373" s="3" t="str">
        <f t="shared" si="168"/>
        <v>Athoor</v>
      </c>
      <c r="T373" s="3" t="str">
        <f t="shared" si="168"/>
        <v>Athoor</v>
      </c>
      <c r="U373" s="3" t="str">
        <f t="shared" si="176"/>
        <v>Dindigul_Athoor_Athoor</v>
      </c>
      <c r="V373" s="3">
        <f>IF(_xlfn.XLOOKUP($U373,GCA!$H$3:$H$593,GCA!E$3:E$593,"",0,1)="","",_xlfn.XLOOKUP($U373,GCA!$H$3:$H$593,GCA!E$3:E$593,"",0,1))</f>
        <v>13541.58</v>
      </c>
      <c r="W373" s="3">
        <f>IF(_xlfn.XLOOKUP($U373,GCA!$H$3:$H$593,GCA!F$3:F$593,"",0,1)="","",_xlfn.XLOOKUP($U373,GCA!$H$3:$H$593,GCA!F$3:F$593,"",0,1))</f>
        <v>13856.844999999999</v>
      </c>
      <c r="X373" s="3">
        <f>IF(_xlfn.XLOOKUP($U373,GCA!$H$3:$H$593,GCA!G$3:G$593,"",0,1)="","",_xlfn.XLOOKUP($U373,GCA!$H$3:$H$593,GCA!G$3:G$593,"",0,1))</f>
        <v>13812.62</v>
      </c>
    </row>
    <row r="374" spans="1:24" ht="13.2">
      <c r="A374" s="49"/>
      <c r="B374" s="49"/>
      <c r="C374" s="48"/>
      <c r="D374" s="49"/>
      <c r="E374" s="50"/>
      <c r="F374" s="26" t="s">
        <v>842</v>
      </c>
      <c r="G374" s="26" t="s">
        <v>239</v>
      </c>
      <c r="H374" s="27">
        <f t="shared" si="187"/>
        <v>5299.0550000000003</v>
      </c>
      <c r="I374" s="27">
        <f t="shared" si="187"/>
        <v>5201</v>
      </c>
      <c r="J374" s="27">
        <f t="shared" si="187"/>
        <v>5358.8450000000003</v>
      </c>
      <c r="K374" s="27">
        <f t="shared" si="188"/>
        <v>5286.3</v>
      </c>
      <c r="L374" s="65"/>
      <c r="M374" s="67">
        <f t="shared" si="189"/>
        <v>0</v>
      </c>
      <c r="N374" s="65" t="str">
        <f t="shared" si="165"/>
        <v/>
      </c>
      <c r="O374" s="65" t="str">
        <f t="shared" si="190"/>
        <v/>
      </c>
      <c r="P374" s="65" t="str">
        <f t="shared" si="190"/>
        <v/>
      </c>
      <c r="Q374" s="38"/>
      <c r="R374" s="3" t="str">
        <f t="shared" ref="R374:R390" si="191">R373</f>
        <v>Dindigul</v>
      </c>
      <c r="S374" s="3" t="str">
        <f t="shared" si="168"/>
        <v>Dindigul East</v>
      </c>
      <c r="T374" s="3" t="str">
        <f t="shared" si="168"/>
        <v>Dindigul</v>
      </c>
      <c r="U374" s="3" t="str">
        <f t="shared" si="176"/>
        <v>Dindigul_Dindigul East_Dindigul</v>
      </c>
      <c r="V374" s="3">
        <f>IF(_xlfn.XLOOKUP($U374,GCA!$H$3:$H$593,GCA!E$3:E$593,"",0,1)="","",_xlfn.XLOOKUP($U374,GCA!$H$3:$H$593,GCA!E$3:E$593,"",0,1))</f>
        <v>5299.0550000000003</v>
      </c>
      <c r="W374" s="3">
        <f>IF(_xlfn.XLOOKUP($U374,GCA!$H$3:$H$593,GCA!F$3:F$593,"",0,1)="","",_xlfn.XLOOKUP($U374,GCA!$H$3:$H$593,GCA!F$3:F$593,"",0,1))</f>
        <v>5201</v>
      </c>
      <c r="X374" s="3">
        <f>IF(_xlfn.XLOOKUP($U374,GCA!$H$3:$H$593,GCA!G$3:G$593,"",0,1)="","",_xlfn.XLOOKUP($U374,GCA!$H$3:$H$593,GCA!G$3:G$593,"",0,1))</f>
        <v>5358.8450000000003</v>
      </c>
    </row>
    <row r="375" spans="1:24" ht="13.2">
      <c r="A375" s="49"/>
      <c r="B375" s="49"/>
      <c r="C375" s="48"/>
      <c r="D375" s="49"/>
      <c r="E375" s="50"/>
      <c r="F375" s="26" t="s">
        <v>842</v>
      </c>
      <c r="G375" s="26" t="s">
        <v>843</v>
      </c>
      <c r="H375" s="27">
        <f t="shared" si="187"/>
        <v>17163.64</v>
      </c>
      <c r="I375" s="27">
        <f t="shared" si="187"/>
        <v>17334.005000000001</v>
      </c>
      <c r="J375" s="27">
        <f t="shared" si="187"/>
        <v>17890.994999999999</v>
      </c>
      <c r="K375" s="27">
        <f t="shared" si="188"/>
        <v>17462.88</v>
      </c>
      <c r="L375" s="65"/>
      <c r="M375" s="67">
        <f t="shared" si="189"/>
        <v>0</v>
      </c>
      <c r="N375" s="65" t="str">
        <f t="shared" si="165"/>
        <v/>
      </c>
      <c r="O375" s="65" t="str">
        <f t="shared" si="190"/>
        <v/>
      </c>
      <c r="P375" s="65" t="str">
        <f t="shared" si="190"/>
        <v/>
      </c>
      <c r="Q375" s="38"/>
      <c r="R375" s="3" t="str">
        <f t="shared" si="191"/>
        <v>Dindigul</v>
      </c>
      <c r="S375" s="3" t="str">
        <f t="shared" si="168"/>
        <v>Dindigul East</v>
      </c>
      <c r="T375" s="3" t="str">
        <f t="shared" si="168"/>
        <v>Sanarpatti</v>
      </c>
      <c r="U375" s="3" t="str">
        <f t="shared" si="176"/>
        <v>Dindigul_Dindigul East_Sanarpatti</v>
      </c>
      <c r="V375" s="3">
        <f>IF(_xlfn.XLOOKUP($U375,GCA!$H$3:$H$593,GCA!E$3:E$593,"",0,1)="","",_xlfn.XLOOKUP($U375,GCA!$H$3:$H$593,GCA!E$3:E$593,"",0,1))</f>
        <v>17163.64</v>
      </c>
      <c r="W375" s="3">
        <f>IF(_xlfn.XLOOKUP($U375,GCA!$H$3:$H$593,GCA!F$3:F$593,"",0,1)="","",_xlfn.XLOOKUP($U375,GCA!$H$3:$H$593,GCA!F$3:F$593,"",0,1))</f>
        <v>17334.005000000001</v>
      </c>
      <c r="X375" s="3">
        <f>IF(_xlfn.XLOOKUP($U375,GCA!$H$3:$H$593,GCA!G$3:G$593,"",0,1)="","",_xlfn.XLOOKUP($U375,GCA!$H$3:$H$593,GCA!G$3:G$593,"",0,1))</f>
        <v>17890.994999999999</v>
      </c>
    </row>
    <row r="376" spans="1:24" ht="13.2">
      <c r="A376" s="49"/>
      <c r="B376" s="49"/>
      <c r="C376" s="48"/>
      <c r="D376" s="49"/>
      <c r="E376" s="50"/>
      <c r="F376" s="26" t="s">
        <v>844</v>
      </c>
      <c r="G376" s="26" t="s">
        <v>239</v>
      </c>
      <c r="H376" s="27">
        <f t="shared" si="187"/>
        <v>3846.1950000000002</v>
      </c>
      <c r="I376" s="27">
        <f t="shared" si="187"/>
        <v>3826.078</v>
      </c>
      <c r="J376" s="27">
        <f t="shared" si="187"/>
        <v>3977.4650000000001</v>
      </c>
      <c r="K376" s="27">
        <f t="shared" si="188"/>
        <v>3883.2460000000005</v>
      </c>
      <c r="L376" s="65"/>
      <c r="M376" s="67">
        <f t="shared" si="189"/>
        <v>0</v>
      </c>
      <c r="N376" s="65" t="str">
        <f t="shared" si="165"/>
        <v/>
      </c>
      <c r="O376" s="65" t="str">
        <f t="shared" si="190"/>
        <v/>
      </c>
      <c r="P376" s="65" t="str">
        <f t="shared" si="190"/>
        <v/>
      </c>
      <c r="Q376" s="38"/>
      <c r="R376" s="3" t="str">
        <f t="shared" si="191"/>
        <v>Dindigul</v>
      </c>
      <c r="S376" s="3" t="str">
        <f t="shared" si="168"/>
        <v>Dindigul West</v>
      </c>
      <c r="T376" s="3" t="str">
        <f t="shared" si="168"/>
        <v>Dindigul</v>
      </c>
      <c r="U376" s="3" t="str">
        <f t="shared" si="176"/>
        <v>Dindigul_Dindigul West_Dindigul</v>
      </c>
      <c r="V376" s="3">
        <f>IF(_xlfn.XLOOKUP($U376,GCA!$H$3:$H$593,GCA!E$3:E$593,"",0,1)="","",_xlfn.XLOOKUP($U376,GCA!$H$3:$H$593,GCA!E$3:E$593,"",0,1))</f>
        <v>3846.1950000000002</v>
      </c>
      <c r="W376" s="3">
        <f>IF(_xlfn.XLOOKUP($U376,GCA!$H$3:$H$593,GCA!F$3:F$593,"",0,1)="","",_xlfn.XLOOKUP($U376,GCA!$H$3:$H$593,GCA!F$3:F$593,"",0,1))</f>
        <v>3826.078</v>
      </c>
      <c r="X376" s="3">
        <f>IF(_xlfn.XLOOKUP($U376,GCA!$H$3:$H$593,GCA!G$3:G$593,"",0,1)="","",_xlfn.XLOOKUP($U376,GCA!$H$3:$H$593,GCA!G$3:G$593,"",0,1))</f>
        <v>3977.4650000000001</v>
      </c>
    </row>
    <row r="377" spans="1:24" ht="13.2">
      <c r="A377" s="49"/>
      <c r="B377" s="49"/>
      <c r="C377" s="48"/>
      <c r="D377" s="49"/>
      <c r="E377" s="50"/>
      <c r="F377" s="26" t="s">
        <v>844</v>
      </c>
      <c r="G377" s="26" t="s">
        <v>845</v>
      </c>
      <c r="H377" s="27">
        <f t="shared" si="187"/>
        <v>18578.321</v>
      </c>
      <c r="I377" s="27">
        <f t="shared" si="187"/>
        <v>18691.080999999998</v>
      </c>
      <c r="J377" s="27">
        <f t="shared" si="187"/>
        <v>18422.681</v>
      </c>
      <c r="K377" s="27">
        <f t="shared" si="188"/>
        <v>18564.027666666665</v>
      </c>
      <c r="L377" s="65"/>
      <c r="M377" s="67">
        <f t="shared" si="189"/>
        <v>0</v>
      </c>
      <c r="N377" s="65" t="str">
        <f t="shared" si="165"/>
        <v/>
      </c>
      <c r="O377" s="65" t="str">
        <f t="shared" si="190"/>
        <v/>
      </c>
      <c r="P377" s="65" t="str">
        <f t="shared" si="190"/>
        <v/>
      </c>
      <c r="Q377" s="38"/>
      <c r="R377" s="3" t="str">
        <f t="shared" si="191"/>
        <v>Dindigul</v>
      </c>
      <c r="S377" s="3" t="str">
        <f t="shared" ref="S377:T468" si="192">F377</f>
        <v>Dindigul West</v>
      </c>
      <c r="T377" s="3" t="str">
        <f t="shared" si="192"/>
        <v>Reddiarchatram</v>
      </c>
      <c r="U377" s="3" t="str">
        <f t="shared" si="176"/>
        <v>Dindigul_Dindigul West_Reddiarchatram</v>
      </c>
      <c r="V377" s="3">
        <f>IF(_xlfn.XLOOKUP($U377,GCA!$H$3:$H$593,GCA!E$3:E$593,"",0,1)="","",_xlfn.XLOOKUP($U377,GCA!$H$3:$H$593,GCA!E$3:E$593,"",0,1))</f>
        <v>18578.321</v>
      </c>
      <c r="W377" s="3">
        <f>IF(_xlfn.XLOOKUP($U377,GCA!$H$3:$H$593,GCA!F$3:F$593,"",0,1)="","",_xlfn.XLOOKUP($U377,GCA!$H$3:$H$593,GCA!F$3:F$593,"",0,1))</f>
        <v>18691.080999999998</v>
      </c>
      <c r="X377" s="3">
        <f>IF(_xlfn.XLOOKUP($U377,GCA!$H$3:$H$593,GCA!G$3:G$593,"",0,1)="","",_xlfn.XLOOKUP($U377,GCA!$H$3:$H$593,GCA!G$3:G$593,"",0,1))</f>
        <v>18422.681</v>
      </c>
    </row>
    <row r="378" spans="1:24" ht="13.2">
      <c r="A378" s="49"/>
      <c r="B378" s="49"/>
      <c r="C378" s="48"/>
      <c r="D378" s="49"/>
      <c r="E378" s="50">
        <v>2</v>
      </c>
      <c r="F378" s="26" t="s">
        <v>846</v>
      </c>
      <c r="G378" s="26" t="s">
        <v>846</v>
      </c>
      <c r="H378" s="27">
        <f t="shared" si="187"/>
        <v>8779.3649999999998</v>
      </c>
      <c r="I378" s="27">
        <f t="shared" si="187"/>
        <v>9645.41</v>
      </c>
      <c r="J378" s="27">
        <f t="shared" si="187"/>
        <v>10301.853999999999</v>
      </c>
      <c r="K378" s="27">
        <f t="shared" si="188"/>
        <v>9575.5429999999997</v>
      </c>
      <c r="L378" s="65">
        <f>SUM(K378:K381)</f>
        <v>50238.713999999993</v>
      </c>
      <c r="M378" s="67">
        <f t="shared" si="189"/>
        <v>2.1087215649897906</v>
      </c>
      <c r="N378" s="65">
        <f t="shared" si="165"/>
        <v>2</v>
      </c>
      <c r="O378" s="65">
        <f t="shared" si="190"/>
        <v>2</v>
      </c>
      <c r="P378" s="65">
        <f t="shared" si="190"/>
        <v>2</v>
      </c>
      <c r="Q378" s="38"/>
      <c r="R378" s="3" t="str">
        <f t="shared" si="191"/>
        <v>Dindigul</v>
      </c>
      <c r="S378" s="3" t="str">
        <f t="shared" si="192"/>
        <v>Guziliamparai</v>
      </c>
      <c r="T378" s="3" t="str">
        <f t="shared" si="192"/>
        <v>Guziliamparai</v>
      </c>
      <c r="U378" s="3" t="str">
        <f t="shared" si="176"/>
        <v>Dindigul_Guziliamparai_Guziliamparai</v>
      </c>
      <c r="V378" s="3">
        <f>IF(_xlfn.XLOOKUP($U378,GCA!$H$3:$H$593,GCA!E$3:E$593,"",0,1)="","",_xlfn.XLOOKUP($U378,GCA!$H$3:$H$593,GCA!E$3:E$593,"",0,1))</f>
        <v>8779.3649999999998</v>
      </c>
      <c r="W378" s="3">
        <f>IF(_xlfn.XLOOKUP($U378,GCA!$H$3:$H$593,GCA!F$3:F$593,"",0,1)="","",_xlfn.XLOOKUP($U378,GCA!$H$3:$H$593,GCA!F$3:F$593,"",0,1))</f>
        <v>9645.41</v>
      </c>
      <c r="X378" s="3">
        <f>IF(_xlfn.XLOOKUP($U378,GCA!$H$3:$H$593,GCA!G$3:G$593,"",0,1)="","",_xlfn.XLOOKUP($U378,GCA!$H$3:$H$593,GCA!G$3:G$593,"",0,1))</f>
        <v>10301.853999999999</v>
      </c>
    </row>
    <row r="379" spans="1:24" ht="13.2">
      <c r="A379" s="49"/>
      <c r="B379" s="49"/>
      <c r="C379" s="48"/>
      <c r="D379" s="49"/>
      <c r="E379" s="50"/>
      <c r="F379" s="26" t="s">
        <v>846</v>
      </c>
      <c r="G379" s="26" t="s">
        <v>847</v>
      </c>
      <c r="H379" s="27">
        <f t="shared" si="187"/>
        <v>2363.61</v>
      </c>
      <c r="I379" s="27">
        <f t="shared" si="187"/>
        <v>1978.67</v>
      </c>
      <c r="J379" s="27">
        <f t="shared" si="187"/>
        <v>2329.5949999999998</v>
      </c>
      <c r="K379" s="27">
        <f t="shared" si="188"/>
        <v>2223.9583333333335</v>
      </c>
      <c r="L379" s="65"/>
      <c r="M379" s="67">
        <f t="shared" si="189"/>
        <v>0</v>
      </c>
      <c r="N379" s="65" t="str">
        <f t="shared" si="165"/>
        <v/>
      </c>
      <c r="O379" s="65" t="str">
        <f t="shared" si="190"/>
        <v/>
      </c>
      <c r="P379" s="65" t="str">
        <f t="shared" si="190"/>
        <v/>
      </c>
      <c r="Q379" s="38"/>
      <c r="R379" s="3" t="str">
        <f t="shared" si="191"/>
        <v>Dindigul</v>
      </c>
      <c r="S379" s="3" t="str">
        <f t="shared" si="192"/>
        <v>Guziliamparai</v>
      </c>
      <c r="T379" s="3" t="str">
        <f t="shared" si="192"/>
        <v>Vedasandur</v>
      </c>
      <c r="U379" s="3" t="str">
        <f t="shared" si="176"/>
        <v>Dindigul_Guziliamparai_Vedasandur</v>
      </c>
      <c r="V379" s="3">
        <f>IF(_xlfn.XLOOKUP($U379,GCA!$H$3:$H$593,GCA!E$3:E$593,"",0,1)="","",_xlfn.XLOOKUP($U379,GCA!$H$3:$H$593,GCA!E$3:E$593,"",0,1))</f>
        <v>2363.61</v>
      </c>
      <c r="W379" s="3">
        <f>IF(_xlfn.XLOOKUP($U379,GCA!$H$3:$H$593,GCA!F$3:F$593,"",0,1)="","",_xlfn.XLOOKUP($U379,GCA!$H$3:$H$593,GCA!F$3:F$593,"",0,1))</f>
        <v>1978.67</v>
      </c>
      <c r="X379" s="3">
        <f>IF(_xlfn.XLOOKUP($U379,GCA!$H$3:$H$593,GCA!G$3:G$593,"",0,1)="","",_xlfn.XLOOKUP($U379,GCA!$H$3:$H$593,GCA!G$3:G$593,"",0,1))</f>
        <v>2329.5949999999998</v>
      </c>
    </row>
    <row r="380" spans="1:24" ht="13.2">
      <c r="A380" s="49"/>
      <c r="B380" s="49"/>
      <c r="C380" s="48"/>
      <c r="D380" s="49"/>
      <c r="E380" s="50"/>
      <c r="F380" s="26" t="s">
        <v>848</v>
      </c>
      <c r="G380" s="26" t="s">
        <v>849</v>
      </c>
      <c r="H380" s="27">
        <f t="shared" si="187"/>
        <v>19162.994999999999</v>
      </c>
      <c r="I380" s="27">
        <f t="shared" si="187"/>
        <v>19107.044999999998</v>
      </c>
      <c r="J380" s="27">
        <f t="shared" si="187"/>
        <v>18945.883000000002</v>
      </c>
      <c r="K380" s="27">
        <f t="shared" si="188"/>
        <v>19071.974333333332</v>
      </c>
      <c r="L380" s="65"/>
      <c r="M380" s="67">
        <f t="shared" si="189"/>
        <v>0</v>
      </c>
      <c r="N380" s="65" t="str">
        <f t="shared" si="165"/>
        <v/>
      </c>
      <c r="O380" s="65" t="str">
        <f t="shared" si="190"/>
        <v/>
      </c>
      <c r="P380" s="65" t="str">
        <f t="shared" si="190"/>
        <v/>
      </c>
      <c r="Q380" s="38"/>
      <c r="R380" s="3" t="str">
        <f t="shared" si="191"/>
        <v>Dindigul</v>
      </c>
      <c r="S380" s="3" t="str">
        <f t="shared" si="192"/>
        <v>Kodaikanal</v>
      </c>
      <c r="T380" s="3" t="str">
        <f t="shared" si="192"/>
        <v>Kodaikkanal</v>
      </c>
      <c r="U380" s="3" t="str">
        <f t="shared" si="176"/>
        <v>Dindigul_Kodaikanal_Kodaikkanal</v>
      </c>
      <c r="V380" s="3">
        <f>IF(_xlfn.XLOOKUP($U380,GCA!$H$3:$H$593,GCA!E$3:E$593,"",0,1)="","",_xlfn.XLOOKUP($U380,GCA!$H$3:$H$593,GCA!E$3:E$593,"",0,1))</f>
        <v>19162.994999999999</v>
      </c>
      <c r="W380" s="3">
        <f>IF(_xlfn.XLOOKUP($U380,GCA!$H$3:$H$593,GCA!F$3:F$593,"",0,1)="","",_xlfn.XLOOKUP($U380,GCA!$H$3:$H$593,GCA!F$3:F$593,"",0,1))</f>
        <v>19107.044999999998</v>
      </c>
      <c r="X380" s="3">
        <f>IF(_xlfn.XLOOKUP($U380,GCA!$H$3:$H$593,GCA!G$3:G$593,"",0,1)="","",_xlfn.XLOOKUP($U380,GCA!$H$3:$H$593,GCA!G$3:G$593,"",0,1))</f>
        <v>18945.883000000002</v>
      </c>
    </row>
    <row r="381" spans="1:24" ht="13.2">
      <c r="A381" s="49"/>
      <c r="B381" s="49"/>
      <c r="C381" s="48"/>
      <c r="D381" s="49"/>
      <c r="E381" s="50"/>
      <c r="F381" s="26" t="s">
        <v>850</v>
      </c>
      <c r="G381" s="26" t="s">
        <v>850</v>
      </c>
      <c r="H381" s="27">
        <f t="shared" si="187"/>
        <v>19351.825000000001</v>
      </c>
      <c r="I381" s="27">
        <f t="shared" si="187"/>
        <v>19348.957999999999</v>
      </c>
      <c r="J381" s="27">
        <f t="shared" si="187"/>
        <v>19400.932000000001</v>
      </c>
      <c r="K381" s="27">
        <f t="shared" si="188"/>
        <v>19367.238333333331</v>
      </c>
      <c r="L381" s="65"/>
      <c r="M381" s="67">
        <f t="shared" si="189"/>
        <v>0</v>
      </c>
      <c r="N381" s="65" t="str">
        <f t="shared" si="165"/>
        <v/>
      </c>
      <c r="O381" s="65" t="str">
        <f t="shared" si="190"/>
        <v/>
      </c>
      <c r="P381" s="65" t="str">
        <f t="shared" si="190"/>
        <v/>
      </c>
      <c r="Q381" s="38"/>
      <c r="R381" s="3" t="str">
        <f t="shared" si="191"/>
        <v>Dindigul</v>
      </c>
      <c r="S381" s="3" t="str">
        <f t="shared" si="192"/>
        <v>Natham</v>
      </c>
      <c r="T381" s="3" t="str">
        <f t="shared" si="192"/>
        <v>Natham</v>
      </c>
      <c r="U381" s="3" t="str">
        <f t="shared" si="176"/>
        <v>Dindigul_Natham_Natham</v>
      </c>
      <c r="V381" s="3">
        <f>IF(_xlfn.XLOOKUP($U381,GCA!$H$3:$H$593,GCA!E$3:E$593,"",0,1)="","",_xlfn.XLOOKUP($U381,GCA!$H$3:$H$593,GCA!E$3:E$593,"",0,1))</f>
        <v>19351.825000000001</v>
      </c>
      <c r="W381" s="3">
        <f>IF(_xlfn.XLOOKUP($U381,GCA!$H$3:$H$593,GCA!F$3:F$593,"",0,1)="","",_xlfn.XLOOKUP($U381,GCA!$H$3:$H$593,GCA!F$3:F$593,"",0,1))</f>
        <v>19348.957999999999</v>
      </c>
      <c r="X381" s="3">
        <f>IF(_xlfn.XLOOKUP($U381,GCA!$H$3:$H$593,GCA!G$3:G$593,"",0,1)="","",_xlfn.XLOOKUP($U381,GCA!$H$3:$H$593,GCA!G$3:G$593,"",0,1))</f>
        <v>19400.932000000001</v>
      </c>
    </row>
    <row r="382" spans="1:24" ht="13.2">
      <c r="A382" s="49"/>
      <c r="B382" s="49"/>
      <c r="C382" s="48"/>
      <c r="D382" s="49"/>
      <c r="E382" s="50">
        <v>3</v>
      </c>
      <c r="F382" s="26" t="s">
        <v>851</v>
      </c>
      <c r="G382" s="26" t="s">
        <v>852</v>
      </c>
      <c r="H382" s="27">
        <f t="shared" si="187"/>
        <v>6990.0450000000001</v>
      </c>
      <c r="I382" s="27">
        <f t="shared" si="187"/>
        <v>6776.4449999999997</v>
      </c>
      <c r="J382" s="27">
        <f t="shared" si="187"/>
        <v>6511.1049999999996</v>
      </c>
      <c r="K382" s="27">
        <f t="shared" si="188"/>
        <v>6759.1983333333337</v>
      </c>
      <c r="L382" s="65">
        <f>SUM(K382:K385)</f>
        <v>55093.425999999992</v>
      </c>
      <c r="M382" s="67">
        <f t="shared" si="189"/>
        <v>2.3124934188277431</v>
      </c>
      <c r="N382" s="65">
        <f t="shared" si="165"/>
        <v>2</v>
      </c>
      <c r="O382" s="65">
        <f t="shared" si="190"/>
        <v>2</v>
      </c>
      <c r="P382" s="65">
        <f t="shared" si="190"/>
        <v>2</v>
      </c>
      <c r="Q382" s="38"/>
      <c r="R382" s="3" t="str">
        <f t="shared" si="191"/>
        <v>Dindigul</v>
      </c>
      <c r="S382" s="3" t="str">
        <f t="shared" si="192"/>
        <v>Nilakottai</v>
      </c>
      <c r="T382" s="3" t="str">
        <f t="shared" si="192"/>
        <v>Batalgundu</v>
      </c>
      <c r="U382" s="3" t="str">
        <f t="shared" si="176"/>
        <v>Dindigul_Nilakottai_Batalgundu</v>
      </c>
      <c r="V382" s="3">
        <f>IF(_xlfn.XLOOKUP($U382,GCA!$H$3:$H$593,GCA!E$3:E$593,"",0,1)="","",_xlfn.XLOOKUP($U382,GCA!$H$3:$H$593,GCA!E$3:E$593,"",0,1))</f>
        <v>6990.0450000000001</v>
      </c>
      <c r="W382" s="3">
        <f>IF(_xlfn.XLOOKUP($U382,GCA!$H$3:$H$593,GCA!F$3:F$593,"",0,1)="","",_xlfn.XLOOKUP($U382,GCA!$H$3:$H$593,GCA!F$3:F$593,"",0,1))</f>
        <v>6776.4449999999997</v>
      </c>
      <c r="X382" s="3">
        <f>IF(_xlfn.XLOOKUP($U382,GCA!$H$3:$H$593,GCA!G$3:G$593,"",0,1)="","",_xlfn.XLOOKUP($U382,GCA!$H$3:$H$593,GCA!G$3:G$593,"",0,1))</f>
        <v>6511.1049999999996</v>
      </c>
    </row>
    <row r="383" spans="1:24" ht="13.2">
      <c r="A383" s="49"/>
      <c r="B383" s="49"/>
      <c r="C383" s="48"/>
      <c r="D383" s="49"/>
      <c r="E383" s="50"/>
      <c r="F383" s="26" t="s">
        <v>851</v>
      </c>
      <c r="G383" s="26" t="s">
        <v>851</v>
      </c>
      <c r="H383" s="27">
        <f t="shared" si="187"/>
        <v>10125.27</v>
      </c>
      <c r="I383" s="27">
        <f t="shared" si="187"/>
        <v>9792.36</v>
      </c>
      <c r="J383" s="27">
        <f t="shared" si="187"/>
        <v>10184.379999999999</v>
      </c>
      <c r="K383" s="27">
        <f t="shared" si="188"/>
        <v>10034.003333333334</v>
      </c>
      <c r="L383" s="65"/>
      <c r="M383" s="67">
        <f t="shared" si="189"/>
        <v>0</v>
      </c>
      <c r="N383" s="65" t="str">
        <f t="shared" si="165"/>
        <v/>
      </c>
      <c r="O383" s="65" t="str">
        <f t="shared" si="190"/>
        <v/>
      </c>
      <c r="P383" s="65" t="str">
        <f t="shared" si="190"/>
        <v/>
      </c>
      <c r="Q383" s="38"/>
      <c r="R383" s="3" t="str">
        <f t="shared" si="191"/>
        <v>Dindigul</v>
      </c>
      <c r="S383" s="3" t="str">
        <f t="shared" si="192"/>
        <v>Nilakottai</v>
      </c>
      <c r="T383" s="3" t="str">
        <f t="shared" si="192"/>
        <v>Nilakottai</v>
      </c>
      <c r="U383" s="3" t="str">
        <f t="shared" si="176"/>
        <v>Dindigul_Nilakottai_Nilakottai</v>
      </c>
      <c r="V383" s="3">
        <f>IF(_xlfn.XLOOKUP($U383,GCA!$H$3:$H$593,GCA!E$3:E$593,"",0,1)="","",_xlfn.XLOOKUP($U383,GCA!$H$3:$H$593,GCA!E$3:E$593,"",0,1))</f>
        <v>10125.27</v>
      </c>
      <c r="W383" s="3">
        <f>IF(_xlfn.XLOOKUP($U383,GCA!$H$3:$H$593,GCA!F$3:F$593,"",0,1)="","",_xlfn.XLOOKUP($U383,GCA!$H$3:$H$593,GCA!F$3:F$593,"",0,1))</f>
        <v>9792.36</v>
      </c>
      <c r="X383" s="3">
        <f>IF(_xlfn.XLOOKUP($U383,GCA!$H$3:$H$593,GCA!G$3:G$593,"",0,1)="","",_xlfn.XLOOKUP($U383,GCA!$H$3:$H$593,GCA!G$3:G$593,"",0,1))</f>
        <v>10184.379999999999</v>
      </c>
    </row>
    <row r="384" spans="1:24" ht="13.2">
      <c r="A384" s="49"/>
      <c r="B384" s="49"/>
      <c r="C384" s="48"/>
      <c r="D384" s="49"/>
      <c r="E384" s="50"/>
      <c r="F384" s="26" t="s">
        <v>853</v>
      </c>
      <c r="G384" s="26" t="s">
        <v>854</v>
      </c>
      <c r="H384" s="27">
        <f t="shared" si="187"/>
        <v>19033.535</v>
      </c>
      <c r="I384" s="27">
        <f t="shared" si="187"/>
        <v>21323.083999999999</v>
      </c>
      <c r="J384" s="27">
        <f t="shared" si="187"/>
        <v>21439.149000000001</v>
      </c>
      <c r="K384" s="27">
        <f t="shared" si="188"/>
        <v>20598.589333333333</v>
      </c>
      <c r="L384" s="65"/>
      <c r="M384" s="67">
        <f t="shared" si="189"/>
        <v>0</v>
      </c>
      <c r="N384" s="65" t="str">
        <f t="shared" si="165"/>
        <v/>
      </c>
      <c r="O384" s="65" t="str">
        <f t="shared" si="190"/>
        <v/>
      </c>
      <c r="P384" s="65" t="str">
        <f t="shared" si="190"/>
        <v/>
      </c>
      <c r="Q384" s="38"/>
      <c r="R384" s="3" t="str">
        <f t="shared" si="191"/>
        <v>Dindigul</v>
      </c>
      <c r="S384" s="3" t="str">
        <f t="shared" si="192"/>
        <v>Odanchathram</v>
      </c>
      <c r="T384" s="3" t="str">
        <f t="shared" si="192"/>
        <v>Oddanchathram</v>
      </c>
      <c r="U384" s="3" t="str">
        <f t="shared" si="176"/>
        <v>Dindigul_Odanchathram_Oddanchathram</v>
      </c>
      <c r="V384" s="3">
        <f>IF(_xlfn.XLOOKUP($U384,GCA!$H$3:$H$593,GCA!E$3:E$593,"",0,1)="","",_xlfn.XLOOKUP($U384,GCA!$H$3:$H$593,GCA!E$3:E$593,"",0,1))</f>
        <v>19033.535</v>
      </c>
      <c r="W384" s="3">
        <f>IF(_xlfn.XLOOKUP($U384,GCA!$H$3:$H$593,GCA!F$3:F$593,"",0,1)="","",_xlfn.XLOOKUP($U384,GCA!$H$3:$H$593,GCA!F$3:F$593,"",0,1))</f>
        <v>21323.083999999999</v>
      </c>
      <c r="X384" s="3">
        <f>IF(_xlfn.XLOOKUP($U384,GCA!$H$3:$H$593,GCA!G$3:G$593,"",0,1)="","",_xlfn.XLOOKUP($U384,GCA!$H$3:$H$593,GCA!G$3:G$593,"",0,1))</f>
        <v>21439.149000000001</v>
      </c>
    </row>
    <row r="385" spans="1:24" ht="13.2">
      <c r="A385" s="49"/>
      <c r="B385" s="49"/>
      <c r="C385" s="48"/>
      <c r="D385" s="49"/>
      <c r="E385" s="50"/>
      <c r="F385" s="26" t="s">
        <v>853</v>
      </c>
      <c r="G385" s="26" t="s">
        <v>855</v>
      </c>
      <c r="H385" s="27">
        <f t="shared" si="187"/>
        <v>17599.395</v>
      </c>
      <c r="I385" s="27">
        <f t="shared" si="187"/>
        <v>17803.165000000001</v>
      </c>
      <c r="J385" s="27">
        <f t="shared" si="187"/>
        <v>17702.345000000001</v>
      </c>
      <c r="K385" s="27">
        <f t="shared" si="188"/>
        <v>17701.634999999998</v>
      </c>
      <c r="L385" s="65"/>
      <c r="M385" s="67">
        <f t="shared" si="189"/>
        <v>0</v>
      </c>
      <c r="N385" s="65" t="str">
        <f t="shared" si="165"/>
        <v/>
      </c>
      <c r="O385" s="65" t="str">
        <f t="shared" si="190"/>
        <v/>
      </c>
      <c r="P385" s="65" t="str">
        <f t="shared" si="190"/>
        <v/>
      </c>
      <c r="Q385" s="38"/>
      <c r="R385" s="3" t="str">
        <f t="shared" si="191"/>
        <v>Dindigul</v>
      </c>
      <c r="S385" s="3" t="str">
        <f t="shared" si="192"/>
        <v>Odanchathram</v>
      </c>
      <c r="T385" s="3" t="str">
        <f t="shared" si="192"/>
        <v>Thoppampatti</v>
      </c>
      <c r="U385" s="3" t="str">
        <f t="shared" si="176"/>
        <v>Dindigul_Odanchathram_Thoppampatti</v>
      </c>
      <c r="V385" s="3">
        <f>IF(_xlfn.XLOOKUP($U385,GCA!$H$3:$H$593,GCA!E$3:E$593,"",0,1)="","",_xlfn.XLOOKUP($U385,GCA!$H$3:$H$593,GCA!E$3:E$593,"",0,1))</f>
        <v>17599.395</v>
      </c>
      <c r="W385" s="3">
        <f>IF(_xlfn.XLOOKUP($U385,GCA!$H$3:$H$593,GCA!F$3:F$593,"",0,1)="","",_xlfn.XLOOKUP($U385,GCA!$H$3:$H$593,GCA!F$3:F$593,"",0,1))</f>
        <v>17803.165000000001</v>
      </c>
      <c r="X385" s="3">
        <f>IF(_xlfn.XLOOKUP($U385,GCA!$H$3:$H$593,GCA!G$3:G$593,"",0,1)="","",_xlfn.XLOOKUP($U385,GCA!$H$3:$H$593,GCA!G$3:G$593,"",0,1))</f>
        <v>17702.345000000001</v>
      </c>
    </row>
    <row r="386" spans="1:24" ht="13.2">
      <c r="A386" s="49"/>
      <c r="B386" s="49"/>
      <c r="C386" s="48"/>
      <c r="D386" s="49"/>
      <c r="E386" s="50">
        <v>4</v>
      </c>
      <c r="F386" s="26" t="s">
        <v>856</v>
      </c>
      <c r="G386" s="26" t="s">
        <v>856</v>
      </c>
      <c r="H386" s="27">
        <f t="shared" si="187"/>
        <v>24157.988000000001</v>
      </c>
      <c r="I386" s="27">
        <f t="shared" si="187"/>
        <v>23919.809000000001</v>
      </c>
      <c r="J386" s="27">
        <f t="shared" si="187"/>
        <v>24257.805</v>
      </c>
      <c r="K386" s="27">
        <f t="shared" si="188"/>
        <v>24111.867333333339</v>
      </c>
      <c r="L386" s="65">
        <f>SUM(K386:K389)</f>
        <v>60313.504000000008</v>
      </c>
      <c r="M386" s="67">
        <f t="shared" si="189"/>
        <v>2.5316011581207674</v>
      </c>
      <c r="N386" s="65">
        <f t="shared" si="165"/>
        <v>3</v>
      </c>
      <c r="O386" s="65">
        <f t="shared" si="190"/>
        <v>3</v>
      </c>
      <c r="P386" s="65">
        <f t="shared" si="190"/>
        <v>3</v>
      </c>
      <c r="Q386" s="38"/>
      <c r="R386" s="3" t="str">
        <f t="shared" si="191"/>
        <v>Dindigul</v>
      </c>
      <c r="S386" s="3" t="str">
        <f t="shared" si="192"/>
        <v>Palani</v>
      </c>
      <c r="T386" s="3" t="str">
        <f t="shared" si="192"/>
        <v>Palani</v>
      </c>
      <c r="U386" s="3" t="str">
        <f t="shared" si="176"/>
        <v>Dindigul_Palani_Palani</v>
      </c>
      <c r="V386" s="3">
        <f>IF(_xlfn.XLOOKUP($U386,GCA!$H$3:$H$593,GCA!E$3:E$593,"",0,1)="","",_xlfn.XLOOKUP($U386,GCA!$H$3:$H$593,GCA!E$3:E$593,"",0,1))</f>
        <v>24157.988000000001</v>
      </c>
      <c r="W386" s="3">
        <f>IF(_xlfn.XLOOKUP($U386,GCA!$H$3:$H$593,GCA!F$3:F$593,"",0,1)="","",_xlfn.XLOOKUP($U386,GCA!$H$3:$H$593,GCA!F$3:F$593,"",0,1))</f>
        <v>23919.809000000001</v>
      </c>
      <c r="X386" s="3">
        <f>IF(_xlfn.XLOOKUP($U386,GCA!$H$3:$H$593,GCA!G$3:G$593,"",0,1)="","",_xlfn.XLOOKUP($U386,GCA!$H$3:$H$593,GCA!G$3:G$593,"",0,1))</f>
        <v>24257.805</v>
      </c>
    </row>
    <row r="387" spans="1:24" ht="13.2">
      <c r="A387" s="49"/>
      <c r="B387" s="49"/>
      <c r="C387" s="48"/>
      <c r="D387" s="49"/>
      <c r="E387" s="50"/>
      <c r="F387" s="26" t="s">
        <v>856</v>
      </c>
      <c r="G387" s="26" t="s">
        <v>855</v>
      </c>
      <c r="H387" s="27">
        <f t="shared" si="187"/>
        <v>17931.77</v>
      </c>
      <c r="I387" s="27">
        <f t="shared" si="187"/>
        <v>17447.72</v>
      </c>
      <c r="J387" s="27">
        <f t="shared" si="187"/>
        <v>17976.21</v>
      </c>
      <c r="K387" s="27">
        <f t="shared" si="188"/>
        <v>17785.233333333334</v>
      </c>
      <c r="L387" s="65"/>
      <c r="M387" s="67">
        <f t="shared" si="189"/>
        <v>0</v>
      </c>
      <c r="N387" s="65" t="str">
        <f t="shared" ref="N387:N478" si="193">IF(M387&gt;=2, ROUND(M387,0), IF(M387&gt;1.1,2,""))</f>
        <v/>
      </c>
      <c r="O387" s="65" t="str">
        <f t="shared" si="190"/>
        <v/>
      </c>
      <c r="P387" s="65" t="str">
        <f t="shared" si="190"/>
        <v/>
      </c>
      <c r="Q387" s="38"/>
      <c r="R387" s="3" t="str">
        <f t="shared" si="191"/>
        <v>Dindigul</v>
      </c>
      <c r="S387" s="3" t="str">
        <f t="shared" si="192"/>
        <v>Palani</v>
      </c>
      <c r="T387" s="3" t="str">
        <f t="shared" si="192"/>
        <v>Thoppampatti</v>
      </c>
      <c r="U387" s="3" t="str">
        <f t="shared" si="176"/>
        <v>Dindigul_Palani_Thoppampatti</v>
      </c>
      <c r="V387" s="3">
        <f>IF(_xlfn.XLOOKUP($U387,GCA!$H$3:$H$593,GCA!E$3:E$593,"",0,1)="","",_xlfn.XLOOKUP($U387,GCA!$H$3:$H$593,GCA!E$3:E$593,"",0,1))</f>
        <v>17931.77</v>
      </c>
      <c r="W387" s="3">
        <f>IF(_xlfn.XLOOKUP($U387,GCA!$H$3:$H$593,GCA!F$3:F$593,"",0,1)="","",_xlfn.XLOOKUP($U387,GCA!$H$3:$H$593,GCA!F$3:F$593,"",0,1))</f>
        <v>17447.72</v>
      </c>
      <c r="X387" s="3">
        <f>IF(_xlfn.XLOOKUP($U387,GCA!$H$3:$H$593,GCA!G$3:G$593,"",0,1)="","",_xlfn.XLOOKUP($U387,GCA!$H$3:$H$593,GCA!G$3:G$593,"",0,1))</f>
        <v>17976.21</v>
      </c>
    </row>
    <row r="388" spans="1:24" ht="13.2">
      <c r="A388" s="49"/>
      <c r="B388" s="49"/>
      <c r="C388" s="48"/>
      <c r="D388" s="49"/>
      <c r="E388" s="50"/>
      <c r="F388" s="26" t="s">
        <v>847</v>
      </c>
      <c r="G388" s="26" t="s">
        <v>857</v>
      </c>
      <c r="H388" s="27">
        <f t="shared" si="187"/>
        <v>9708.4699999999993</v>
      </c>
      <c r="I388" s="27">
        <f t="shared" si="187"/>
        <v>10217.264999999999</v>
      </c>
      <c r="J388" s="27">
        <f t="shared" si="187"/>
        <v>10434.075000000001</v>
      </c>
      <c r="K388" s="27">
        <f t="shared" si="188"/>
        <v>10119.936666666666</v>
      </c>
      <c r="L388" s="65"/>
      <c r="M388" s="67">
        <f t="shared" si="189"/>
        <v>0</v>
      </c>
      <c r="N388" s="65" t="str">
        <f t="shared" si="193"/>
        <v/>
      </c>
      <c r="O388" s="65" t="str">
        <f t="shared" si="190"/>
        <v/>
      </c>
      <c r="P388" s="65" t="str">
        <f t="shared" si="190"/>
        <v/>
      </c>
      <c r="Q388" s="38"/>
      <c r="R388" s="3" t="str">
        <f t="shared" si="191"/>
        <v>Dindigul</v>
      </c>
      <c r="S388" s="3" t="str">
        <f t="shared" si="192"/>
        <v>Vedasandur</v>
      </c>
      <c r="T388" s="3" t="str">
        <f t="shared" si="192"/>
        <v>Vadamadurai</v>
      </c>
      <c r="U388" s="3" t="str">
        <f t="shared" si="176"/>
        <v>Dindigul_Vedasandur_Vadamadurai</v>
      </c>
      <c r="V388" s="3">
        <f>IF(_xlfn.XLOOKUP($U388,GCA!$H$3:$H$593,GCA!E$3:E$593,"",0,1)="","",_xlfn.XLOOKUP($U388,GCA!$H$3:$H$593,GCA!E$3:E$593,"",0,1))</f>
        <v>9708.4699999999993</v>
      </c>
      <c r="W388" s="3">
        <f>IF(_xlfn.XLOOKUP($U388,GCA!$H$3:$H$593,GCA!F$3:F$593,"",0,1)="","",_xlfn.XLOOKUP($U388,GCA!$H$3:$H$593,GCA!F$3:F$593,"",0,1))</f>
        <v>10217.264999999999</v>
      </c>
      <c r="X388" s="3">
        <f>IF(_xlfn.XLOOKUP($U388,GCA!$H$3:$H$593,GCA!G$3:G$593,"",0,1)="","",_xlfn.XLOOKUP($U388,GCA!$H$3:$H$593,GCA!G$3:G$593,"",0,1))</f>
        <v>10434.075000000001</v>
      </c>
    </row>
    <row r="389" spans="1:24" ht="13.2">
      <c r="A389" s="49"/>
      <c r="B389" s="49"/>
      <c r="C389" s="48"/>
      <c r="D389" s="49"/>
      <c r="E389" s="50"/>
      <c r="F389" s="26" t="s">
        <v>847</v>
      </c>
      <c r="G389" s="26" t="s">
        <v>847</v>
      </c>
      <c r="H389" s="27">
        <f t="shared" si="187"/>
        <v>8919.14</v>
      </c>
      <c r="I389" s="27">
        <f t="shared" si="187"/>
        <v>7934.57</v>
      </c>
      <c r="J389" s="27">
        <f t="shared" si="187"/>
        <v>8035.69</v>
      </c>
      <c r="K389" s="27">
        <f t="shared" si="188"/>
        <v>8296.4666666666653</v>
      </c>
      <c r="L389" s="65"/>
      <c r="M389" s="67">
        <f t="shared" si="189"/>
        <v>0</v>
      </c>
      <c r="N389" s="65" t="str">
        <f t="shared" si="193"/>
        <v/>
      </c>
      <c r="O389" s="65" t="str">
        <f t="shared" ref="O389:P389" si="194">N389</f>
        <v/>
      </c>
      <c r="P389" s="65" t="str">
        <f t="shared" si="194"/>
        <v/>
      </c>
      <c r="Q389" s="38"/>
      <c r="R389" s="3" t="str">
        <f t="shared" si="191"/>
        <v>Dindigul</v>
      </c>
      <c r="S389" s="3" t="str">
        <f t="shared" si="192"/>
        <v>Vedasandur</v>
      </c>
      <c r="T389" s="3" t="str">
        <f t="shared" si="192"/>
        <v>Vedasandur</v>
      </c>
      <c r="U389" s="3" t="str">
        <f t="shared" si="176"/>
        <v>Dindigul_Vedasandur_Vedasandur</v>
      </c>
      <c r="V389" s="3">
        <f>IF(_xlfn.XLOOKUP($U389,GCA!$H$3:$H$593,GCA!E$3:E$593,"",0,1)="","",_xlfn.XLOOKUP($U389,GCA!$H$3:$H$593,GCA!E$3:E$593,"",0,1))</f>
        <v>8919.14</v>
      </c>
      <c r="W389" s="3">
        <f>IF(_xlfn.XLOOKUP($U389,GCA!$H$3:$H$593,GCA!F$3:F$593,"",0,1)="","",_xlfn.XLOOKUP($U389,GCA!$H$3:$H$593,GCA!F$3:F$593,"",0,1))</f>
        <v>7934.57</v>
      </c>
      <c r="X389" s="3">
        <f>IF(_xlfn.XLOOKUP($U389,GCA!$H$3:$H$593,GCA!G$3:G$593,"",0,1)="","",_xlfn.XLOOKUP($U389,GCA!$H$3:$H$593,GCA!G$3:G$593,"",0,1))</f>
        <v>8035.69</v>
      </c>
    </row>
    <row r="390" spans="1:24" ht="13.2">
      <c r="A390" s="49"/>
      <c r="B390" s="49"/>
      <c r="C390" s="48"/>
      <c r="D390" s="49"/>
      <c r="E390" s="47" t="s">
        <v>564</v>
      </c>
      <c r="F390" s="47"/>
      <c r="G390" s="47"/>
      <c r="H390" s="29">
        <f t="shared" ref="H390:P390" si="195">SUM(H373:H389)</f>
        <v>222552.19899999996</v>
      </c>
      <c r="I390" s="29">
        <f t="shared" si="195"/>
        <v>224203.51</v>
      </c>
      <c r="J390" s="29">
        <f t="shared" si="195"/>
        <v>226981.62899999999</v>
      </c>
      <c r="K390" s="29">
        <f t="shared" si="195"/>
        <v>224579.11266666668</v>
      </c>
      <c r="L390" s="29">
        <f t="shared" si="195"/>
        <v>224579.11266666668</v>
      </c>
      <c r="M390" s="30">
        <f t="shared" si="195"/>
        <v>9.4264916479842977</v>
      </c>
      <c r="N390" s="31">
        <f t="shared" si="195"/>
        <v>9</v>
      </c>
      <c r="O390" s="31">
        <f t="shared" si="195"/>
        <v>9</v>
      </c>
      <c r="P390" s="31">
        <f t="shared" si="195"/>
        <v>9</v>
      </c>
      <c r="Q390" s="38"/>
      <c r="R390" s="3" t="str">
        <f t="shared" si="191"/>
        <v>Dindigul</v>
      </c>
      <c r="S390" s="3">
        <f t="shared" si="192"/>
        <v>0</v>
      </c>
      <c r="T390" s="3">
        <f t="shared" si="192"/>
        <v>0</v>
      </c>
      <c r="U390" s="3" t="str">
        <f t="shared" si="176"/>
        <v>Dindigul_0_0</v>
      </c>
      <c r="V390" s="3" t="str">
        <f>IF(_xlfn.XLOOKUP($U390,GCA!$H$3:$H$593,GCA!E$3:E$593,"",0,1)="","",_xlfn.XLOOKUP($U390,GCA!$H$3:$H$593,GCA!E$3:E$593,"",0,1))</f>
        <v/>
      </c>
      <c r="W390" s="3" t="str">
        <f>IF(_xlfn.XLOOKUP($U390,GCA!$H$3:$H$593,GCA!F$3:F$593,"",0,1)="","",_xlfn.XLOOKUP($U390,GCA!$H$3:$H$593,GCA!F$3:F$593,"",0,1))</f>
        <v/>
      </c>
      <c r="X390" s="3" t="str">
        <f>IF(_xlfn.XLOOKUP($U390,GCA!$H$3:$H$593,GCA!G$3:G$593,"",0,1)="","",_xlfn.XLOOKUP($U390,GCA!$H$3:$H$593,GCA!G$3:G$593,"",0,1))</f>
        <v/>
      </c>
    </row>
    <row r="391" spans="1:24" ht="13.2">
      <c r="A391" s="49"/>
      <c r="B391" s="49"/>
      <c r="C391" s="48" t="s">
        <v>247</v>
      </c>
      <c r="D391" s="49" t="s">
        <v>551</v>
      </c>
      <c r="E391" s="50">
        <v>1</v>
      </c>
      <c r="F391" s="26" t="s">
        <v>968</v>
      </c>
      <c r="G391" s="26" t="s">
        <v>968</v>
      </c>
      <c r="H391" s="27">
        <f t="shared" ref="H391:J415" si="196">V391</f>
        <v>13739.362999999999</v>
      </c>
      <c r="I391" s="27">
        <f t="shared" si="196"/>
        <v>14095.355</v>
      </c>
      <c r="J391" s="27">
        <f t="shared" si="196"/>
        <v>14144.828</v>
      </c>
      <c r="K391" s="27">
        <f t="shared" ref="K391:K415" si="197">IFERROR(AVERAGE(H391:J391),"")</f>
        <v>13993.182000000001</v>
      </c>
      <c r="L391" s="65">
        <f>SUM(K391:K397)</f>
        <v>60014.549333333336</v>
      </c>
      <c r="M391" s="67">
        <f t="shared" ref="M391:M415" si="198">L391*$L$643/$L$642</f>
        <v>2.5190528243287371</v>
      </c>
      <c r="N391" s="65">
        <f>IF(M391&gt;=2, ROUND(M391,0), IF(M391&gt;1.1,2,""))</f>
        <v>3</v>
      </c>
      <c r="O391" s="65">
        <f t="shared" ref="O391:P415" si="199">N391</f>
        <v>3</v>
      </c>
      <c r="P391" s="65">
        <f t="shared" si="199"/>
        <v>3</v>
      </c>
      <c r="Q391" s="38"/>
      <c r="R391" s="3" t="str">
        <f t="shared" ref="R391" si="200">C391</f>
        <v>Sivagangai</v>
      </c>
      <c r="S391" s="3" t="str">
        <f t="shared" si="192"/>
        <v>Devakottai</v>
      </c>
      <c r="T391" s="3" t="str">
        <f t="shared" si="192"/>
        <v>Devakottai</v>
      </c>
      <c r="U391" s="3" t="str">
        <f t="shared" si="176"/>
        <v>Sivagangai_Devakottai_Devakottai</v>
      </c>
      <c r="V391" s="3">
        <f>IF(_xlfn.XLOOKUP($U391,GCA!$H$3:$H$593,GCA!E$3:E$593,"",0,1)="","",_xlfn.XLOOKUP($U391,GCA!$H$3:$H$593,GCA!E$3:E$593,"",0,1))</f>
        <v>13739.362999999999</v>
      </c>
      <c r="W391" s="3">
        <f>IF(_xlfn.XLOOKUP($U391,GCA!$H$3:$H$593,GCA!F$3:F$593,"",0,1)="","",_xlfn.XLOOKUP($U391,GCA!$H$3:$H$593,GCA!F$3:F$593,"",0,1))</f>
        <v>14095.355</v>
      </c>
      <c r="X391" s="3">
        <f>IF(_xlfn.XLOOKUP($U391,GCA!$H$3:$H$593,GCA!G$3:G$593,"",0,1)="","",_xlfn.XLOOKUP($U391,GCA!$H$3:$H$593,GCA!G$3:G$593,"",0,1))</f>
        <v>14144.828</v>
      </c>
    </row>
    <row r="392" spans="1:24" ht="13.2">
      <c r="A392" s="49"/>
      <c r="B392" s="49"/>
      <c r="C392" s="48"/>
      <c r="D392" s="49"/>
      <c r="E392" s="50"/>
      <c r="F392" s="26" t="s">
        <v>968</v>
      </c>
      <c r="G392" s="26" t="s">
        <v>969</v>
      </c>
      <c r="H392" s="27">
        <f t="shared" si="196"/>
        <v>7323.8950000000004</v>
      </c>
      <c r="I392" s="27">
        <f t="shared" si="196"/>
        <v>7292.375</v>
      </c>
      <c r="J392" s="27">
        <f t="shared" si="196"/>
        <v>7337.835</v>
      </c>
      <c r="K392" s="27">
        <f t="shared" si="197"/>
        <v>7318.0349999999999</v>
      </c>
      <c r="L392" s="65"/>
      <c r="M392" s="67">
        <f t="shared" si="198"/>
        <v>0</v>
      </c>
      <c r="N392" s="65" t="str">
        <f t="shared" ref="N392:N415" si="201">IF(M392&gt;=2, ROUND(M392,0), IF(M392&gt;1.1,2,""))</f>
        <v/>
      </c>
      <c r="O392" s="65" t="str">
        <f t="shared" si="199"/>
        <v/>
      </c>
      <c r="P392" s="65" t="str">
        <f t="shared" si="199"/>
        <v/>
      </c>
      <c r="Q392" s="38"/>
      <c r="R392" s="3" t="str">
        <f t="shared" ref="R392:R416" si="202">R391</f>
        <v>Sivagangai</v>
      </c>
      <c r="S392" s="3" t="str">
        <f t="shared" si="192"/>
        <v>Devakottai</v>
      </c>
      <c r="T392" s="3" t="str">
        <f t="shared" si="192"/>
        <v>Kannangudi</v>
      </c>
      <c r="U392" s="3" t="str">
        <f t="shared" si="176"/>
        <v>Sivagangai_Devakottai_Kannangudi</v>
      </c>
      <c r="V392" s="3">
        <f>IF(_xlfn.XLOOKUP($U392,GCA!$H$3:$H$593,GCA!E$3:E$593,"",0,1)="","",_xlfn.XLOOKUP($U392,GCA!$H$3:$H$593,GCA!E$3:E$593,"",0,1))</f>
        <v>7323.8950000000004</v>
      </c>
      <c r="W392" s="3">
        <f>IF(_xlfn.XLOOKUP($U392,GCA!$H$3:$H$593,GCA!F$3:F$593,"",0,1)="","",_xlfn.XLOOKUP($U392,GCA!$H$3:$H$593,GCA!F$3:F$593,"",0,1))</f>
        <v>7292.375</v>
      </c>
      <c r="X392" s="3">
        <f>IF(_xlfn.XLOOKUP($U392,GCA!$H$3:$H$593,GCA!G$3:G$593,"",0,1)="","",_xlfn.XLOOKUP($U392,GCA!$H$3:$H$593,GCA!G$3:G$593,"",0,1))</f>
        <v>7337.835</v>
      </c>
    </row>
    <row r="393" spans="1:24" ht="13.2">
      <c r="A393" s="49"/>
      <c r="B393" s="49"/>
      <c r="C393" s="48"/>
      <c r="D393" s="49"/>
      <c r="E393" s="50"/>
      <c r="F393" s="26" t="s">
        <v>970</v>
      </c>
      <c r="G393" s="26" t="s">
        <v>970</v>
      </c>
      <c r="H393" s="27">
        <f t="shared" si="196"/>
        <v>22210.008000000002</v>
      </c>
      <c r="I393" s="27">
        <f t="shared" si="196"/>
        <v>22075.054</v>
      </c>
      <c r="J393" s="27">
        <f t="shared" si="196"/>
        <v>21963.969000000001</v>
      </c>
      <c r="K393" s="27">
        <f t="shared" si="197"/>
        <v>22083.010333333335</v>
      </c>
      <c r="L393" s="65"/>
      <c r="M393" s="67">
        <f t="shared" si="198"/>
        <v>0</v>
      </c>
      <c r="N393" s="65" t="str">
        <f t="shared" si="201"/>
        <v/>
      </c>
      <c r="O393" s="65" t="str">
        <f t="shared" si="199"/>
        <v/>
      </c>
      <c r="P393" s="65" t="str">
        <f t="shared" si="199"/>
        <v/>
      </c>
      <c r="Q393" s="38"/>
      <c r="R393" s="3" t="str">
        <f t="shared" si="202"/>
        <v>Sivagangai</v>
      </c>
      <c r="S393" s="3" t="str">
        <f t="shared" si="192"/>
        <v>Ilayangudi</v>
      </c>
      <c r="T393" s="3" t="str">
        <f t="shared" si="192"/>
        <v>Ilayangudi</v>
      </c>
      <c r="U393" s="3" t="str">
        <f t="shared" si="176"/>
        <v>Sivagangai_Ilayangudi_Ilayangudi</v>
      </c>
      <c r="V393" s="3">
        <f>IF(_xlfn.XLOOKUP($U393,GCA!$H$3:$H$593,GCA!E$3:E$593,"",0,1)="","",_xlfn.XLOOKUP($U393,GCA!$H$3:$H$593,GCA!E$3:E$593,"",0,1))</f>
        <v>22210.008000000002</v>
      </c>
      <c r="W393" s="3">
        <f>IF(_xlfn.XLOOKUP($U393,GCA!$H$3:$H$593,GCA!F$3:F$593,"",0,1)="","",_xlfn.XLOOKUP($U393,GCA!$H$3:$H$593,GCA!F$3:F$593,"",0,1))</f>
        <v>22075.054</v>
      </c>
      <c r="X393" s="3">
        <f>IF(_xlfn.XLOOKUP($U393,GCA!$H$3:$H$593,GCA!G$3:G$593,"",0,1)="","",_xlfn.XLOOKUP($U393,GCA!$H$3:$H$593,GCA!G$3:G$593,"",0,1))</f>
        <v>21963.969000000001</v>
      </c>
    </row>
    <row r="394" spans="1:24" ht="13.2">
      <c r="A394" s="49"/>
      <c r="B394" s="49"/>
      <c r="C394" s="48"/>
      <c r="D394" s="49"/>
      <c r="E394" s="50"/>
      <c r="F394" s="26" t="s">
        <v>971</v>
      </c>
      <c r="G394" s="26" t="s">
        <v>970</v>
      </c>
      <c r="H394" s="27">
        <f t="shared" si="196"/>
        <v>353.21499999999997</v>
      </c>
      <c r="I394" s="27">
        <f t="shared" si="196"/>
        <v>358.92</v>
      </c>
      <c r="J394" s="27">
        <f t="shared" si="196"/>
        <v>363.05500000000001</v>
      </c>
      <c r="K394" s="27">
        <f t="shared" si="197"/>
        <v>358.3966666666667</v>
      </c>
      <c r="L394" s="65"/>
      <c r="M394" s="67">
        <f t="shared" si="198"/>
        <v>0</v>
      </c>
      <c r="N394" s="65" t="str">
        <f t="shared" si="201"/>
        <v/>
      </c>
      <c r="O394" s="65" t="str">
        <f t="shared" si="199"/>
        <v/>
      </c>
      <c r="P394" s="65" t="str">
        <f t="shared" si="199"/>
        <v/>
      </c>
      <c r="Q394" s="38"/>
      <c r="R394" s="3" t="str">
        <f t="shared" si="202"/>
        <v>Sivagangai</v>
      </c>
      <c r="S394" s="3" t="str">
        <f t="shared" si="192"/>
        <v>Kalayarkoil</v>
      </c>
      <c r="T394" s="3" t="str">
        <f t="shared" si="192"/>
        <v>Ilayangudi</v>
      </c>
      <c r="U394" s="3" t="str">
        <f t="shared" si="176"/>
        <v>Sivagangai_Kalayarkoil_Ilayangudi</v>
      </c>
      <c r="V394" s="3">
        <f>IF(_xlfn.XLOOKUP($U394,GCA!$H$3:$H$593,GCA!E$3:E$593,"",0,1)="","",_xlfn.XLOOKUP($U394,GCA!$H$3:$H$593,GCA!E$3:E$593,"",0,1))</f>
        <v>353.21499999999997</v>
      </c>
      <c r="W394" s="3">
        <f>IF(_xlfn.XLOOKUP($U394,GCA!$H$3:$H$593,GCA!F$3:F$593,"",0,1)="","",_xlfn.XLOOKUP($U394,GCA!$H$3:$H$593,GCA!F$3:F$593,"",0,1))</f>
        <v>358.92</v>
      </c>
      <c r="X394" s="3">
        <f>IF(_xlfn.XLOOKUP($U394,GCA!$H$3:$H$593,GCA!G$3:G$593,"",0,1)="","",_xlfn.XLOOKUP($U394,GCA!$H$3:$H$593,GCA!G$3:G$593,"",0,1))</f>
        <v>363.05500000000001</v>
      </c>
    </row>
    <row r="395" spans="1:24" ht="13.2">
      <c r="A395" s="49"/>
      <c r="B395" s="49"/>
      <c r="C395" s="48"/>
      <c r="D395" s="49"/>
      <c r="E395" s="50"/>
      <c r="F395" s="26" t="s">
        <v>971</v>
      </c>
      <c r="G395" s="26" t="s">
        <v>971</v>
      </c>
      <c r="H395" s="27">
        <f t="shared" si="196"/>
        <v>15599.15</v>
      </c>
      <c r="I395" s="27">
        <f t="shared" si="196"/>
        <v>15569.045</v>
      </c>
      <c r="J395" s="27">
        <f t="shared" si="196"/>
        <v>15639.116</v>
      </c>
      <c r="K395" s="27">
        <f t="shared" si="197"/>
        <v>15602.437</v>
      </c>
      <c r="L395" s="65"/>
      <c r="M395" s="67">
        <f t="shared" si="198"/>
        <v>0</v>
      </c>
      <c r="N395" s="65" t="str">
        <f t="shared" si="201"/>
        <v/>
      </c>
      <c r="O395" s="65" t="str">
        <f t="shared" si="199"/>
        <v/>
      </c>
      <c r="P395" s="65" t="str">
        <f t="shared" si="199"/>
        <v/>
      </c>
      <c r="Q395" s="38"/>
      <c r="R395" s="3" t="str">
        <f t="shared" si="202"/>
        <v>Sivagangai</v>
      </c>
      <c r="S395" s="3" t="str">
        <f t="shared" si="192"/>
        <v>Kalayarkoil</v>
      </c>
      <c r="T395" s="3" t="str">
        <f t="shared" si="192"/>
        <v>Kalayarkoil</v>
      </c>
      <c r="U395" s="3" t="str">
        <f t="shared" si="176"/>
        <v>Sivagangai_Kalayarkoil_Kalayarkoil</v>
      </c>
      <c r="V395" s="3">
        <f>IF(_xlfn.XLOOKUP($U395,GCA!$H$3:$H$593,GCA!E$3:E$593,"",0,1)="","",_xlfn.XLOOKUP($U395,GCA!$H$3:$H$593,GCA!E$3:E$593,"",0,1))</f>
        <v>15599.15</v>
      </c>
      <c r="W395" s="3">
        <f>IF(_xlfn.XLOOKUP($U395,GCA!$H$3:$H$593,GCA!F$3:F$593,"",0,1)="","",_xlfn.XLOOKUP($U395,GCA!$H$3:$H$593,GCA!F$3:F$593,"",0,1))</f>
        <v>15569.045</v>
      </c>
      <c r="X395" s="3">
        <f>IF(_xlfn.XLOOKUP($U395,GCA!$H$3:$H$593,GCA!G$3:G$593,"",0,1)="","",_xlfn.XLOOKUP($U395,GCA!$H$3:$H$593,GCA!G$3:G$593,"",0,1))</f>
        <v>15639.116</v>
      </c>
    </row>
    <row r="396" spans="1:24" ht="13.2">
      <c r="A396" s="49"/>
      <c r="B396" s="49"/>
      <c r="C396" s="48"/>
      <c r="D396" s="49"/>
      <c r="E396" s="50"/>
      <c r="F396" s="26" t="s">
        <v>971</v>
      </c>
      <c r="G396" s="26" t="s">
        <v>972</v>
      </c>
      <c r="H396" s="27">
        <f t="shared" si="196"/>
        <v>199.01499999999999</v>
      </c>
      <c r="I396" s="27">
        <f t="shared" si="196"/>
        <v>202.72</v>
      </c>
      <c r="J396" s="27">
        <f t="shared" si="196"/>
        <v>217.73</v>
      </c>
      <c r="K396" s="27">
        <f t="shared" si="197"/>
        <v>206.48833333333334</v>
      </c>
      <c r="L396" s="65"/>
      <c r="M396" s="67">
        <f t="shared" si="198"/>
        <v>0</v>
      </c>
      <c r="N396" s="65" t="str">
        <f t="shared" si="201"/>
        <v/>
      </c>
      <c r="O396" s="65" t="str">
        <f t="shared" si="199"/>
        <v/>
      </c>
      <c r="P396" s="65" t="str">
        <f t="shared" si="199"/>
        <v/>
      </c>
      <c r="Q396" s="38"/>
      <c r="R396" s="3" t="str">
        <f t="shared" si="202"/>
        <v>Sivagangai</v>
      </c>
      <c r="S396" s="3" t="str">
        <f t="shared" si="192"/>
        <v>Kalayarkoil</v>
      </c>
      <c r="T396" s="3" t="str">
        <f t="shared" si="192"/>
        <v>Kallal</v>
      </c>
      <c r="U396" s="3" t="str">
        <f t="shared" si="176"/>
        <v>Sivagangai_Kalayarkoil_Kallal</v>
      </c>
      <c r="V396" s="3">
        <f>IF(_xlfn.XLOOKUP($U396,GCA!$H$3:$H$593,GCA!E$3:E$593,"",0,1)="","",_xlfn.XLOOKUP($U396,GCA!$H$3:$H$593,GCA!E$3:E$593,"",0,1))</f>
        <v>199.01499999999999</v>
      </c>
      <c r="W396" s="3">
        <f>IF(_xlfn.XLOOKUP($U396,GCA!$H$3:$H$593,GCA!F$3:F$593,"",0,1)="","",_xlfn.XLOOKUP($U396,GCA!$H$3:$H$593,GCA!F$3:F$593,"",0,1))</f>
        <v>202.72</v>
      </c>
      <c r="X396" s="3">
        <f>IF(_xlfn.XLOOKUP($U396,GCA!$H$3:$H$593,GCA!G$3:G$593,"",0,1)="","",_xlfn.XLOOKUP($U396,GCA!$H$3:$H$593,GCA!G$3:G$593,"",0,1))</f>
        <v>217.73</v>
      </c>
    </row>
    <row r="397" spans="1:24" ht="13.2">
      <c r="A397" s="49"/>
      <c r="B397" s="49"/>
      <c r="C397" s="48"/>
      <c r="D397" s="49"/>
      <c r="E397" s="50"/>
      <c r="F397" s="26" t="s">
        <v>971</v>
      </c>
      <c r="G397" s="26" t="s">
        <v>973</v>
      </c>
      <c r="H397" s="27">
        <f t="shared" si="196"/>
        <v>456.73</v>
      </c>
      <c r="I397" s="27">
        <f t="shared" si="196"/>
        <v>451.76499999999999</v>
      </c>
      <c r="J397" s="27">
        <f t="shared" si="196"/>
        <v>450.505</v>
      </c>
      <c r="K397" s="27">
        <f t="shared" si="197"/>
        <v>453</v>
      </c>
      <c r="L397" s="65"/>
      <c r="M397" s="67">
        <f t="shared" si="198"/>
        <v>0</v>
      </c>
      <c r="N397" s="65" t="str">
        <f t="shared" si="201"/>
        <v/>
      </c>
      <c r="O397" s="65" t="str">
        <f t="shared" si="199"/>
        <v/>
      </c>
      <c r="P397" s="65" t="str">
        <f t="shared" si="199"/>
        <v/>
      </c>
      <c r="Q397" s="38"/>
      <c r="R397" s="3" t="str">
        <f t="shared" si="202"/>
        <v>Sivagangai</v>
      </c>
      <c r="S397" s="3" t="str">
        <f t="shared" si="192"/>
        <v>Kalayarkoil</v>
      </c>
      <c r="T397" s="3" t="str">
        <f t="shared" si="192"/>
        <v>Manamadurai</v>
      </c>
      <c r="U397" s="3" t="str">
        <f t="shared" si="176"/>
        <v>Sivagangai_Kalayarkoil_Manamadurai</v>
      </c>
      <c r="V397" s="3">
        <f>IF(_xlfn.XLOOKUP($U397,GCA!$H$3:$H$593,GCA!E$3:E$593,"",0,1)="","",_xlfn.XLOOKUP($U397,GCA!$H$3:$H$593,GCA!E$3:E$593,"",0,1))</f>
        <v>456.73</v>
      </c>
      <c r="W397" s="3">
        <f>IF(_xlfn.XLOOKUP($U397,GCA!$H$3:$H$593,GCA!F$3:F$593,"",0,1)="","",_xlfn.XLOOKUP($U397,GCA!$H$3:$H$593,GCA!F$3:F$593,"",0,1))</f>
        <v>451.76499999999999</v>
      </c>
      <c r="X397" s="3">
        <f>IF(_xlfn.XLOOKUP($U397,GCA!$H$3:$H$593,GCA!G$3:G$593,"",0,1)="","",_xlfn.XLOOKUP($U397,GCA!$H$3:$H$593,GCA!G$3:G$593,"",0,1))</f>
        <v>450.505</v>
      </c>
    </row>
    <row r="398" spans="1:24" ht="13.2">
      <c r="A398" s="49"/>
      <c r="B398" s="49"/>
      <c r="C398" s="48"/>
      <c r="D398" s="49"/>
      <c r="E398" s="50">
        <v>2</v>
      </c>
      <c r="F398" s="26" t="s">
        <v>974</v>
      </c>
      <c r="G398" s="26" t="s">
        <v>971</v>
      </c>
      <c r="H398" s="27">
        <f t="shared" si="196"/>
        <v>40.121000000000002</v>
      </c>
      <c r="I398" s="27">
        <f t="shared" si="196"/>
        <v>60.17</v>
      </c>
      <c r="J398" s="27">
        <f t="shared" si="196"/>
        <v>70.814999999999998</v>
      </c>
      <c r="K398" s="27">
        <f t="shared" si="197"/>
        <v>57.035333333333334</v>
      </c>
      <c r="L398" s="65">
        <f>SUM(K398:K415)</f>
        <v>49204.270666666671</v>
      </c>
      <c r="M398" s="67">
        <f t="shared" si="198"/>
        <v>2.0653018037920834</v>
      </c>
      <c r="N398" s="65">
        <f t="shared" si="201"/>
        <v>2</v>
      </c>
      <c r="O398" s="65">
        <f t="shared" si="199"/>
        <v>2</v>
      </c>
      <c r="P398" s="65">
        <f t="shared" si="199"/>
        <v>2</v>
      </c>
      <c r="Q398" s="38"/>
      <c r="R398" s="3" t="str">
        <f t="shared" si="202"/>
        <v>Sivagangai</v>
      </c>
      <c r="S398" s="3" t="str">
        <f t="shared" si="192"/>
        <v>Karaikudi</v>
      </c>
      <c r="T398" s="3" t="str">
        <f t="shared" si="192"/>
        <v>Kalayarkoil</v>
      </c>
      <c r="U398" s="3" t="str">
        <f t="shared" si="176"/>
        <v>Sivagangai_Karaikudi_Kalayarkoil</v>
      </c>
      <c r="V398" s="3">
        <f>IF(_xlfn.XLOOKUP($U398,GCA!$H$3:$H$593,GCA!E$3:E$593,"",0,1)="","",_xlfn.XLOOKUP($U398,GCA!$H$3:$H$593,GCA!E$3:E$593,"",0,1))</f>
        <v>40.121000000000002</v>
      </c>
      <c r="W398" s="3">
        <f>IF(_xlfn.XLOOKUP($U398,GCA!$H$3:$H$593,GCA!F$3:F$593,"",0,1)="","",_xlfn.XLOOKUP($U398,GCA!$H$3:$H$593,GCA!F$3:F$593,"",0,1))</f>
        <v>60.17</v>
      </c>
      <c r="X398" s="3">
        <f>IF(_xlfn.XLOOKUP($U398,GCA!$H$3:$H$593,GCA!G$3:G$593,"",0,1)="","",_xlfn.XLOOKUP($U398,GCA!$H$3:$H$593,GCA!G$3:G$593,"",0,1))</f>
        <v>70.814999999999998</v>
      </c>
    </row>
    <row r="399" spans="1:24" ht="13.2">
      <c r="A399" s="49"/>
      <c r="B399" s="49"/>
      <c r="C399" s="48"/>
      <c r="D399" s="49"/>
      <c r="E399" s="50"/>
      <c r="F399" s="26" t="s">
        <v>974</v>
      </c>
      <c r="G399" s="26" t="s">
        <v>972</v>
      </c>
      <c r="H399" s="27">
        <f t="shared" si="196"/>
        <v>3538.8</v>
      </c>
      <c r="I399" s="27">
        <f t="shared" si="196"/>
        <v>3503.99</v>
      </c>
      <c r="J399" s="27">
        <f t="shared" si="196"/>
        <v>3426.3150000000001</v>
      </c>
      <c r="K399" s="27">
        <f t="shared" si="197"/>
        <v>3489.7016666666664</v>
      </c>
      <c r="L399" s="65"/>
      <c r="M399" s="67">
        <f t="shared" si="198"/>
        <v>0</v>
      </c>
      <c r="N399" s="65" t="str">
        <f t="shared" si="201"/>
        <v/>
      </c>
      <c r="O399" s="65" t="str">
        <f t="shared" si="199"/>
        <v/>
      </c>
      <c r="P399" s="65" t="str">
        <f t="shared" si="199"/>
        <v/>
      </c>
      <c r="Q399" s="38"/>
      <c r="R399" s="3" t="str">
        <f t="shared" si="202"/>
        <v>Sivagangai</v>
      </c>
      <c r="S399" s="3" t="str">
        <f t="shared" si="192"/>
        <v>Karaikudi</v>
      </c>
      <c r="T399" s="3" t="str">
        <f t="shared" si="192"/>
        <v>Kallal</v>
      </c>
      <c r="U399" s="3" t="str">
        <f t="shared" si="176"/>
        <v>Sivagangai_Karaikudi_Kallal</v>
      </c>
      <c r="V399" s="3">
        <f>IF(_xlfn.XLOOKUP($U399,GCA!$H$3:$H$593,GCA!E$3:E$593,"",0,1)="","",_xlfn.XLOOKUP($U399,GCA!$H$3:$H$593,GCA!E$3:E$593,"",0,1))</f>
        <v>3538.8</v>
      </c>
      <c r="W399" s="3">
        <f>IF(_xlfn.XLOOKUP($U399,GCA!$H$3:$H$593,GCA!F$3:F$593,"",0,1)="","",_xlfn.XLOOKUP($U399,GCA!$H$3:$H$593,GCA!F$3:F$593,"",0,1))</f>
        <v>3503.99</v>
      </c>
      <c r="X399" s="3">
        <f>IF(_xlfn.XLOOKUP($U399,GCA!$H$3:$H$593,GCA!G$3:G$593,"",0,1)="","",_xlfn.XLOOKUP($U399,GCA!$H$3:$H$593,GCA!G$3:G$593,"",0,1))</f>
        <v>3426.3150000000001</v>
      </c>
    </row>
    <row r="400" spans="1:24" ht="13.2">
      <c r="A400" s="49"/>
      <c r="B400" s="49"/>
      <c r="C400" s="48"/>
      <c r="D400" s="49"/>
      <c r="E400" s="50"/>
      <c r="F400" s="26" t="s">
        <v>974</v>
      </c>
      <c r="G400" s="26" t="s">
        <v>975</v>
      </c>
      <c r="H400" s="27">
        <f t="shared" si="196"/>
        <v>6239.24</v>
      </c>
      <c r="I400" s="27">
        <f t="shared" si="196"/>
        <v>6698.3149999999996</v>
      </c>
      <c r="J400" s="27">
        <f t="shared" si="196"/>
        <v>6838.6949999999997</v>
      </c>
      <c r="K400" s="27">
        <f t="shared" si="197"/>
        <v>6592.083333333333</v>
      </c>
      <c r="L400" s="65"/>
      <c r="M400" s="67">
        <f t="shared" si="198"/>
        <v>0</v>
      </c>
      <c r="N400" s="65" t="str">
        <f t="shared" si="201"/>
        <v/>
      </c>
      <c r="O400" s="65" t="str">
        <f t="shared" si="199"/>
        <v/>
      </c>
      <c r="P400" s="65" t="str">
        <f t="shared" si="199"/>
        <v/>
      </c>
      <c r="Q400" s="38"/>
      <c r="R400" s="3" t="str">
        <f t="shared" si="202"/>
        <v>Sivagangai</v>
      </c>
      <c r="S400" s="3" t="str">
        <f t="shared" si="192"/>
        <v>Karaikudi</v>
      </c>
      <c r="T400" s="3" t="str">
        <f t="shared" si="192"/>
        <v>Sakkottai</v>
      </c>
      <c r="U400" s="3" t="str">
        <f t="shared" si="176"/>
        <v>Sivagangai_Karaikudi_Sakkottai</v>
      </c>
      <c r="V400" s="3">
        <f>IF(_xlfn.XLOOKUP($U400,GCA!$H$3:$H$593,GCA!E$3:E$593,"",0,1)="","",_xlfn.XLOOKUP($U400,GCA!$H$3:$H$593,GCA!E$3:E$593,"",0,1))</f>
        <v>6239.24</v>
      </c>
      <c r="W400" s="3">
        <f>IF(_xlfn.XLOOKUP($U400,GCA!$H$3:$H$593,GCA!F$3:F$593,"",0,1)="","",_xlfn.XLOOKUP($U400,GCA!$H$3:$H$593,GCA!F$3:F$593,"",0,1))</f>
        <v>6698.3149999999996</v>
      </c>
      <c r="X400" s="3">
        <f>IF(_xlfn.XLOOKUP($U400,GCA!$H$3:$H$593,GCA!G$3:G$593,"",0,1)="","",_xlfn.XLOOKUP($U400,GCA!$H$3:$H$593,GCA!G$3:G$593,"",0,1))</f>
        <v>6838.6949999999997</v>
      </c>
    </row>
    <row r="401" spans="1:24" ht="13.2">
      <c r="A401" s="49"/>
      <c r="B401" s="49"/>
      <c r="C401" s="48"/>
      <c r="D401" s="49"/>
      <c r="E401" s="50"/>
      <c r="F401" s="26" t="s">
        <v>973</v>
      </c>
      <c r="G401" s="26" t="s">
        <v>970</v>
      </c>
      <c r="H401" s="27">
        <f t="shared" si="196"/>
        <v>508.63</v>
      </c>
      <c r="I401" s="27">
        <f t="shared" si="196"/>
        <v>512.38499999999999</v>
      </c>
      <c r="J401" s="27">
        <f t="shared" si="196"/>
        <v>535.57000000000005</v>
      </c>
      <c r="K401" s="27">
        <f t="shared" si="197"/>
        <v>518.86166666666668</v>
      </c>
      <c r="L401" s="65"/>
      <c r="M401" s="67">
        <f t="shared" si="198"/>
        <v>0</v>
      </c>
      <c r="N401" s="65" t="str">
        <f t="shared" si="201"/>
        <v/>
      </c>
      <c r="O401" s="65" t="str">
        <f t="shared" si="199"/>
        <v/>
      </c>
      <c r="P401" s="65" t="str">
        <f t="shared" si="199"/>
        <v/>
      </c>
      <c r="Q401" s="38"/>
      <c r="R401" s="3" t="str">
        <f t="shared" si="202"/>
        <v>Sivagangai</v>
      </c>
      <c r="S401" s="3" t="str">
        <f t="shared" si="192"/>
        <v>Manamadurai</v>
      </c>
      <c r="T401" s="3" t="str">
        <f t="shared" si="192"/>
        <v>Ilayangudi</v>
      </c>
      <c r="U401" s="3" t="str">
        <f t="shared" si="176"/>
        <v>Sivagangai_Manamadurai_Ilayangudi</v>
      </c>
      <c r="V401" s="3">
        <f>IF(_xlfn.XLOOKUP($U401,GCA!$H$3:$H$593,GCA!E$3:E$593,"",0,1)="","",_xlfn.XLOOKUP($U401,GCA!$H$3:$H$593,GCA!E$3:E$593,"",0,1))</f>
        <v>508.63</v>
      </c>
      <c r="W401" s="3">
        <f>IF(_xlfn.XLOOKUP($U401,GCA!$H$3:$H$593,GCA!F$3:F$593,"",0,1)="","",_xlfn.XLOOKUP($U401,GCA!$H$3:$H$593,GCA!F$3:F$593,"",0,1))</f>
        <v>512.38499999999999</v>
      </c>
      <c r="X401" s="3">
        <f>IF(_xlfn.XLOOKUP($U401,GCA!$H$3:$H$593,GCA!G$3:G$593,"",0,1)="","",_xlfn.XLOOKUP($U401,GCA!$H$3:$H$593,GCA!G$3:G$593,"",0,1))</f>
        <v>535.57000000000005</v>
      </c>
    </row>
    <row r="402" spans="1:24" ht="13.2">
      <c r="A402" s="49"/>
      <c r="B402" s="49"/>
      <c r="C402" s="48"/>
      <c r="D402" s="49"/>
      <c r="E402" s="50"/>
      <c r="F402" s="26" t="s">
        <v>973</v>
      </c>
      <c r="G402" s="26" t="s">
        <v>973</v>
      </c>
      <c r="H402" s="27">
        <f t="shared" si="196"/>
        <v>7415.9650000000001</v>
      </c>
      <c r="I402" s="27">
        <f t="shared" si="196"/>
        <v>7234.4</v>
      </c>
      <c r="J402" s="27">
        <f t="shared" si="196"/>
        <v>6960.53</v>
      </c>
      <c r="K402" s="27">
        <f t="shared" si="197"/>
        <v>7203.6316666666671</v>
      </c>
      <c r="L402" s="65"/>
      <c r="M402" s="67">
        <f t="shared" si="198"/>
        <v>0</v>
      </c>
      <c r="N402" s="65" t="str">
        <f t="shared" si="201"/>
        <v/>
      </c>
      <c r="O402" s="65" t="str">
        <f t="shared" si="199"/>
        <v/>
      </c>
      <c r="P402" s="65" t="str">
        <f t="shared" si="199"/>
        <v/>
      </c>
      <c r="Q402" s="38"/>
      <c r="R402" s="3" t="str">
        <f t="shared" si="202"/>
        <v>Sivagangai</v>
      </c>
      <c r="S402" s="3" t="str">
        <f t="shared" si="192"/>
        <v>Manamadurai</v>
      </c>
      <c r="T402" s="3" t="str">
        <f t="shared" si="192"/>
        <v>Manamadurai</v>
      </c>
      <c r="U402" s="3" t="str">
        <f t="shared" si="176"/>
        <v>Sivagangai_Manamadurai_Manamadurai</v>
      </c>
      <c r="V402" s="3">
        <f>IF(_xlfn.XLOOKUP($U402,GCA!$H$3:$H$593,GCA!E$3:E$593,"",0,1)="","",_xlfn.XLOOKUP($U402,GCA!$H$3:$H$593,GCA!E$3:E$593,"",0,1))</f>
        <v>7415.9650000000001</v>
      </c>
      <c r="W402" s="3">
        <f>IF(_xlfn.XLOOKUP($U402,GCA!$H$3:$H$593,GCA!F$3:F$593,"",0,1)="","",_xlfn.XLOOKUP($U402,GCA!$H$3:$H$593,GCA!F$3:F$593,"",0,1))</f>
        <v>7234.4</v>
      </c>
      <c r="X402" s="3">
        <f>IF(_xlfn.XLOOKUP($U402,GCA!$H$3:$H$593,GCA!G$3:G$593,"",0,1)="","",_xlfn.XLOOKUP($U402,GCA!$H$3:$H$593,GCA!G$3:G$593,"",0,1))</f>
        <v>6960.53</v>
      </c>
    </row>
    <row r="403" spans="1:24" ht="13.2">
      <c r="A403" s="49"/>
      <c r="B403" s="49"/>
      <c r="C403" s="48"/>
      <c r="D403" s="49"/>
      <c r="E403" s="50"/>
      <c r="F403" s="26" t="s">
        <v>973</v>
      </c>
      <c r="G403" s="26" t="s">
        <v>976</v>
      </c>
      <c r="H403" s="27">
        <f t="shared" si="196"/>
        <v>414.88</v>
      </c>
      <c r="I403" s="27">
        <f t="shared" si="196"/>
        <v>451.67500000000001</v>
      </c>
      <c r="J403" s="27">
        <f t="shared" si="196"/>
        <v>410.85500000000002</v>
      </c>
      <c r="K403" s="27">
        <f t="shared" si="197"/>
        <v>425.80333333333334</v>
      </c>
      <c r="L403" s="65"/>
      <c r="M403" s="67">
        <f t="shared" si="198"/>
        <v>0</v>
      </c>
      <c r="N403" s="65" t="str">
        <f t="shared" si="201"/>
        <v/>
      </c>
      <c r="O403" s="65" t="str">
        <f t="shared" si="199"/>
        <v/>
      </c>
      <c r="P403" s="65" t="str">
        <f t="shared" si="199"/>
        <v/>
      </c>
      <c r="Q403" s="38"/>
      <c r="R403" s="3" t="str">
        <f t="shared" si="202"/>
        <v>Sivagangai</v>
      </c>
      <c r="S403" s="3" t="str">
        <f t="shared" si="192"/>
        <v>Manamadurai</v>
      </c>
      <c r="T403" s="3" t="str">
        <f t="shared" si="192"/>
        <v>Thiruppuvanam</v>
      </c>
      <c r="U403" s="3" t="str">
        <f t="shared" si="176"/>
        <v>Sivagangai_Manamadurai_Thiruppuvanam</v>
      </c>
      <c r="V403" s="3">
        <f>IF(_xlfn.XLOOKUP($U403,GCA!$H$3:$H$593,GCA!E$3:E$593,"",0,1)="","",_xlfn.XLOOKUP($U403,GCA!$H$3:$H$593,GCA!E$3:E$593,"",0,1))</f>
        <v>414.88</v>
      </c>
      <c r="W403" s="3">
        <f>IF(_xlfn.XLOOKUP($U403,GCA!$H$3:$H$593,GCA!F$3:F$593,"",0,1)="","",_xlfn.XLOOKUP($U403,GCA!$H$3:$H$593,GCA!F$3:F$593,"",0,1))</f>
        <v>451.67500000000001</v>
      </c>
      <c r="X403" s="3">
        <f>IF(_xlfn.XLOOKUP($U403,GCA!$H$3:$H$593,GCA!G$3:G$593,"",0,1)="","",_xlfn.XLOOKUP($U403,GCA!$H$3:$H$593,GCA!G$3:G$593,"",0,1))</f>
        <v>410.85500000000002</v>
      </c>
    </row>
    <row r="404" spans="1:24" ht="13.2">
      <c r="A404" s="49"/>
      <c r="B404" s="49"/>
      <c r="C404" s="48"/>
      <c r="D404" s="49"/>
      <c r="E404" s="50"/>
      <c r="F404" s="26" t="s">
        <v>977</v>
      </c>
      <c r="G404" s="26" t="s">
        <v>978</v>
      </c>
      <c r="H404" s="27">
        <f t="shared" si="196"/>
        <v>4426.67</v>
      </c>
      <c r="I404" s="27">
        <f t="shared" si="196"/>
        <v>4388.5600000000004</v>
      </c>
      <c r="J404" s="27">
        <f t="shared" si="196"/>
        <v>4215.835</v>
      </c>
      <c r="K404" s="27">
        <f t="shared" si="197"/>
        <v>4343.6883333333326</v>
      </c>
      <c r="L404" s="65"/>
      <c r="M404" s="67">
        <f t="shared" si="198"/>
        <v>0</v>
      </c>
      <c r="N404" s="65" t="str">
        <f t="shared" si="201"/>
        <v/>
      </c>
      <c r="O404" s="65" t="str">
        <f t="shared" si="199"/>
        <v/>
      </c>
      <c r="P404" s="65" t="str">
        <f t="shared" si="199"/>
        <v/>
      </c>
      <c r="Q404" s="38"/>
      <c r="R404" s="3" t="str">
        <f t="shared" si="202"/>
        <v>Sivagangai</v>
      </c>
      <c r="S404" s="3" t="str">
        <f t="shared" si="192"/>
        <v>Singampunari</v>
      </c>
      <c r="T404" s="3" t="str">
        <f t="shared" si="192"/>
        <v>S.Pudhur</v>
      </c>
      <c r="U404" s="3" t="str">
        <f t="shared" si="176"/>
        <v>Sivagangai_Singampunari_S.Pudhur</v>
      </c>
      <c r="V404" s="3">
        <f>IF(_xlfn.XLOOKUP($U404,GCA!$H$3:$H$593,GCA!E$3:E$593,"",0,1)="","",_xlfn.XLOOKUP($U404,GCA!$H$3:$H$593,GCA!E$3:E$593,"",0,1))</f>
        <v>4426.67</v>
      </c>
      <c r="W404" s="3">
        <f>IF(_xlfn.XLOOKUP($U404,GCA!$H$3:$H$593,GCA!F$3:F$593,"",0,1)="","",_xlfn.XLOOKUP($U404,GCA!$H$3:$H$593,GCA!F$3:F$593,"",0,1))</f>
        <v>4388.5600000000004</v>
      </c>
      <c r="X404" s="3">
        <f>IF(_xlfn.XLOOKUP($U404,GCA!$H$3:$H$593,GCA!G$3:G$593,"",0,1)="","",_xlfn.XLOOKUP($U404,GCA!$H$3:$H$593,GCA!G$3:G$593,"",0,1))</f>
        <v>4215.835</v>
      </c>
    </row>
    <row r="405" spans="1:24" ht="13.2">
      <c r="A405" s="49"/>
      <c r="B405" s="49"/>
      <c r="C405" s="48"/>
      <c r="D405" s="49"/>
      <c r="E405" s="50"/>
      <c r="F405" s="26" t="s">
        <v>977</v>
      </c>
      <c r="G405" s="26" t="s">
        <v>977</v>
      </c>
      <c r="H405" s="27">
        <f t="shared" si="196"/>
        <v>4830.9799999999996</v>
      </c>
      <c r="I405" s="27">
        <f t="shared" si="196"/>
        <v>3883.9949999999999</v>
      </c>
      <c r="J405" s="27">
        <f t="shared" si="196"/>
        <v>4683.67</v>
      </c>
      <c r="K405" s="27">
        <f t="shared" si="197"/>
        <v>4466.2149999999992</v>
      </c>
      <c r="L405" s="65"/>
      <c r="M405" s="67">
        <f t="shared" si="198"/>
        <v>0</v>
      </c>
      <c r="N405" s="65" t="str">
        <f t="shared" si="201"/>
        <v/>
      </c>
      <c r="O405" s="65" t="str">
        <f t="shared" si="199"/>
        <v/>
      </c>
      <c r="P405" s="65" t="str">
        <f t="shared" si="199"/>
        <v/>
      </c>
      <c r="Q405" s="38"/>
      <c r="R405" s="3" t="str">
        <f t="shared" si="202"/>
        <v>Sivagangai</v>
      </c>
      <c r="S405" s="3" t="str">
        <f t="shared" si="192"/>
        <v>Singampunari</v>
      </c>
      <c r="T405" s="3" t="str">
        <f t="shared" si="192"/>
        <v>Singampunari</v>
      </c>
      <c r="U405" s="3" t="str">
        <f t="shared" si="176"/>
        <v>Sivagangai_Singampunari_Singampunari</v>
      </c>
      <c r="V405" s="3">
        <f>IF(_xlfn.XLOOKUP($U405,GCA!$H$3:$H$593,GCA!E$3:E$593,"",0,1)="","",_xlfn.XLOOKUP($U405,GCA!$H$3:$H$593,GCA!E$3:E$593,"",0,1))</f>
        <v>4830.9799999999996</v>
      </c>
      <c r="W405" s="3">
        <f>IF(_xlfn.XLOOKUP($U405,GCA!$H$3:$H$593,GCA!F$3:F$593,"",0,1)="","",_xlfn.XLOOKUP($U405,GCA!$H$3:$H$593,GCA!F$3:F$593,"",0,1))</f>
        <v>3883.9949999999999</v>
      </c>
      <c r="X405" s="3">
        <f>IF(_xlfn.XLOOKUP($U405,GCA!$H$3:$H$593,GCA!G$3:G$593,"",0,1)="","",_xlfn.XLOOKUP($U405,GCA!$H$3:$H$593,GCA!G$3:G$593,"",0,1))</f>
        <v>4683.67</v>
      </c>
    </row>
    <row r="406" spans="1:24" ht="13.2">
      <c r="A406" s="49"/>
      <c r="B406" s="49"/>
      <c r="C406" s="48"/>
      <c r="D406" s="49"/>
      <c r="E406" s="50"/>
      <c r="F406" s="26" t="s">
        <v>247</v>
      </c>
      <c r="G406" s="26" t="s">
        <v>971</v>
      </c>
      <c r="H406" s="27">
        <f t="shared" si="196"/>
        <v>1168.3820000000001</v>
      </c>
      <c r="I406" s="27">
        <f t="shared" si="196"/>
        <v>1026.8399999999999</v>
      </c>
      <c r="J406" s="27">
        <f t="shared" si="196"/>
        <v>1192.27</v>
      </c>
      <c r="K406" s="27">
        <f t="shared" si="197"/>
        <v>1129.164</v>
      </c>
      <c r="L406" s="65"/>
      <c r="M406" s="67">
        <f t="shared" si="198"/>
        <v>0</v>
      </c>
      <c r="N406" s="65" t="str">
        <f t="shared" si="201"/>
        <v/>
      </c>
      <c r="O406" s="65" t="str">
        <f t="shared" si="199"/>
        <v/>
      </c>
      <c r="P406" s="65" t="str">
        <f t="shared" si="199"/>
        <v/>
      </c>
      <c r="Q406" s="38"/>
      <c r="R406" s="3" t="str">
        <f t="shared" si="202"/>
        <v>Sivagangai</v>
      </c>
      <c r="S406" s="3" t="str">
        <f t="shared" si="192"/>
        <v>Sivagangai</v>
      </c>
      <c r="T406" s="3" t="str">
        <f t="shared" si="192"/>
        <v>Kalayarkoil</v>
      </c>
      <c r="U406" s="3" t="str">
        <f t="shared" si="176"/>
        <v>Sivagangai_Sivagangai_Kalayarkoil</v>
      </c>
      <c r="V406" s="3">
        <f>IF(_xlfn.XLOOKUP($U406,GCA!$H$3:$H$593,GCA!E$3:E$593,"",0,1)="","",_xlfn.XLOOKUP($U406,GCA!$H$3:$H$593,GCA!E$3:E$593,"",0,1))</f>
        <v>1168.3820000000001</v>
      </c>
      <c r="W406" s="3">
        <f>IF(_xlfn.XLOOKUP($U406,GCA!$H$3:$H$593,GCA!F$3:F$593,"",0,1)="","",_xlfn.XLOOKUP($U406,GCA!$H$3:$H$593,GCA!F$3:F$593,"",0,1))</f>
        <v>1026.8399999999999</v>
      </c>
      <c r="X406" s="3">
        <f>IF(_xlfn.XLOOKUP($U406,GCA!$H$3:$H$593,GCA!G$3:G$593,"",0,1)="","",_xlfn.XLOOKUP($U406,GCA!$H$3:$H$593,GCA!G$3:G$593,"",0,1))</f>
        <v>1192.27</v>
      </c>
    </row>
    <row r="407" spans="1:24" ht="13.2">
      <c r="A407" s="49"/>
      <c r="B407" s="49"/>
      <c r="C407" s="48"/>
      <c r="D407" s="49"/>
      <c r="E407" s="50"/>
      <c r="F407" s="26" t="s">
        <v>247</v>
      </c>
      <c r="G407" s="26" t="s">
        <v>972</v>
      </c>
      <c r="H407" s="27">
        <f t="shared" si="196"/>
        <v>65.66</v>
      </c>
      <c r="I407" s="27">
        <f t="shared" si="196"/>
        <v>64.59</v>
      </c>
      <c r="J407" s="27">
        <f t="shared" si="196"/>
        <v>126.27</v>
      </c>
      <c r="K407" s="27">
        <f t="shared" si="197"/>
        <v>85.506666666666661</v>
      </c>
      <c r="L407" s="65"/>
      <c r="M407" s="67">
        <f t="shared" si="198"/>
        <v>0</v>
      </c>
      <c r="N407" s="65" t="str">
        <f t="shared" si="201"/>
        <v/>
      </c>
      <c r="O407" s="65" t="str">
        <f t="shared" si="199"/>
        <v/>
      </c>
      <c r="P407" s="65" t="str">
        <f t="shared" si="199"/>
        <v/>
      </c>
      <c r="Q407" s="38"/>
      <c r="R407" s="3" t="str">
        <f t="shared" si="202"/>
        <v>Sivagangai</v>
      </c>
      <c r="S407" s="3" t="str">
        <f t="shared" si="192"/>
        <v>Sivagangai</v>
      </c>
      <c r="T407" s="3" t="str">
        <f t="shared" si="192"/>
        <v>Kallal</v>
      </c>
      <c r="U407" s="3" t="str">
        <f t="shared" si="176"/>
        <v>Sivagangai_Sivagangai_Kallal</v>
      </c>
      <c r="V407" s="3">
        <f>IF(_xlfn.XLOOKUP($U407,GCA!$H$3:$H$593,GCA!E$3:E$593,"",0,1)="","",_xlfn.XLOOKUP($U407,GCA!$H$3:$H$593,GCA!E$3:E$593,"",0,1))</f>
        <v>65.66</v>
      </c>
      <c r="W407" s="3">
        <f>IF(_xlfn.XLOOKUP($U407,GCA!$H$3:$H$593,GCA!F$3:F$593,"",0,1)="","",_xlfn.XLOOKUP($U407,GCA!$H$3:$H$593,GCA!F$3:F$593,"",0,1))</f>
        <v>64.59</v>
      </c>
      <c r="X407" s="3">
        <f>IF(_xlfn.XLOOKUP($U407,GCA!$H$3:$H$593,GCA!G$3:G$593,"",0,1)="","",_xlfn.XLOOKUP($U407,GCA!$H$3:$H$593,GCA!G$3:G$593,"",0,1))</f>
        <v>126.27</v>
      </c>
    </row>
    <row r="408" spans="1:24" ht="13.2">
      <c r="A408" s="49"/>
      <c r="B408" s="49"/>
      <c r="C408" s="48"/>
      <c r="D408" s="49"/>
      <c r="E408" s="50"/>
      <c r="F408" s="26" t="s">
        <v>247</v>
      </c>
      <c r="G408" s="26" t="s">
        <v>973</v>
      </c>
      <c r="H408" s="27">
        <f t="shared" si="196"/>
        <v>1037.375</v>
      </c>
      <c r="I408" s="27">
        <f t="shared" si="196"/>
        <v>976.88499999999999</v>
      </c>
      <c r="J408" s="27">
        <f t="shared" si="196"/>
        <v>1003.54</v>
      </c>
      <c r="K408" s="27">
        <f t="shared" si="197"/>
        <v>1005.9333333333334</v>
      </c>
      <c r="L408" s="65"/>
      <c r="M408" s="67">
        <f t="shared" si="198"/>
        <v>0</v>
      </c>
      <c r="N408" s="65" t="str">
        <f t="shared" si="201"/>
        <v/>
      </c>
      <c r="O408" s="65" t="str">
        <f t="shared" si="199"/>
        <v/>
      </c>
      <c r="P408" s="65" t="str">
        <f t="shared" si="199"/>
        <v/>
      </c>
      <c r="Q408" s="38"/>
      <c r="R408" s="3" t="str">
        <f t="shared" si="202"/>
        <v>Sivagangai</v>
      </c>
      <c r="S408" s="3" t="str">
        <f t="shared" si="192"/>
        <v>Sivagangai</v>
      </c>
      <c r="T408" s="3" t="str">
        <f t="shared" si="192"/>
        <v>Manamadurai</v>
      </c>
      <c r="U408" s="3" t="str">
        <f t="shared" si="176"/>
        <v>Sivagangai_Sivagangai_Manamadurai</v>
      </c>
      <c r="V408" s="3">
        <f>IF(_xlfn.XLOOKUP($U408,GCA!$H$3:$H$593,GCA!E$3:E$593,"",0,1)="","",_xlfn.XLOOKUP($U408,GCA!$H$3:$H$593,GCA!E$3:E$593,"",0,1))</f>
        <v>1037.375</v>
      </c>
      <c r="W408" s="3">
        <f>IF(_xlfn.XLOOKUP($U408,GCA!$H$3:$H$593,GCA!F$3:F$593,"",0,1)="","",_xlfn.XLOOKUP($U408,GCA!$H$3:$H$593,GCA!F$3:F$593,"",0,1))</f>
        <v>976.88499999999999</v>
      </c>
      <c r="X408" s="3">
        <f>IF(_xlfn.XLOOKUP($U408,GCA!$H$3:$H$593,GCA!G$3:G$593,"",0,1)="","",_xlfn.XLOOKUP($U408,GCA!$H$3:$H$593,GCA!G$3:G$593,"",0,1))</f>
        <v>1003.54</v>
      </c>
    </row>
    <row r="409" spans="1:24" ht="13.2">
      <c r="A409" s="49"/>
      <c r="B409" s="49"/>
      <c r="C409" s="48"/>
      <c r="D409" s="49"/>
      <c r="E409" s="50"/>
      <c r="F409" s="26" t="s">
        <v>247</v>
      </c>
      <c r="G409" s="26" t="s">
        <v>247</v>
      </c>
      <c r="H409" s="27">
        <f t="shared" si="196"/>
        <v>5973.8950000000004</v>
      </c>
      <c r="I409" s="27">
        <f t="shared" si="196"/>
        <v>5081.6000000000004</v>
      </c>
      <c r="J409" s="27">
        <f t="shared" si="196"/>
        <v>6143.23</v>
      </c>
      <c r="K409" s="27">
        <f t="shared" si="197"/>
        <v>5732.9083333333328</v>
      </c>
      <c r="L409" s="65"/>
      <c r="M409" s="67">
        <f t="shared" si="198"/>
        <v>0</v>
      </c>
      <c r="N409" s="65" t="str">
        <f t="shared" si="201"/>
        <v/>
      </c>
      <c r="O409" s="65" t="str">
        <f t="shared" si="199"/>
        <v/>
      </c>
      <c r="P409" s="65" t="str">
        <f t="shared" si="199"/>
        <v/>
      </c>
      <c r="Q409" s="38"/>
      <c r="R409" s="3" t="str">
        <f t="shared" si="202"/>
        <v>Sivagangai</v>
      </c>
      <c r="S409" s="3" t="str">
        <f t="shared" si="192"/>
        <v>Sivagangai</v>
      </c>
      <c r="T409" s="3" t="str">
        <f t="shared" si="192"/>
        <v>Sivagangai</v>
      </c>
      <c r="U409" s="3" t="str">
        <f t="shared" si="176"/>
        <v>Sivagangai_Sivagangai_Sivagangai</v>
      </c>
      <c r="V409" s="3">
        <f>IF(_xlfn.XLOOKUP($U409,GCA!$H$3:$H$593,GCA!E$3:E$593,"",0,1)="","",_xlfn.XLOOKUP($U409,GCA!$H$3:$H$593,GCA!E$3:E$593,"",0,1))</f>
        <v>5973.8950000000004</v>
      </c>
      <c r="W409" s="3">
        <f>IF(_xlfn.XLOOKUP($U409,GCA!$H$3:$H$593,GCA!F$3:F$593,"",0,1)="","",_xlfn.XLOOKUP($U409,GCA!$H$3:$H$593,GCA!F$3:F$593,"",0,1))</f>
        <v>5081.6000000000004</v>
      </c>
      <c r="X409" s="3">
        <f>IF(_xlfn.XLOOKUP($U409,GCA!$H$3:$H$593,GCA!G$3:G$593,"",0,1)="","",_xlfn.XLOOKUP($U409,GCA!$H$3:$H$593,GCA!G$3:G$593,"",0,1))</f>
        <v>6143.23</v>
      </c>
    </row>
    <row r="410" spans="1:24" ht="13.2">
      <c r="A410" s="49"/>
      <c r="B410" s="49"/>
      <c r="C410" s="48"/>
      <c r="D410" s="49"/>
      <c r="E410" s="50"/>
      <c r="F410" s="26" t="s">
        <v>247</v>
      </c>
      <c r="G410" s="26" t="s">
        <v>976</v>
      </c>
      <c r="H410" s="27">
        <f t="shared" si="196"/>
        <v>658.34500000000003</v>
      </c>
      <c r="I410" s="27">
        <f t="shared" si="196"/>
        <v>674.35500000000002</v>
      </c>
      <c r="J410" s="27">
        <f t="shared" si="196"/>
        <v>665.89</v>
      </c>
      <c r="K410" s="27">
        <f t="shared" si="197"/>
        <v>666.19666666666672</v>
      </c>
      <c r="L410" s="65"/>
      <c r="M410" s="67">
        <f t="shared" si="198"/>
        <v>0</v>
      </c>
      <c r="N410" s="65" t="str">
        <f t="shared" si="201"/>
        <v/>
      </c>
      <c r="O410" s="65" t="str">
        <f t="shared" si="199"/>
        <v/>
      </c>
      <c r="P410" s="65" t="str">
        <f t="shared" si="199"/>
        <v/>
      </c>
      <c r="Q410" s="38"/>
      <c r="R410" s="3" t="str">
        <f t="shared" si="202"/>
        <v>Sivagangai</v>
      </c>
      <c r="S410" s="3" t="str">
        <f t="shared" si="192"/>
        <v>Sivagangai</v>
      </c>
      <c r="T410" s="3" t="str">
        <f t="shared" si="192"/>
        <v>Thiruppuvanam</v>
      </c>
      <c r="U410" s="3" t="str">
        <f t="shared" ref="U410:U501" si="203">CONCATENATE(R410,"_",S410,"_",T410)</f>
        <v>Sivagangai_Sivagangai_Thiruppuvanam</v>
      </c>
      <c r="V410" s="3">
        <f>IF(_xlfn.XLOOKUP($U410,GCA!$H$3:$H$593,GCA!E$3:E$593,"",0,1)="","",_xlfn.XLOOKUP($U410,GCA!$H$3:$H$593,GCA!E$3:E$593,"",0,1))</f>
        <v>658.34500000000003</v>
      </c>
      <c r="W410" s="3">
        <f>IF(_xlfn.XLOOKUP($U410,GCA!$H$3:$H$593,GCA!F$3:F$593,"",0,1)="","",_xlfn.XLOOKUP($U410,GCA!$H$3:$H$593,GCA!F$3:F$593,"",0,1))</f>
        <v>674.35500000000002</v>
      </c>
      <c r="X410" s="3">
        <f>IF(_xlfn.XLOOKUP($U410,GCA!$H$3:$H$593,GCA!G$3:G$593,"",0,1)="","",_xlfn.XLOOKUP($U410,GCA!$H$3:$H$593,GCA!G$3:G$593,"",0,1))</f>
        <v>665.89</v>
      </c>
    </row>
    <row r="411" spans="1:24" ht="13.2">
      <c r="A411" s="49"/>
      <c r="B411" s="49"/>
      <c r="C411" s="48"/>
      <c r="D411" s="49"/>
      <c r="E411" s="50"/>
      <c r="F411" s="26" t="s">
        <v>979</v>
      </c>
      <c r="G411" s="26" t="s">
        <v>972</v>
      </c>
      <c r="H411" s="27">
        <f t="shared" si="196"/>
        <v>1606.7650000000001</v>
      </c>
      <c r="I411" s="27">
        <f t="shared" si="196"/>
        <v>1416.9</v>
      </c>
      <c r="J411" s="27">
        <f t="shared" si="196"/>
        <v>1785.54</v>
      </c>
      <c r="K411" s="27">
        <f t="shared" si="197"/>
        <v>1603.0683333333334</v>
      </c>
      <c r="L411" s="65"/>
      <c r="M411" s="67">
        <f t="shared" si="198"/>
        <v>0</v>
      </c>
      <c r="N411" s="65" t="str">
        <f t="shared" si="201"/>
        <v/>
      </c>
      <c r="O411" s="65" t="str">
        <f t="shared" si="199"/>
        <v/>
      </c>
      <c r="P411" s="65" t="str">
        <f t="shared" si="199"/>
        <v/>
      </c>
      <c r="Q411" s="38"/>
      <c r="R411" s="3" t="str">
        <f t="shared" si="202"/>
        <v>Sivagangai</v>
      </c>
      <c r="S411" s="3" t="str">
        <f t="shared" si="192"/>
        <v>Thiruppathur</v>
      </c>
      <c r="T411" s="3" t="str">
        <f t="shared" si="192"/>
        <v>Kallal</v>
      </c>
      <c r="U411" s="3" t="str">
        <f t="shared" si="203"/>
        <v>Sivagangai_Thiruppathur_Kallal</v>
      </c>
      <c r="V411" s="3">
        <f>IF(_xlfn.XLOOKUP($U411,GCA!$H$3:$H$593,GCA!E$3:E$593,"",0,1)="","",_xlfn.XLOOKUP($U411,GCA!$H$3:$H$593,GCA!E$3:E$593,"",0,1))</f>
        <v>1606.7650000000001</v>
      </c>
      <c r="W411" s="3">
        <f>IF(_xlfn.XLOOKUP($U411,GCA!$H$3:$H$593,GCA!F$3:F$593,"",0,1)="","",_xlfn.XLOOKUP($U411,GCA!$H$3:$H$593,GCA!F$3:F$593,"",0,1))</f>
        <v>1416.9</v>
      </c>
      <c r="X411" s="3">
        <f>IF(_xlfn.XLOOKUP($U411,GCA!$H$3:$H$593,GCA!G$3:G$593,"",0,1)="","",_xlfn.XLOOKUP($U411,GCA!$H$3:$H$593,GCA!G$3:G$593,"",0,1))</f>
        <v>1785.54</v>
      </c>
    </row>
    <row r="412" spans="1:24" ht="13.2">
      <c r="A412" s="49"/>
      <c r="B412" s="49"/>
      <c r="C412" s="48"/>
      <c r="D412" s="49"/>
      <c r="E412" s="50"/>
      <c r="F412" s="26" t="s">
        <v>979</v>
      </c>
      <c r="G412" s="26" t="s">
        <v>975</v>
      </c>
      <c r="H412" s="27">
        <f t="shared" si="196"/>
        <v>51.18</v>
      </c>
      <c r="I412" s="27">
        <f t="shared" si="196"/>
        <v>49.935000000000002</v>
      </c>
      <c r="J412" s="27">
        <f t="shared" si="196"/>
        <v>62.52</v>
      </c>
      <c r="K412" s="27">
        <f t="shared" si="197"/>
        <v>54.545000000000009</v>
      </c>
      <c r="L412" s="65"/>
      <c r="M412" s="67">
        <f t="shared" si="198"/>
        <v>0</v>
      </c>
      <c r="N412" s="65" t="str">
        <f t="shared" si="201"/>
        <v/>
      </c>
      <c r="O412" s="65" t="str">
        <f t="shared" si="199"/>
        <v/>
      </c>
      <c r="P412" s="65" t="str">
        <f t="shared" si="199"/>
        <v/>
      </c>
      <c r="Q412" s="38"/>
      <c r="R412" s="3" t="str">
        <f t="shared" si="202"/>
        <v>Sivagangai</v>
      </c>
      <c r="S412" s="3" t="str">
        <f t="shared" si="192"/>
        <v>Thiruppathur</v>
      </c>
      <c r="T412" s="3" t="str">
        <f t="shared" si="192"/>
        <v>Sakkottai</v>
      </c>
      <c r="U412" s="3" t="str">
        <f t="shared" si="203"/>
        <v>Sivagangai_Thiruppathur_Sakkottai</v>
      </c>
      <c r="V412" s="3">
        <f>IF(_xlfn.XLOOKUP($U412,GCA!$H$3:$H$593,GCA!E$3:E$593,"",0,1)="","",_xlfn.XLOOKUP($U412,GCA!$H$3:$H$593,GCA!E$3:E$593,"",0,1))</f>
        <v>51.18</v>
      </c>
      <c r="W412" s="3">
        <f>IF(_xlfn.XLOOKUP($U412,GCA!$H$3:$H$593,GCA!F$3:F$593,"",0,1)="","",_xlfn.XLOOKUP($U412,GCA!$H$3:$H$593,GCA!F$3:F$593,"",0,1))</f>
        <v>49.935000000000002</v>
      </c>
      <c r="X412" s="3">
        <f>IF(_xlfn.XLOOKUP($U412,GCA!$H$3:$H$593,GCA!G$3:G$593,"",0,1)="","",_xlfn.XLOOKUP($U412,GCA!$H$3:$H$593,GCA!G$3:G$593,"",0,1))</f>
        <v>62.52</v>
      </c>
    </row>
    <row r="413" spans="1:24" ht="13.2">
      <c r="A413" s="49"/>
      <c r="B413" s="49"/>
      <c r="C413" s="48"/>
      <c r="D413" s="49"/>
      <c r="E413" s="50"/>
      <c r="F413" s="26" t="s">
        <v>979</v>
      </c>
      <c r="G413" s="26" t="s">
        <v>837</v>
      </c>
      <c r="H413" s="27">
        <f t="shared" si="196"/>
        <v>5045.2749999999996</v>
      </c>
      <c r="I413" s="27">
        <f t="shared" si="196"/>
        <v>4168.8249999999998</v>
      </c>
      <c r="J413" s="27">
        <f t="shared" si="196"/>
        <v>5252.24</v>
      </c>
      <c r="K413" s="27">
        <f t="shared" si="197"/>
        <v>4822.1133333333328</v>
      </c>
      <c r="L413" s="65"/>
      <c r="M413" s="67">
        <f t="shared" si="198"/>
        <v>0</v>
      </c>
      <c r="N413" s="65" t="str">
        <f t="shared" si="201"/>
        <v/>
      </c>
      <c r="O413" s="65" t="str">
        <f t="shared" si="199"/>
        <v/>
      </c>
      <c r="P413" s="65" t="str">
        <f t="shared" si="199"/>
        <v/>
      </c>
      <c r="Q413" s="38"/>
      <c r="R413" s="3" t="str">
        <f t="shared" si="202"/>
        <v>Sivagangai</v>
      </c>
      <c r="S413" s="3" t="str">
        <f t="shared" si="192"/>
        <v>Thiruppathur</v>
      </c>
      <c r="T413" s="3" t="str">
        <f t="shared" si="192"/>
        <v>Thirupathur</v>
      </c>
      <c r="U413" s="3" t="str">
        <f t="shared" si="203"/>
        <v>Sivagangai_Thiruppathur_Thirupathur</v>
      </c>
      <c r="V413" s="3">
        <f>IF(_xlfn.XLOOKUP($U413,GCA!$H$3:$H$593,GCA!E$3:E$593,"",0,1)="","",_xlfn.XLOOKUP($U413,GCA!$H$3:$H$593,GCA!E$3:E$593,"",0,1))</f>
        <v>5045.2749999999996</v>
      </c>
      <c r="W413" s="3">
        <f>IF(_xlfn.XLOOKUP($U413,GCA!$H$3:$H$593,GCA!F$3:F$593,"",0,1)="","",_xlfn.XLOOKUP($U413,GCA!$H$3:$H$593,GCA!F$3:F$593,"",0,1))</f>
        <v>4168.8249999999998</v>
      </c>
      <c r="X413" s="3">
        <f>IF(_xlfn.XLOOKUP($U413,GCA!$H$3:$H$593,GCA!G$3:G$593,"",0,1)="","",_xlfn.XLOOKUP($U413,GCA!$H$3:$H$593,GCA!G$3:G$593,"",0,1))</f>
        <v>5252.24</v>
      </c>
    </row>
    <row r="414" spans="1:24" ht="13.2">
      <c r="A414" s="49"/>
      <c r="B414" s="49"/>
      <c r="C414" s="48"/>
      <c r="D414" s="49"/>
      <c r="E414" s="50"/>
      <c r="F414" s="26" t="s">
        <v>976</v>
      </c>
      <c r="G414" s="26" t="s">
        <v>247</v>
      </c>
      <c r="H414" s="27">
        <f t="shared" si="196"/>
        <v>42.64</v>
      </c>
      <c r="I414" s="27">
        <f t="shared" si="196"/>
        <v>18.984999999999999</v>
      </c>
      <c r="J414" s="27">
        <f t="shared" si="196"/>
        <v>24.625</v>
      </c>
      <c r="K414" s="27">
        <f t="shared" si="197"/>
        <v>28.75</v>
      </c>
      <c r="L414" s="65"/>
      <c r="M414" s="67">
        <f t="shared" si="198"/>
        <v>0</v>
      </c>
      <c r="N414" s="65" t="str">
        <f t="shared" si="201"/>
        <v/>
      </c>
      <c r="O414" s="65" t="str">
        <f t="shared" si="199"/>
        <v/>
      </c>
      <c r="P414" s="65" t="str">
        <f t="shared" si="199"/>
        <v/>
      </c>
      <c r="Q414" s="38"/>
      <c r="R414" s="3" t="str">
        <f t="shared" si="202"/>
        <v>Sivagangai</v>
      </c>
      <c r="S414" s="3" t="str">
        <f t="shared" si="192"/>
        <v>Thiruppuvanam</v>
      </c>
      <c r="T414" s="3" t="str">
        <f t="shared" si="192"/>
        <v>Sivagangai</v>
      </c>
      <c r="U414" s="3" t="str">
        <f t="shared" si="203"/>
        <v>Sivagangai_Thiruppuvanam_Sivagangai</v>
      </c>
      <c r="V414" s="3">
        <f>IF(_xlfn.XLOOKUP($U414,GCA!$H$3:$H$593,GCA!E$3:E$593,"",0,1)="","",_xlfn.XLOOKUP($U414,GCA!$H$3:$H$593,GCA!E$3:E$593,"",0,1))</f>
        <v>42.64</v>
      </c>
      <c r="W414" s="3">
        <f>IF(_xlfn.XLOOKUP($U414,GCA!$H$3:$H$593,GCA!F$3:F$593,"",0,1)="","",_xlfn.XLOOKUP($U414,GCA!$H$3:$H$593,GCA!F$3:F$593,"",0,1))</f>
        <v>18.984999999999999</v>
      </c>
      <c r="X414" s="3">
        <f>IF(_xlfn.XLOOKUP($U414,GCA!$H$3:$H$593,GCA!G$3:G$593,"",0,1)="","",_xlfn.XLOOKUP($U414,GCA!$H$3:$H$593,GCA!G$3:G$593,"",0,1))</f>
        <v>24.625</v>
      </c>
    </row>
    <row r="415" spans="1:24" ht="13.2">
      <c r="A415" s="49"/>
      <c r="B415" s="49"/>
      <c r="C415" s="48"/>
      <c r="D415" s="49"/>
      <c r="E415" s="50"/>
      <c r="F415" s="26" t="s">
        <v>976</v>
      </c>
      <c r="G415" s="26" t="s">
        <v>976</v>
      </c>
      <c r="H415" s="27">
        <f t="shared" si="196"/>
        <v>7232.6540000000005</v>
      </c>
      <c r="I415" s="27">
        <f t="shared" si="196"/>
        <v>6753.125</v>
      </c>
      <c r="J415" s="27">
        <f t="shared" si="196"/>
        <v>6951.415</v>
      </c>
      <c r="K415" s="27">
        <f t="shared" si="197"/>
        <v>6979.0646666666662</v>
      </c>
      <c r="L415" s="65"/>
      <c r="M415" s="67">
        <f t="shared" si="198"/>
        <v>0</v>
      </c>
      <c r="N415" s="65" t="str">
        <f t="shared" si="201"/>
        <v/>
      </c>
      <c r="O415" s="65" t="str">
        <f t="shared" si="199"/>
        <v/>
      </c>
      <c r="P415" s="65" t="str">
        <f t="shared" si="199"/>
        <v/>
      </c>
      <c r="Q415" s="38"/>
      <c r="R415" s="3" t="str">
        <f t="shared" si="202"/>
        <v>Sivagangai</v>
      </c>
      <c r="S415" s="3" t="str">
        <f t="shared" si="192"/>
        <v>Thiruppuvanam</v>
      </c>
      <c r="T415" s="3" t="str">
        <f t="shared" si="192"/>
        <v>Thiruppuvanam</v>
      </c>
      <c r="U415" s="3" t="str">
        <f t="shared" si="203"/>
        <v>Sivagangai_Thiruppuvanam_Thiruppuvanam</v>
      </c>
      <c r="V415" s="3">
        <f>IF(_xlfn.XLOOKUP($U415,GCA!$H$3:$H$593,GCA!E$3:E$593,"",0,1)="","",_xlfn.XLOOKUP($U415,GCA!$H$3:$H$593,GCA!E$3:E$593,"",0,1))</f>
        <v>7232.6540000000005</v>
      </c>
      <c r="W415" s="3">
        <f>IF(_xlfn.XLOOKUP($U415,GCA!$H$3:$H$593,GCA!F$3:F$593,"",0,1)="","",_xlfn.XLOOKUP($U415,GCA!$H$3:$H$593,GCA!F$3:F$593,"",0,1))</f>
        <v>6753.125</v>
      </c>
      <c r="X415" s="3">
        <f>IF(_xlfn.XLOOKUP($U415,GCA!$H$3:$H$593,GCA!G$3:G$593,"",0,1)="","",_xlfn.XLOOKUP($U415,GCA!$H$3:$H$593,GCA!G$3:G$593,"",0,1))</f>
        <v>6951.415</v>
      </c>
    </row>
    <row r="416" spans="1:24" ht="13.2">
      <c r="A416" s="49"/>
      <c r="B416" s="49"/>
      <c r="C416" s="48"/>
      <c r="D416" s="49"/>
      <c r="E416" s="47" t="s">
        <v>564</v>
      </c>
      <c r="F416" s="47"/>
      <c r="G416" s="47"/>
      <c r="H416" s="29">
        <f t="shared" ref="H416:P416" si="204">SUM(H391:H415)</f>
        <v>110178.833</v>
      </c>
      <c r="I416" s="29">
        <f t="shared" si="204"/>
        <v>107010.76399999995</v>
      </c>
      <c r="J416" s="29">
        <f t="shared" si="204"/>
        <v>110466.86300000001</v>
      </c>
      <c r="K416" s="29">
        <f t="shared" si="204"/>
        <v>109218.81999999999</v>
      </c>
      <c r="L416" s="29">
        <f t="shared" si="204"/>
        <v>109218.82</v>
      </c>
      <c r="M416" s="30">
        <f t="shared" si="204"/>
        <v>4.5843546281208205</v>
      </c>
      <c r="N416" s="31">
        <f t="shared" si="204"/>
        <v>5</v>
      </c>
      <c r="O416" s="31">
        <f t="shared" si="204"/>
        <v>5</v>
      </c>
      <c r="P416" s="31">
        <f t="shared" si="204"/>
        <v>5</v>
      </c>
      <c r="Q416" s="38"/>
      <c r="R416" s="3" t="str">
        <f t="shared" si="202"/>
        <v>Sivagangai</v>
      </c>
      <c r="S416" s="3">
        <f t="shared" si="192"/>
        <v>0</v>
      </c>
      <c r="T416" s="3">
        <f t="shared" si="192"/>
        <v>0</v>
      </c>
      <c r="U416" s="3" t="str">
        <f t="shared" si="203"/>
        <v>Sivagangai_0_0</v>
      </c>
      <c r="V416" s="3" t="str">
        <f>IF(_xlfn.XLOOKUP($U416,GCA!$H$3:$H$593,GCA!E$3:E$593,"",0,1)="","",_xlfn.XLOOKUP($U416,GCA!$H$3:$H$593,GCA!E$3:E$593,"",0,1))</f>
        <v/>
      </c>
      <c r="W416" s="3" t="str">
        <f>IF(_xlfn.XLOOKUP($U416,GCA!$H$3:$H$593,GCA!F$3:F$593,"",0,1)="","",_xlfn.XLOOKUP($U416,GCA!$H$3:$H$593,GCA!F$3:F$593,"",0,1))</f>
        <v/>
      </c>
      <c r="X416" s="3" t="str">
        <f>IF(_xlfn.XLOOKUP($U416,GCA!$H$3:$H$593,GCA!G$3:G$593,"",0,1)="","",_xlfn.XLOOKUP($U416,GCA!$H$3:$H$593,GCA!G$3:G$593,"",0,1))</f>
        <v/>
      </c>
    </row>
    <row r="417" spans="1:24" ht="13.2">
      <c r="A417" s="49"/>
      <c r="B417" s="49"/>
      <c r="C417" s="48" t="s">
        <v>418</v>
      </c>
      <c r="D417" s="49" t="s">
        <v>552</v>
      </c>
      <c r="E417" s="50">
        <v>1</v>
      </c>
      <c r="F417" s="26" t="s">
        <v>858</v>
      </c>
      <c r="G417" s="26" t="s">
        <v>858</v>
      </c>
      <c r="H417" s="27">
        <f t="shared" ref="H417:J431" si="205">V417</f>
        <v>7814.18</v>
      </c>
      <c r="I417" s="27">
        <f t="shared" si="205"/>
        <v>8644.7839999999997</v>
      </c>
      <c r="J417" s="27">
        <f t="shared" si="205"/>
        <v>8839.73</v>
      </c>
      <c r="K417" s="27">
        <f t="shared" ref="K417:K431" si="206">IFERROR(AVERAGE(H417:J417),"")</f>
        <v>8432.8979999999992</v>
      </c>
      <c r="L417" s="65">
        <f>SUM(K417:K423)</f>
        <v>46583.617666666658</v>
      </c>
      <c r="M417" s="67">
        <f t="shared" ref="M417:M431" si="207">L417*$L$643/$L$642</f>
        <v>1.9553024217327573</v>
      </c>
      <c r="N417" s="65">
        <f t="shared" si="193"/>
        <v>2</v>
      </c>
      <c r="O417" s="65">
        <f t="shared" ref="O417:P431" si="208">N417</f>
        <v>2</v>
      </c>
      <c r="P417" s="65">
        <f t="shared" si="208"/>
        <v>2</v>
      </c>
      <c r="Q417" s="38"/>
      <c r="R417" s="3" t="str">
        <f t="shared" ref="R417:R453" si="209">C417</f>
        <v>Madurai</v>
      </c>
      <c r="S417" s="3" t="str">
        <f t="shared" si="192"/>
        <v>Kalligudi</v>
      </c>
      <c r="T417" s="3" t="str">
        <f t="shared" si="192"/>
        <v>Kalligudi</v>
      </c>
      <c r="U417" s="3" t="str">
        <f t="shared" si="203"/>
        <v>Madurai_Kalligudi_Kalligudi</v>
      </c>
      <c r="V417" s="3">
        <f>IF(_xlfn.XLOOKUP($U417,GCA!$H$3:$H$593,GCA!E$3:E$593,"",0,1)="","",_xlfn.XLOOKUP($U417,GCA!$H$3:$H$593,GCA!E$3:E$593,"",0,1))</f>
        <v>7814.18</v>
      </c>
      <c r="W417" s="3">
        <f>IF(_xlfn.XLOOKUP($U417,GCA!$H$3:$H$593,GCA!F$3:F$593,"",0,1)="","",_xlfn.XLOOKUP($U417,GCA!$H$3:$H$593,GCA!F$3:F$593,"",0,1))</f>
        <v>8644.7839999999997</v>
      </c>
      <c r="X417" s="3">
        <f>IF(_xlfn.XLOOKUP($U417,GCA!$H$3:$H$593,GCA!G$3:G$593,"",0,1)="","",_xlfn.XLOOKUP($U417,GCA!$H$3:$H$593,GCA!G$3:G$593,"",0,1))</f>
        <v>8839.73</v>
      </c>
    </row>
    <row r="418" spans="1:24" ht="13.2">
      <c r="A418" s="49"/>
      <c r="B418" s="49"/>
      <c r="C418" s="48"/>
      <c r="D418" s="49"/>
      <c r="E418" s="50"/>
      <c r="F418" s="26" t="s">
        <v>859</v>
      </c>
      <c r="G418" s="26" t="s">
        <v>859</v>
      </c>
      <c r="H418" s="27">
        <f t="shared" si="205"/>
        <v>7342.6840000000002</v>
      </c>
      <c r="I418" s="27">
        <f t="shared" si="205"/>
        <v>5080.7129999999997</v>
      </c>
      <c r="J418" s="27">
        <f t="shared" si="205"/>
        <v>8852.8979999999992</v>
      </c>
      <c r="K418" s="27">
        <f t="shared" si="206"/>
        <v>7092.0983333333324</v>
      </c>
      <c r="L418" s="65"/>
      <c r="M418" s="67">
        <f t="shared" si="207"/>
        <v>0</v>
      </c>
      <c r="N418" s="65" t="str">
        <f t="shared" si="193"/>
        <v/>
      </c>
      <c r="O418" s="65" t="str">
        <f t="shared" si="208"/>
        <v/>
      </c>
      <c r="P418" s="65" t="str">
        <f t="shared" si="208"/>
        <v/>
      </c>
      <c r="Q418" s="38"/>
      <c r="R418" s="3" t="str">
        <f t="shared" ref="R418:R432" si="210">R417</f>
        <v>Madurai</v>
      </c>
      <c r="S418" s="3" t="str">
        <f t="shared" si="192"/>
        <v>Madurai East</v>
      </c>
      <c r="T418" s="3" t="str">
        <f t="shared" si="192"/>
        <v>Madurai East</v>
      </c>
      <c r="U418" s="3" t="str">
        <f t="shared" si="203"/>
        <v>Madurai_Madurai East_Madurai East</v>
      </c>
      <c r="V418" s="3">
        <f>IF(_xlfn.XLOOKUP($U418,GCA!$H$3:$H$593,GCA!E$3:E$593,"",0,1)="","",_xlfn.XLOOKUP($U418,GCA!$H$3:$H$593,GCA!E$3:E$593,"",0,1))</f>
        <v>7342.6840000000002</v>
      </c>
      <c r="W418" s="3">
        <f>IF(_xlfn.XLOOKUP($U418,GCA!$H$3:$H$593,GCA!F$3:F$593,"",0,1)="","",_xlfn.XLOOKUP($U418,GCA!$H$3:$H$593,GCA!F$3:F$593,"",0,1))</f>
        <v>5080.7129999999997</v>
      </c>
      <c r="X418" s="3">
        <f>IF(_xlfn.XLOOKUP($U418,GCA!$H$3:$H$593,GCA!G$3:G$593,"",0,1)="","",_xlfn.XLOOKUP($U418,GCA!$H$3:$H$593,GCA!G$3:G$593,"",0,1))</f>
        <v>8852.8979999999992</v>
      </c>
    </row>
    <row r="419" spans="1:24" ht="13.2">
      <c r="A419" s="49"/>
      <c r="B419" s="49"/>
      <c r="C419" s="48"/>
      <c r="D419" s="49"/>
      <c r="E419" s="50"/>
      <c r="F419" s="26" t="s">
        <v>860</v>
      </c>
      <c r="G419" s="26" t="s">
        <v>861</v>
      </c>
      <c r="H419" s="27">
        <f t="shared" si="205"/>
        <v>7105.3360000000002</v>
      </c>
      <c r="I419" s="27">
        <f t="shared" si="205"/>
        <v>5150.18</v>
      </c>
      <c r="J419" s="27">
        <f t="shared" si="205"/>
        <v>7290.0010000000002</v>
      </c>
      <c r="K419" s="27">
        <f t="shared" si="206"/>
        <v>6515.172333333333</v>
      </c>
      <c r="L419" s="65"/>
      <c r="M419" s="67">
        <f t="shared" si="207"/>
        <v>0</v>
      </c>
      <c r="N419" s="65" t="str">
        <f t="shared" si="193"/>
        <v/>
      </c>
      <c r="O419" s="65" t="str">
        <f t="shared" si="208"/>
        <v/>
      </c>
      <c r="P419" s="65" t="str">
        <f t="shared" si="208"/>
        <v/>
      </c>
      <c r="Q419" s="38"/>
      <c r="R419" s="3" t="str">
        <f t="shared" si="210"/>
        <v>Madurai</v>
      </c>
      <c r="S419" s="3" t="str">
        <f t="shared" si="192"/>
        <v>Madurai North</v>
      </c>
      <c r="T419" s="3" t="str">
        <f t="shared" si="192"/>
        <v>Madurai West</v>
      </c>
      <c r="U419" s="3" t="str">
        <f t="shared" si="203"/>
        <v>Madurai_Madurai North_Madurai West</v>
      </c>
      <c r="V419" s="3">
        <f>IF(_xlfn.XLOOKUP($U419,GCA!$H$3:$H$593,GCA!E$3:E$593,"",0,1)="","",_xlfn.XLOOKUP($U419,GCA!$H$3:$H$593,GCA!E$3:E$593,"",0,1))</f>
        <v>7105.3360000000002</v>
      </c>
      <c r="W419" s="3">
        <f>IF(_xlfn.XLOOKUP($U419,GCA!$H$3:$H$593,GCA!F$3:F$593,"",0,1)="","",_xlfn.XLOOKUP($U419,GCA!$H$3:$H$593,GCA!F$3:F$593,"",0,1))</f>
        <v>5150.18</v>
      </c>
      <c r="X419" s="3">
        <f>IF(_xlfn.XLOOKUP($U419,GCA!$H$3:$H$593,GCA!G$3:G$593,"",0,1)="","",_xlfn.XLOOKUP($U419,GCA!$H$3:$H$593,GCA!G$3:G$593,"",0,1))</f>
        <v>7290.0010000000002</v>
      </c>
    </row>
    <row r="420" spans="1:24" ht="13.2">
      <c r="A420" s="49"/>
      <c r="B420" s="49"/>
      <c r="C420" s="48"/>
      <c r="D420" s="49"/>
      <c r="E420" s="50"/>
      <c r="F420" s="26" t="s">
        <v>862</v>
      </c>
      <c r="G420" s="26" t="s">
        <v>863</v>
      </c>
      <c r="H420" s="27">
        <f t="shared" si="205"/>
        <v>1375.9849999999999</v>
      </c>
      <c r="I420" s="27">
        <f t="shared" si="205"/>
        <v>1539.77</v>
      </c>
      <c r="J420" s="27">
        <f t="shared" si="205"/>
        <v>1507.568</v>
      </c>
      <c r="K420" s="27">
        <f t="shared" si="206"/>
        <v>1474.441</v>
      </c>
      <c r="L420" s="65"/>
      <c r="M420" s="67">
        <f t="shared" si="207"/>
        <v>0</v>
      </c>
      <c r="N420" s="65" t="str">
        <f t="shared" si="193"/>
        <v/>
      </c>
      <c r="O420" s="65" t="str">
        <f t="shared" si="208"/>
        <v/>
      </c>
      <c r="P420" s="65" t="str">
        <f t="shared" si="208"/>
        <v/>
      </c>
      <c r="Q420" s="38"/>
      <c r="R420" s="3" t="str">
        <f t="shared" si="210"/>
        <v>Madurai</v>
      </c>
      <c r="S420" s="3" t="str">
        <f t="shared" si="192"/>
        <v>Madurai South</v>
      </c>
      <c r="T420" s="3" t="str">
        <f t="shared" si="192"/>
        <v>Thirupparangundram</v>
      </c>
      <c r="U420" s="3" t="str">
        <f t="shared" si="203"/>
        <v>Madurai_Madurai South_Thirupparangundram</v>
      </c>
      <c r="V420" s="3">
        <f>IF(_xlfn.XLOOKUP($U420,GCA!$H$3:$H$593,GCA!E$3:E$593,"",0,1)="","",_xlfn.XLOOKUP($U420,GCA!$H$3:$H$593,GCA!E$3:E$593,"",0,1))</f>
        <v>1375.9849999999999</v>
      </c>
      <c r="W420" s="3">
        <f>IF(_xlfn.XLOOKUP($U420,GCA!$H$3:$H$593,GCA!F$3:F$593,"",0,1)="","",_xlfn.XLOOKUP($U420,GCA!$H$3:$H$593,GCA!F$3:F$593,"",0,1))</f>
        <v>1539.77</v>
      </c>
      <c r="X420" s="3">
        <f>IF(_xlfn.XLOOKUP($U420,GCA!$H$3:$H$593,GCA!G$3:G$593,"",0,1)="","",_xlfn.XLOOKUP($U420,GCA!$H$3:$H$593,GCA!G$3:G$593,"",0,1))</f>
        <v>1507.568</v>
      </c>
    </row>
    <row r="421" spans="1:24" ht="13.2">
      <c r="A421" s="49"/>
      <c r="B421" s="49"/>
      <c r="C421" s="48"/>
      <c r="D421" s="49"/>
      <c r="E421" s="50"/>
      <c r="F421" s="26" t="s">
        <v>861</v>
      </c>
      <c r="G421" s="26" t="s">
        <v>863</v>
      </c>
      <c r="H421" s="27">
        <f t="shared" si="205"/>
        <v>1460.9749999999999</v>
      </c>
      <c r="I421" s="27">
        <f t="shared" si="205"/>
        <v>1437.09</v>
      </c>
      <c r="J421" s="27">
        <f t="shared" si="205"/>
        <v>1443.9469999999999</v>
      </c>
      <c r="K421" s="27">
        <f t="shared" si="206"/>
        <v>1447.3373333333332</v>
      </c>
      <c r="L421" s="65"/>
      <c r="M421" s="67">
        <f t="shared" si="207"/>
        <v>0</v>
      </c>
      <c r="N421" s="65" t="str">
        <f t="shared" si="193"/>
        <v/>
      </c>
      <c r="O421" s="65" t="str">
        <f t="shared" si="208"/>
        <v/>
      </c>
      <c r="P421" s="65" t="str">
        <f t="shared" si="208"/>
        <v/>
      </c>
      <c r="Q421" s="38"/>
      <c r="R421" s="3" t="str">
        <f t="shared" si="210"/>
        <v>Madurai</v>
      </c>
      <c r="S421" s="3" t="str">
        <f t="shared" si="192"/>
        <v>Madurai West</v>
      </c>
      <c r="T421" s="3" t="str">
        <f t="shared" si="192"/>
        <v>Thirupparangundram</v>
      </c>
      <c r="U421" s="3" t="str">
        <f t="shared" si="203"/>
        <v>Madurai_Madurai West_Thirupparangundram</v>
      </c>
      <c r="V421" s="3">
        <f>IF(_xlfn.XLOOKUP($U421,GCA!$H$3:$H$593,GCA!E$3:E$593,"",0,1)="","",_xlfn.XLOOKUP($U421,GCA!$H$3:$H$593,GCA!E$3:E$593,"",0,1))</f>
        <v>1460.9749999999999</v>
      </c>
      <c r="W421" s="3">
        <f>IF(_xlfn.XLOOKUP($U421,GCA!$H$3:$H$593,GCA!F$3:F$593,"",0,1)="","",_xlfn.XLOOKUP($U421,GCA!$H$3:$H$593,GCA!F$3:F$593,"",0,1))</f>
        <v>1437.09</v>
      </c>
      <c r="X421" s="3">
        <f>IF(_xlfn.XLOOKUP($U421,GCA!$H$3:$H$593,GCA!G$3:G$593,"",0,1)="","",_xlfn.XLOOKUP($U421,GCA!$H$3:$H$593,GCA!G$3:G$593,"",0,1))</f>
        <v>1443.9469999999999</v>
      </c>
    </row>
    <row r="422" spans="1:24" ht="13.2">
      <c r="A422" s="49"/>
      <c r="B422" s="49"/>
      <c r="C422" s="48"/>
      <c r="D422" s="49"/>
      <c r="E422" s="50"/>
      <c r="F422" s="26" t="s">
        <v>864</v>
      </c>
      <c r="G422" s="26" t="s">
        <v>865</v>
      </c>
      <c r="H422" s="27">
        <f t="shared" si="205"/>
        <v>11281.21</v>
      </c>
      <c r="I422" s="27">
        <f t="shared" si="205"/>
        <v>8961.2000000000007</v>
      </c>
      <c r="J422" s="27">
        <f t="shared" si="205"/>
        <v>11351.277</v>
      </c>
      <c r="K422" s="27">
        <f t="shared" si="206"/>
        <v>10531.228999999999</v>
      </c>
      <c r="L422" s="65"/>
      <c r="M422" s="67">
        <f t="shared" si="207"/>
        <v>0</v>
      </c>
      <c r="N422" s="65" t="str">
        <f t="shared" si="193"/>
        <v/>
      </c>
      <c r="O422" s="65" t="str">
        <f t="shared" si="208"/>
        <v/>
      </c>
      <c r="P422" s="65" t="str">
        <f t="shared" si="208"/>
        <v/>
      </c>
      <c r="Q422" s="38"/>
      <c r="R422" s="3" t="str">
        <f t="shared" si="210"/>
        <v>Madurai</v>
      </c>
      <c r="S422" s="3" t="str">
        <f t="shared" si="192"/>
        <v>Melur</v>
      </c>
      <c r="T422" s="3" t="str">
        <f t="shared" si="192"/>
        <v>Kottampatti</v>
      </c>
      <c r="U422" s="3" t="str">
        <f t="shared" si="203"/>
        <v>Madurai_Melur_Kottampatti</v>
      </c>
      <c r="V422" s="3">
        <f>IF(_xlfn.XLOOKUP($U422,GCA!$H$3:$H$593,GCA!E$3:E$593,"",0,1)="","",_xlfn.XLOOKUP($U422,GCA!$H$3:$H$593,GCA!E$3:E$593,"",0,1))</f>
        <v>11281.21</v>
      </c>
      <c r="W422" s="3">
        <f>IF(_xlfn.XLOOKUP($U422,GCA!$H$3:$H$593,GCA!F$3:F$593,"",0,1)="","",_xlfn.XLOOKUP($U422,GCA!$H$3:$H$593,GCA!F$3:F$593,"",0,1))</f>
        <v>8961.2000000000007</v>
      </c>
      <c r="X422" s="3">
        <f>IF(_xlfn.XLOOKUP($U422,GCA!$H$3:$H$593,GCA!G$3:G$593,"",0,1)="","",_xlfn.XLOOKUP($U422,GCA!$H$3:$H$593,GCA!G$3:G$593,"",0,1))</f>
        <v>11351.277</v>
      </c>
    </row>
    <row r="423" spans="1:24" ht="13.2">
      <c r="A423" s="49"/>
      <c r="B423" s="49"/>
      <c r="C423" s="48"/>
      <c r="D423" s="49"/>
      <c r="E423" s="50"/>
      <c r="F423" s="26" t="s">
        <v>864</v>
      </c>
      <c r="G423" s="26" t="s">
        <v>864</v>
      </c>
      <c r="H423" s="27">
        <f t="shared" si="205"/>
        <v>13156.081</v>
      </c>
      <c r="I423" s="27">
        <f t="shared" si="205"/>
        <v>6744.4759999999997</v>
      </c>
      <c r="J423" s="27">
        <f t="shared" si="205"/>
        <v>13370.768</v>
      </c>
      <c r="K423" s="27">
        <f t="shared" si="206"/>
        <v>11090.441666666666</v>
      </c>
      <c r="L423" s="65"/>
      <c r="M423" s="67">
        <f t="shared" si="207"/>
        <v>0</v>
      </c>
      <c r="N423" s="65" t="str">
        <f t="shared" si="193"/>
        <v/>
      </c>
      <c r="O423" s="65" t="str">
        <f t="shared" si="208"/>
        <v/>
      </c>
      <c r="P423" s="65" t="str">
        <f t="shared" si="208"/>
        <v/>
      </c>
      <c r="Q423" s="38"/>
      <c r="R423" s="3" t="str">
        <f t="shared" si="210"/>
        <v>Madurai</v>
      </c>
      <c r="S423" s="3" t="str">
        <f t="shared" si="192"/>
        <v>Melur</v>
      </c>
      <c r="T423" s="3" t="str">
        <f t="shared" si="192"/>
        <v>Melur</v>
      </c>
      <c r="U423" s="3" t="str">
        <f t="shared" si="203"/>
        <v>Madurai_Melur_Melur</v>
      </c>
      <c r="V423" s="3">
        <f>IF(_xlfn.XLOOKUP($U423,GCA!$H$3:$H$593,GCA!E$3:E$593,"",0,1)="","",_xlfn.XLOOKUP($U423,GCA!$H$3:$H$593,GCA!E$3:E$593,"",0,1))</f>
        <v>13156.081</v>
      </c>
      <c r="W423" s="3">
        <f>IF(_xlfn.XLOOKUP($U423,GCA!$H$3:$H$593,GCA!F$3:F$593,"",0,1)="","",_xlfn.XLOOKUP($U423,GCA!$H$3:$H$593,GCA!F$3:F$593,"",0,1))</f>
        <v>6744.4759999999997</v>
      </c>
      <c r="X423" s="3">
        <f>IF(_xlfn.XLOOKUP($U423,GCA!$H$3:$H$593,GCA!G$3:G$593,"",0,1)="","",_xlfn.XLOOKUP($U423,GCA!$H$3:$H$593,GCA!G$3:G$593,"",0,1))</f>
        <v>13370.768</v>
      </c>
    </row>
    <row r="424" spans="1:24" ht="13.2">
      <c r="A424" s="49"/>
      <c r="B424" s="49"/>
      <c r="C424" s="48"/>
      <c r="D424" s="49"/>
      <c r="E424" s="50">
        <v>2</v>
      </c>
      <c r="F424" s="26" t="s">
        <v>866</v>
      </c>
      <c r="G424" s="26" t="s">
        <v>867</v>
      </c>
      <c r="H424" s="27">
        <f t="shared" si="205"/>
        <v>18592.61</v>
      </c>
      <c r="I424" s="27">
        <f t="shared" si="205"/>
        <v>18739.048999999999</v>
      </c>
      <c r="J424" s="27">
        <f t="shared" si="205"/>
        <v>19261.52</v>
      </c>
      <c r="K424" s="27">
        <f t="shared" si="206"/>
        <v>18864.393</v>
      </c>
      <c r="L424" s="65">
        <f>SUM(K424:K426)</f>
        <v>41307.917666666668</v>
      </c>
      <c r="M424" s="67">
        <f t="shared" si="207"/>
        <v>1.733860002637065</v>
      </c>
      <c r="N424" s="65">
        <f t="shared" si="193"/>
        <v>2</v>
      </c>
      <c r="O424" s="65">
        <f t="shared" si="208"/>
        <v>2</v>
      </c>
      <c r="P424" s="65">
        <f t="shared" si="208"/>
        <v>2</v>
      </c>
      <c r="Q424" s="38"/>
      <c r="R424" s="3" t="str">
        <f t="shared" si="210"/>
        <v>Madurai</v>
      </c>
      <c r="S424" s="3" t="str">
        <f t="shared" si="192"/>
        <v>Peraiyur</v>
      </c>
      <c r="T424" s="3" t="str">
        <f t="shared" si="192"/>
        <v>Sedpatti</v>
      </c>
      <c r="U424" s="3" t="str">
        <f t="shared" si="203"/>
        <v>Madurai_Peraiyur_Sedpatti</v>
      </c>
      <c r="V424" s="3">
        <f>IF(_xlfn.XLOOKUP($U424,GCA!$H$3:$H$593,GCA!E$3:E$593,"",0,1)="","",_xlfn.XLOOKUP($U424,GCA!$H$3:$H$593,GCA!E$3:E$593,"",0,1))</f>
        <v>18592.61</v>
      </c>
      <c r="W424" s="3">
        <f>IF(_xlfn.XLOOKUP($U424,GCA!$H$3:$H$593,GCA!F$3:F$593,"",0,1)="","",_xlfn.XLOOKUP($U424,GCA!$H$3:$H$593,GCA!F$3:F$593,"",0,1))</f>
        <v>18739.048999999999</v>
      </c>
      <c r="X424" s="3">
        <f>IF(_xlfn.XLOOKUP($U424,GCA!$H$3:$H$593,GCA!G$3:G$593,"",0,1)="","",_xlfn.XLOOKUP($U424,GCA!$H$3:$H$593,GCA!G$3:G$593,"",0,1))</f>
        <v>19261.52</v>
      </c>
    </row>
    <row r="425" spans="1:24" ht="13.2">
      <c r="A425" s="49"/>
      <c r="B425" s="49"/>
      <c r="C425" s="48"/>
      <c r="D425" s="49"/>
      <c r="E425" s="50"/>
      <c r="F425" s="26" t="s">
        <v>866</v>
      </c>
      <c r="G425" s="26" t="s">
        <v>868</v>
      </c>
      <c r="H425" s="27">
        <f t="shared" si="205"/>
        <v>12674.045</v>
      </c>
      <c r="I425" s="27">
        <f t="shared" si="205"/>
        <v>13084.975</v>
      </c>
      <c r="J425" s="27">
        <f t="shared" si="205"/>
        <v>13077.924999999999</v>
      </c>
      <c r="K425" s="27">
        <f t="shared" si="206"/>
        <v>12945.648333333333</v>
      </c>
      <c r="L425" s="65"/>
      <c r="M425" s="67">
        <f t="shared" si="207"/>
        <v>0</v>
      </c>
      <c r="N425" s="65" t="str">
        <f t="shared" si="193"/>
        <v/>
      </c>
      <c r="O425" s="65" t="str">
        <f t="shared" si="208"/>
        <v/>
      </c>
      <c r="P425" s="65" t="str">
        <f t="shared" si="208"/>
        <v/>
      </c>
      <c r="Q425" s="38"/>
      <c r="R425" s="3" t="str">
        <f t="shared" si="210"/>
        <v>Madurai</v>
      </c>
      <c r="S425" s="3" t="str">
        <f t="shared" si="192"/>
        <v>Peraiyur</v>
      </c>
      <c r="T425" s="3" t="str">
        <f t="shared" si="192"/>
        <v>T.Kallupatti</v>
      </c>
      <c r="U425" s="3" t="str">
        <f t="shared" si="203"/>
        <v>Madurai_Peraiyur_T.Kallupatti</v>
      </c>
      <c r="V425" s="3">
        <f>IF(_xlfn.XLOOKUP($U425,GCA!$H$3:$H$593,GCA!E$3:E$593,"",0,1)="","",_xlfn.XLOOKUP($U425,GCA!$H$3:$H$593,GCA!E$3:E$593,"",0,1))</f>
        <v>12674.045</v>
      </c>
      <c r="W425" s="3">
        <f>IF(_xlfn.XLOOKUP($U425,GCA!$H$3:$H$593,GCA!F$3:F$593,"",0,1)="","",_xlfn.XLOOKUP($U425,GCA!$H$3:$H$593,GCA!F$3:F$593,"",0,1))</f>
        <v>13084.975</v>
      </c>
      <c r="X425" s="3">
        <f>IF(_xlfn.XLOOKUP($U425,GCA!$H$3:$H$593,GCA!G$3:G$593,"",0,1)="","",_xlfn.XLOOKUP($U425,GCA!$H$3:$H$593,GCA!G$3:G$593,"",0,1))</f>
        <v>13077.924999999999</v>
      </c>
    </row>
    <row r="426" spans="1:24" ht="13.2">
      <c r="A426" s="49"/>
      <c r="B426" s="49"/>
      <c r="C426" s="48"/>
      <c r="D426" s="49"/>
      <c r="E426" s="50"/>
      <c r="F426" s="26" t="s">
        <v>869</v>
      </c>
      <c r="G426" s="26" t="s">
        <v>869</v>
      </c>
      <c r="H426" s="27">
        <f t="shared" si="205"/>
        <v>9147.9570000000003</v>
      </c>
      <c r="I426" s="27">
        <f t="shared" si="205"/>
        <v>9474.7330000000002</v>
      </c>
      <c r="J426" s="27">
        <f t="shared" si="205"/>
        <v>9870.9390000000003</v>
      </c>
      <c r="K426" s="27">
        <f t="shared" si="206"/>
        <v>9497.8763333333336</v>
      </c>
      <c r="L426" s="65"/>
      <c r="M426" s="67">
        <f t="shared" si="207"/>
        <v>0</v>
      </c>
      <c r="N426" s="65" t="str">
        <f t="shared" si="193"/>
        <v/>
      </c>
      <c r="O426" s="65" t="str">
        <f t="shared" si="208"/>
        <v/>
      </c>
      <c r="P426" s="65" t="str">
        <f t="shared" si="208"/>
        <v/>
      </c>
      <c r="Q426" s="38"/>
      <c r="R426" s="3" t="str">
        <f t="shared" si="210"/>
        <v>Madurai</v>
      </c>
      <c r="S426" s="3" t="str">
        <f t="shared" si="192"/>
        <v>Thirumangalam</v>
      </c>
      <c r="T426" s="3" t="str">
        <f t="shared" si="192"/>
        <v>Thirumangalam</v>
      </c>
      <c r="U426" s="3" t="str">
        <f t="shared" si="203"/>
        <v>Madurai_Thirumangalam_Thirumangalam</v>
      </c>
      <c r="V426" s="3">
        <f>IF(_xlfn.XLOOKUP($U426,GCA!$H$3:$H$593,GCA!E$3:E$593,"",0,1)="","",_xlfn.XLOOKUP($U426,GCA!$H$3:$H$593,GCA!E$3:E$593,"",0,1))</f>
        <v>9147.9570000000003</v>
      </c>
      <c r="W426" s="3">
        <f>IF(_xlfn.XLOOKUP($U426,GCA!$H$3:$H$593,GCA!F$3:F$593,"",0,1)="","",_xlfn.XLOOKUP($U426,GCA!$H$3:$H$593,GCA!F$3:F$593,"",0,1))</f>
        <v>9474.7330000000002</v>
      </c>
      <c r="X426" s="3">
        <f>IF(_xlfn.XLOOKUP($U426,GCA!$H$3:$H$593,GCA!G$3:G$593,"",0,1)="","",_xlfn.XLOOKUP($U426,GCA!$H$3:$H$593,GCA!G$3:G$593,"",0,1))</f>
        <v>9870.9390000000003</v>
      </c>
    </row>
    <row r="427" spans="1:24" ht="13.2">
      <c r="A427" s="49"/>
      <c r="B427" s="49"/>
      <c r="C427" s="48"/>
      <c r="D427" s="49"/>
      <c r="E427" s="50">
        <v>3</v>
      </c>
      <c r="F427" s="26" t="s">
        <v>863</v>
      </c>
      <c r="G427" s="26" t="s">
        <v>863</v>
      </c>
      <c r="H427" s="27">
        <f t="shared" si="205"/>
        <v>1877.877</v>
      </c>
      <c r="I427" s="27">
        <f t="shared" si="205"/>
        <v>2074.5790000000002</v>
      </c>
      <c r="J427" s="27">
        <f t="shared" si="205"/>
        <v>2251.8690000000001</v>
      </c>
      <c r="K427" s="27">
        <f t="shared" si="206"/>
        <v>2068.1083333333336</v>
      </c>
      <c r="L427" s="65">
        <f>SUM(K427:K431)</f>
        <v>46374.537333333341</v>
      </c>
      <c r="M427" s="67">
        <f t="shared" si="207"/>
        <v>1.9465264763987422</v>
      </c>
      <c r="N427" s="65">
        <f t="shared" si="193"/>
        <v>2</v>
      </c>
      <c r="O427" s="65">
        <f t="shared" si="208"/>
        <v>2</v>
      </c>
      <c r="P427" s="65">
        <f t="shared" si="208"/>
        <v>2</v>
      </c>
      <c r="Q427" s="38"/>
      <c r="R427" s="3" t="str">
        <f t="shared" si="210"/>
        <v>Madurai</v>
      </c>
      <c r="S427" s="3" t="str">
        <f t="shared" si="192"/>
        <v>Thirupparangundram</v>
      </c>
      <c r="T427" s="3" t="str">
        <f t="shared" si="192"/>
        <v>Thirupparangundram</v>
      </c>
      <c r="U427" s="3" t="str">
        <f t="shared" si="203"/>
        <v>Madurai_Thirupparangundram_Thirupparangundram</v>
      </c>
      <c r="V427" s="3">
        <f>IF(_xlfn.XLOOKUP($U427,GCA!$H$3:$H$593,GCA!E$3:E$593,"",0,1)="","",_xlfn.XLOOKUP($U427,GCA!$H$3:$H$593,GCA!E$3:E$593,"",0,1))</f>
        <v>1877.877</v>
      </c>
      <c r="W427" s="3">
        <f>IF(_xlfn.XLOOKUP($U427,GCA!$H$3:$H$593,GCA!F$3:F$593,"",0,1)="","",_xlfn.XLOOKUP($U427,GCA!$H$3:$H$593,GCA!F$3:F$593,"",0,1))</f>
        <v>2074.5790000000002</v>
      </c>
      <c r="X427" s="3">
        <f>IF(_xlfn.XLOOKUP($U427,GCA!$H$3:$H$593,GCA!G$3:G$593,"",0,1)="","",_xlfn.XLOOKUP($U427,GCA!$H$3:$H$593,GCA!G$3:G$593,"",0,1))</f>
        <v>2251.8690000000001</v>
      </c>
    </row>
    <row r="428" spans="1:24" ht="13.2">
      <c r="A428" s="49"/>
      <c r="B428" s="49"/>
      <c r="C428" s="48"/>
      <c r="D428" s="49"/>
      <c r="E428" s="50"/>
      <c r="F428" s="26" t="s">
        <v>870</v>
      </c>
      <c r="G428" s="26" t="s">
        <v>871</v>
      </c>
      <c r="H428" s="27">
        <f t="shared" si="205"/>
        <v>14815.15</v>
      </c>
      <c r="I428" s="27">
        <f t="shared" si="205"/>
        <v>14884.227999999999</v>
      </c>
      <c r="J428" s="27">
        <f t="shared" si="205"/>
        <v>15410.355</v>
      </c>
      <c r="K428" s="27">
        <f t="shared" si="206"/>
        <v>15036.577666666664</v>
      </c>
      <c r="L428" s="65"/>
      <c r="M428" s="67">
        <f t="shared" si="207"/>
        <v>0</v>
      </c>
      <c r="N428" s="65" t="str">
        <f t="shared" si="193"/>
        <v/>
      </c>
      <c r="O428" s="65" t="str">
        <f t="shared" si="208"/>
        <v/>
      </c>
      <c r="P428" s="65" t="str">
        <f t="shared" si="208"/>
        <v/>
      </c>
      <c r="Q428" s="38"/>
      <c r="R428" s="3" t="str">
        <f t="shared" si="210"/>
        <v>Madurai</v>
      </c>
      <c r="S428" s="3" t="str">
        <f t="shared" si="192"/>
        <v>Usilampatti</v>
      </c>
      <c r="T428" s="3" t="str">
        <f t="shared" si="192"/>
        <v>Chellampatti</v>
      </c>
      <c r="U428" s="3" t="str">
        <f t="shared" si="203"/>
        <v>Madurai_Usilampatti_Chellampatti</v>
      </c>
      <c r="V428" s="3">
        <f>IF(_xlfn.XLOOKUP($U428,GCA!$H$3:$H$593,GCA!E$3:E$593,"",0,1)="","",_xlfn.XLOOKUP($U428,GCA!$H$3:$H$593,GCA!E$3:E$593,"",0,1))</f>
        <v>14815.15</v>
      </c>
      <c r="W428" s="3">
        <f>IF(_xlfn.XLOOKUP($U428,GCA!$H$3:$H$593,GCA!F$3:F$593,"",0,1)="","",_xlfn.XLOOKUP($U428,GCA!$H$3:$H$593,GCA!F$3:F$593,"",0,1))</f>
        <v>14884.227999999999</v>
      </c>
      <c r="X428" s="3">
        <f>IF(_xlfn.XLOOKUP($U428,GCA!$H$3:$H$593,GCA!G$3:G$593,"",0,1)="","",_xlfn.XLOOKUP($U428,GCA!$H$3:$H$593,GCA!G$3:G$593,"",0,1))</f>
        <v>15410.355</v>
      </c>
    </row>
    <row r="429" spans="1:24" ht="13.2">
      <c r="A429" s="49"/>
      <c r="B429" s="49"/>
      <c r="C429" s="48"/>
      <c r="D429" s="49"/>
      <c r="E429" s="50"/>
      <c r="F429" s="26" t="s">
        <v>870</v>
      </c>
      <c r="G429" s="26" t="s">
        <v>870</v>
      </c>
      <c r="H429" s="27">
        <f t="shared" si="205"/>
        <v>8107.2349999999997</v>
      </c>
      <c r="I429" s="27">
        <f t="shared" si="205"/>
        <v>9402.2860000000001</v>
      </c>
      <c r="J429" s="27">
        <f t="shared" si="205"/>
        <v>9638.89</v>
      </c>
      <c r="K429" s="27">
        <f t="shared" si="206"/>
        <v>9049.4703333333327</v>
      </c>
      <c r="L429" s="65"/>
      <c r="M429" s="67">
        <f t="shared" si="207"/>
        <v>0</v>
      </c>
      <c r="N429" s="65" t="str">
        <f t="shared" si="193"/>
        <v/>
      </c>
      <c r="O429" s="65" t="str">
        <f t="shared" si="208"/>
        <v/>
      </c>
      <c r="P429" s="65" t="str">
        <f t="shared" si="208"/>
        <v/>
      </c>
      <c r="Q429" s="38"/>
      <c r="R429" s="3" t="str">
        <f t="shared" si="210"/>
        <v>Madurai</v>
      </c>
      <c r="S429" s="3" t="str">
        <f t="shared" si="192"/>
        <v>Usilampatti</v>
      </c>
      <c r="T429" s="3" t="str">
        <f t="shared" si="192"/>
        <v>Usilampatti</v>
      </c>
      <c r="U429" s="3" t="str">
        <f t="shared" si="203"/>
        <v>Madurai_Usilampatti_Usilampatti</v>
      </c>
      <c r="V429" s="3">
        <f>IF(_xlfn.XLOOKUP($U429,GCA!$H$3:$H$593,GCA!E$3:E$593,"",0,1)="","",_xlfn.XLOOKUP($U429,GCA!$H$3:$H$593,GCA!E$3:E$593,"",0,1))</f>
        <v>8107.2349999999997</v>
      </c>
      <c r="W429" s="3">
        <f>IF(_xlfn.XLOOKUP($U429,GCA!$H$3:$H$593,GCA!F$3:F$593,"",0,1)="","",_xlfn.XLOOKUP($U429,GCA!$H$3:$H$593,GCA!F$3:F$593,"",0,1))</f>
        <v>9402.2860000000001</v>
      </c>
      <c r="X429" s="3">
        <f>IF(_xlfn.XLOOKUP($U429,GCA!$H$3:$H$593,GCA!G$3:G$593,"",0,1)="","",_xlfn.XLOOKUP($U429,GCA!$H$3:$H$593,GCA!G$3:G$593,"",0,1))</f>
        <v>9638.89</v>
      </c>
    </row>
    <row r="430" spans="1:24" ht="13.2">
      <c r="A430" s="49"/>
      <c r="B430" s="49"/>
      <c r="C430" s="48"/>
      <c r="D430" s="49"/>
      <c r="E430" s="50"/>
      <c r="F430" s="26" t="s">
        <v>872</v>
      </c>
      <c r="G430" s="26" t="s">
        <v>873</v>
      </c>
      <c r="H430" s="27">
        <f t="shared" si="205"/>
        <v>10655.466</v>
      </c>
      <c r="I430" s="27">
        <f t="shared" si="205"/>
        <v>8976.7090000000007</v>
      </c>
      <c r="J430" s="27">
        <f t="shared" si="205"/>
        <v>10783.874</v>
      </c>
      <c r="K430" s="27">
        <f t="shared" si="206"/>
        <v>10138.683000000001</v>
      </c>
      <c r="L430" s="65"/>
      <c r="M430" s="67">
        <f t="shared" si="207"/>
        <v>0</v>
      </c>
      <c r="N430" s="65" t="str">
        <f t="shared" si="193"/>
        <v/>
      </c>
      <c r="O430" s="65" t="str">
        <f t="shared" si="208"/>
        <v/>
      </c>
      <c r="P430" s="65" t="str">
        <f t="shared" si="208"/>
        <v/>
      </c>
      <c r="Q430" s="38"/>
      <c r="R430" s="3" t="str">
        <f t="shared" si="210"/>
        <v>Madurai</v>
      </c>
      <c r="S430" s="3" t="str">
        <f t="shared" si="192"/>
        <v>Vadipatti</v>
      </c>
      <c r="T430" s="3" t="str">
        <f t="shared" si="192"/>
        <v>Alanganallur</v>
      </c>
      <c r="U430" s="3" t="str">
        <f t="shared" si="203"/>
        <v>Madurai_Vadipatti_Alanganallur</v>
      </c>
      <c r="V430" s="3">
        <f>IF(_xlfn.XLOOKUP($U430,GCA!$H$3:$H$593,GCA!E$3:E$593,"",0,1)="","",_xlfn.XLOOKUP($U430,GCA!$H$3:$H$593,GCA!E$3:E$593,"",0,1))</f>
        <v>10655.466</v>
      </c>
      <c r="W430" s="3">
        <f>IF(_xlfn.XLOOKUP($U430,GCA!$H$3:$H$593,GCA!F$3:F$593,"",0,1)="","",_xlfn.XLOOKUP($U430,GCA!$H$3:$H$593,GCA!F$3:F$593,"",0,1))</f>
        <v>8976.7090000000007</v>
      </c>
      <c r="X430" s="3">
        <f>IF(_xlfn.XLOOKUP($U430,GCA!$H$3:$H$593,GCA!G$3:G$593,"",0,1)="","",_xlfn.XLOOKUP($U430,GCA!$H$3:$H$593,GCA!G$3:G$593,"",0,1))</f>
        <v>10783.874</v>
      </c>
    </row>
    <row r="431" spans="1:24" ht="13.2">
      <c r="A431" s="49"/>
      <c r="B431" s="49"/>
      <c r="C431" s="48"/>
      <c r="D431" s="49"/>
      <c r="E431" s="50"/>
      <c r="F431" s="26" t="s">
        <v>872</v>
      </c>
      <c r="G431" s="26" t="s">
        <v>872</v>
      </c>
      <c r="H431" s="27">
        <f t="shared" si="205"/>
        <v>10971.394</v>
      </c>
      <c r="I431" s="27">
        <f t="shared" si="205"/>
        <v>8751.7049999999999</v>
      </c>
      <c r="J431" s="27">
        <f t="shared" si="205"/>
        <v>10521.995000000001</v>
      </c>
      <c r="K431" s="27">
        <f t="shared" si="206"/>
        <v>10081.698000000002</v>
      </c>
      <c r="L431" s="65"/>
      <c r="M431" s="67">
        <f t="shared" si="207"/>
        <v>0</v>
      </c>
      <c r="N431" s="65" t="str">
        <f t="shared" si="193"/>
        <v/>
      </c>
      <c r="O431" s="65" t="str">
        <f t="shared" si="208"/>
        <v/>
      </c>
      <c r="P431" s="65" t="str">
        <f t="shared" si="208"/>
        <v/>
      </c>
      <c r="Q431" s="38"/>
      <c r="R431" s="3" t="str">
        <f t="shared" si="210"/>
        <v>Madurai</v>
      </c>
      <c r="S431" s="3" t="str">
        <f t="shared" si="192"/>
        <v>Vadipatti</v>
      </c>
      <c r="T431" s="3" t="str">
        <f t="shared" si="192"/>
        <v>Vadipatti</v>
      </c>
      <c r="U431" s="3" t="str">
        <f t="shared" si="203"/>
        <v>Madurai_Vadipatti_Vadipatti</v>
      </c>
      <c r="V431" s="3">
        <f>IF(_xlfn.XLOOKUP($U431,GCA!$H$3:$H$593,GCA!E$3:E$593,"",0,1)="","",_xlfn.XLOOKUP($U431,GCA!$H$3:$H$593,GCA!E$3:E$593,"",0,1))</f>
        <v>10971.394</v>
      </c>
      <c r="W431" s="3">
        <f>IF(_xlfn.XLOOKUP($U431,GCA!$H$3:$H$593,GCA!F$3:F$593,"",0,1)="","",_xlfn.XLOOKUP($U431,GCA!$H$3:$H$593,GCA!F$3:F$593,"",0,1))</f>
        <v>8751.7049999999999</v>
      </c>
      <c r="X431" s="3">
        <f>IF(_xlfn.XLOOKUP($U431,GCA!$H$3:$H$593,GCA!G$3:G$593,"",0,1)="","",_xlfn.XLOOKUP($U431,GCA!$H$3:$H$593,GCA!G$3:G$593,"",0,1))</f>
        <v>10521.995000000001</v>
      </c>
    </row>
    <row r="432" spans="1:24" ht="13.2">
      <c r="A432" s="49"/>
      <c r="B432" s="49"/>
      <c r="C432" s="48"/>
      <c r="D432" s="49"/>
      <c r="E432" s="47" t="s">
        <v>564</v>
      </c>
      <c r="F432" s="47"/>
      <c r="G432" s="47"/>
      <c r="H432" s="29">
        <f t="shared" ref="H432:P432" si="211">SUM(H417:H431)</f>
        <v>136378.18499999997</v>
      </c>
      <c r="I432" s="29">
        <f t="shared" si="211"/>
        <v>122946.477</v>
      </c>
      <c r="J432" s="29">
        <f t="shared" si="211"/>
        <v>143473.55600000001</v>
      </c>
      <c r="K432" s="29">
        <f t="shared" si="211"/>
        <v>134266.07266666665</v>
      </c>
      <c r="L432" s="29">
        <f t="shared" si="211"/>
        <v>134266.07266666667</v>
      </c>
      <c r="M432" s="30">
        <f t="shared" si="211"/>
        <v>5.6356889007685647</v>
      </c>
      <c r="N432" s="31">
        <f t="shared" si="211"/>
        <v>6</v>
      </c>
      <c r="O432" s="31">
        <f t="shared" si="211"/>
        <v>6</v>
      </c>
      <c r="P432" s="31">
        <f t="shared" si="211"/>
        <v>6</v>
      </c>
      <c r="Q432" s="38"/>
      <c r="R432" s="3" t="str">
        <f t="shared" si="210"/>
        <v>Madurai</v>
      </c>
      <c r="S432" s="3">
        <f t="shared" si="192"/>
        <v>0</v>
      </c>
      <c r="T432" s="3">
        <f t="shared" si="192"/>
        <v>0</v>
      </c>
      <c r="U432" s="3" t="str">
        <f t="shared" si="203"/>
        <v>Madurai_0_0</v>
      </c>
      <c r="V432" s="3" t="str">
        <f>IF(_xlfn.XLOOKUP($U432,GCA!$H$3:$H$593,GCA!E$3:E$593,"",0,1)="","",_xlfn.XLOOKUP($U432,GCA!$H$3:$H$593,GCA!E$3:E$593,"",0,1))</f>
        <v/>
      </c>
      <c r="W432" s="3" t="str">
        <f>IF(_xlfn.XLOOKUP($U432,GCA!$H$3:$H$593,GCA!F$3:F$593,"",0,1)="","",_xlfn.XLOOKUP($U432,GCA!$H$3:$H$593,GCA!F$3:F$593,"",0,1))</f>
        <v/>
      </c>
      <c r="X432" s="3" t="str">
        <f>IF(_xlfn.XLOOKUP($U432,GCA!$H$3:$H$593,GCA!G$3:G$593,"",0,1)="","",_xlfn.XLOOKUP($U432,GCA!$H$3:$H$593,GCA!G$3:G$593,"",0,1))</f>
        <v/>
      </c>
    </row>
    <row r="433" spans="1:24" ht="13.2">
      <c r="A433" s="49"/>
      <c r="B433" s="49"/>
      <c r="C433" s="48" t="s">
        <v>240</v>
      </c>
      <c r="D433" s="49" t="s">
        <v>553</v>
      </c>
      <c r="E433" s="50">
        <v>1</v>
      </c>
      <c r="F433" s="26" t="s">
        <v>874</v>
      </c>
      <c r="G433" s="26" t="s">
        <v>874</v>
      </c>
      <c r="H433" s="27">
        <f t="shared" ref="H433:J440" si="212">V433</f>
        <v>13682.555</v>
      </c>
      <c r="I433" s="27">
        <f t="shared" si="212"/>
        <v>13900.516</v>
      </c>
      <c r="J433" s="27">
        <f t="shared" si="212"/>
        <v>14255.826999999999</v>
      </c>
      <c r="K433" s="27">
        <f t="shared" ref="K433:K440" si="213">IFERROR(AVERAGE(H433:J433),"")</f>
        <v>13946.299333333334</v>
      </c>
      <c r="L433" s="65">
        <f>SUM(K433:K436)</f>
        <v>63890.433999999994</v>
      </c>
      <c r="M433" s="67">
        <f t="shared" ref="M433:M440" si="214">L433*$L$643/$L$642</f>
        <v>2.681739344927438</v>
      </c>
      <c r="N433" s="65">
        <f t="shared" si="193"/>
        <v>3</v>
      </c>
      <c r="O433" s="65">
        <f t="shared" ref="O433:P440" si="215">N433</f>
        <v>3</v>
      </c>
      <c r="P433" s="65">
        <f t="shared" si="215"/>
        <v>3</v>
      </c>
      <c r="Q433" s="38"/>
      <c r="R433" s="3" t="str">
        <f t="shared" si="209"/>
        <v>Theni</v>
      </c>
      <c r="S433" s="3" t="str">
        <f t="shared" si="192"/>
        <v>Andipatti</v>
      </c>
      <c r="T433" s="3" t="str">
        <f t="shared" si="192"/>
        <v>Andipatti</v>
      </c>
      <c r="U433" s="3" t="str">
        <f t="shared" si="203"/>
        <v>Theni_Andipatti_Andipatti</v>
      </c>
      <c r="V433" s="3">
        <f>IF(_xlfn.XLOOKUP($U433,GCA!$H$3:$H$593,GCA!E$3:E$593,"",0,1)="","",_xlfn.XLOOKUP($U433,GCA!$H$3:$H$593,GCA!E$3:E$593,"",0,1))</f>
        <v>13682.555</v>
      </c>
      <c r="W433" s="3">
        <f>IF(_xlfn.XLOOKUP($U433,GCA!$H$3:$H$593,GCA!F$3:F$593,"",0,1)="","",_xlfn.XLOOKUP($U433,GCA!$H$3:$H$593,GCA!F$3:F$593,"",0,1))</f>
        <v>13900.516</v>
      </c>
      <c r="X433" s="3">
        <f>IF(_xlfn.XLOOKUP($U433,GCA!$H$3:$H$593,GCA!G$3:G$593,"",0,1)="","",_xlfn.XLOOKUP($U433,GCA!$H$3:$H$593,GCA!G$3:G$593,"",0,1))</f>
        <v>14255.826999999999</v>
      </c>
    </row>
    <row r="434" spans="1:24" ht="13.2">
      <c r="A434" s="49"/>
      <c r="B434" s="49"/>
      <c r="C434" s="48"/>
      <c r="D434" s="49"/>
      <c r="E434" s="50"/>
      <c r="F434" s="26" t="s">
        <v>874</v>
      </c>
      <c r="G434" s="26" t="s">
        <v>875</v>
      </c>
      <c r="H434" s="27">
        <f t="shared" si="212"/>
        <v>14262.597</v>
      </c>
      <c r="I434" s="27">
        <f t="shared" si="212"/>
        <v>14063.056</v>
      </c>
      <c r="J434" s="27">
        <f t="shared" si="212"/>
        <v>14283.165000000001</v>
      </c>
      <c r="K434" s="27">
        <f t="shared" si="213"/>
        <v>14202.939333333334</v>
      </c>
      <c r="L434" s="65"/>
      <c r="M434" s="67">
        <f t="shared" si="214"/>
        <v>0</v>
      </c>
      <c r="N434" s="65" t="str">
        <f t="shared" si="193"/>
        <v/>
      </c>
      <c r="O434" s="65" t="str">
        <f t="shared" si="215"/>
        <v/>
      </c>
      <c r="P434" s="65" t="str">
        <f t="shared" si="215"/>
        <v/>
      </c>
      <c r="Q434" s="38"/>
      <c r="R434" s="3" t="str">
        <f t="shared" ref="R434:R441" si="216">R433</f>
        <v>Theni</v>
      </c>
      <c r="S434" s="3" t="str">
        <f t="shared" si="192"/>
        <v>Andipatti</v>
      </c>
      <c r="T434" s="3" t="str">
        <f t="shared" si="192"/>
        <v>K.Myladumparai</v>
      </c>
      <c r="U434" s="3" t="str">
        <f t="shared" si="203"/>
        <v>Theni_Andipatti_K.Myladumparai</v>
      </c>
      <c r="V434" s="3">
        <f>IF(_xlfn.XLOOKUP($U434,GCA!$H$3:$H$593,GCA!E$3:E$593,"",0,1)="","",_xlfn.XLOOKUP($U434,GCA!$H$3:$H$593,GCA!E$3:E$593,"",0,1))</f>
        <v>14262.597</v>
      </c>
      <c r="W434" s="3">
        <f>IF(_xlfn.XLOOKUP($U434,GCA!$H$3:$H$593,GCA!F$3:F$593,"",0,1)="","",_xlfn.XLOOKUP($U434,GCA!$H$3:$H$593,GCA!F$3:F$593,"",0,1))</f>
        <v>14063.056</v>
      </c>
      <c r="X434" s="3">
        <f>IF(_xlfn.XLOOKUP($U434,GCA!$H$3:$H$593,GCA!G$3:G$593,"",0,1)="","",_xlfn.XLOOKUP($U434,GCA!$H$3:$H$593,GCA!G$3:G$593,"",0,1))</f>
        <v>14283.165000000001</v>
      </c>
    </row>
    <row r="435" spans="1:24" ht="13.2">
      <c r="A435" s="49"/>
      <c r="B435" s="49"/>
      <c r="C435" s="48"/>
      <c r="D435" s="49"/>
      <c r="E435" s="50"/>
      <c r="F435" s="26" t="s">
        <v>876</v>
      </c>
      <c r="G435" s="26" t="s">
        <v>876</v>
      </c>
      <c r="H435" s="27">
        <f t="shared" si="212"/>
        <v>17999.625</v>
      </c>
      <c r="I435" s="27">
        <f t="shared" si="212"/>
        <v>18040.544999999998</v>
      </c>
      <c r="J435" s="27">
        <f t="shared" si="212"/>
        <v>18694.474999999999</v>
      </c>
      <c r="K435" s="27">
        <f t="shared" si="213"/>
        <v>18244.881666666664</v>
      </c>
      <c r="L435" s="65"/>
      <c r="M435" s="67">
        <f t="shared" si="214"/>
        <v>0</v>
      </c>
      <c r="N435" s="65" t="str">
        <f t="shared" si="193"/>
        <v/>
      </c>
      <c r="O435" s="65" t="str">
        <f t="shared" si="215"/>
        <v/>
      </c>
      <c r="P435" s="65" t="str">
        <f t="shared" si="215"/>
        <v/>
      </c>
      <c r="Q435" s="38"/>
      <c r="R435" s="3" t="str">
        <f t="shared" si="216"/>
        <v>Theni</v>
      </c>
      <c r="S435" s="3" t="str">
        <f t="shared" si="192"/>
        <v>Bodinayakanur</v>
      </c>
      <c r="T435" s="3" t="str">
        <f t="shared" si="192"/>
        <v>Bodinayakanur</v>
      </c>
      <c r="U435" s="3" t="str">
        <f t="shared" si="203"/>
        <v>Theni_Bodinayakanur_Bodinayakanur</v>
      </c>
      <c r="V435" s="3">
        <f>IF(_xlfn.XLOOKUP($U435,GCA!$H$3:$H$593,GCA!E$3:E$593,"",0,1)="","",_xlfn.XLOOKUP($U435,GCA!$H$3:$H$593,GCA!E$3:E$593,"",0,1))</f>
        <v>17999.625</v>
      </c>
      <c r="W435" s="3">
        <f>IF(_xlfn.XLOOKUP($U435,GCA!$H$3:$H$593,GCA!F$3:F$593,"",0,1)="","",_xlfn.XLOOKUP($U435,GCA!$H$3:$H$593,GCA!F$3:F$593,"",0,1))</f>
        <v>18040.544999999998</v>
      </c>
      <c r="X435" s="3">
        <f>IF(_xlfn.XLOOKUP($U435,GCA!$H$3:$H$593,GCA!G$3:G$593,"",0,1)="","",_xlfn.XLOOKUP($U435,GCA!$H$3:$H$593,GCA!G$3:G$593,"",0,1))</f>
        <v>18694.474999999999</v>
      </c>
    </row>
    <row r="436" spans="1:24" ht="13.2">
      <c r="A436" s="49"/>
      <c r="B436" s="49"/>
      <c r="C436" s="48"/>
      <c r="D436" s="49"/>
      <c r="E436" s="50"/>
      <c r="F436" s="26" t="s">
        <v>877</v>
      </c>
      <c r="G436" s="26" t="s">
        <v>877</v>
      </c>
      <c r="H436" s="27">
        <f t="shared" si="212"/>
        <v>17103.516</v>
      </c>
      <c r="I436" s="27">
        <f t="shared" si="212"/>
        <v>17492.564999999999</v>
      </c>
      <c r="J436" s="27">
        <f t="shared" si="212"/>
        <v>17892.86</v>
      </c>
      <c r="K436" s="27">
        <f t="shared" si="213"/>
        <v>17496.313666666665</v>
      </c>
      <c r="L436" s="65"/>
      <c r="M436" s="67">
        <f t="shared" si="214"/>
        <v>0</v>
      </c>
      <c r="N436" s="65" t="str">
        <f t="shared" si="193"/>
        <v/>
      </c>
      <c r="O436" s="65" t="str">
        <f t="shared" si="215"/>
        <v/>
      </c>
      <c r="P436" s="65" t="str">
        <f t="shared" si="215"/>
        <v/>
      </c>
      <c r="Q436" s="38"/>
      <c r="R436" s="3" t="str">
        <f t="shared" si="216"/>
        <v>Theni</v>
      </c>
      <c r="S436" s="3" t="str">
        <f t="shared" si="192"/>
        <v>Periyakulam</v>
      </c>
      <c r="T436" s="3" t="str">
        <f t="shared" si="192"/>
        <v>Periyakulam</v>
      </c>
      <c r="U436" s="3" t="str">
        <f t="shared" si="203"/>
        <v>Theni_Periyakulam_Periyakulam</v>
      </c>
      <c r="V436" s="3">
        <f>IF(_xlfn.XLOOKUP($U436,GCA!$H$3:$H$593,GCA!E$3:E$593,"",0,1)="","",_xlfn.XLOOKUP($U436,GCA!$H$3:$H$593,GCA!E$3:E$593,"",0,1))</f>
        <v>17103.516</v>
      </c>
      <c r="W436" s="3">
        <f>IF(_xlfn.XLOOKUP($U436,GCA!$H$3:$H$593,GCA!F$3:F$593,"",0,1)="","",_xlfn.XLOOKUP($U436,GCA!$H$3:$H$593,GCA!F$3:F$593,"",0,1))</f>
        <v>17492.564999999999</v>
      </c>
      <c r="X436" s="3">
        <f>IF(_xlfn.XLOOKUP($U436,GCA!$H$3:$H$593,GCA!G$3:G$593,"",0,1)="","",_xlfn.XLOOKUP($U436,GCA!$H$3:$H$593,GCA!G$3:G$593,"",0,1))</f>
        <v>17892.86</v>
      </c>
    </row>
    <row r="437" spans="1:24" ht="13.2">
      <c r="A437" s="49"/>
      <c r="B437" s="49"/>
      <c r="C437" s="48"/>
      <c r="D437" s="49"/>
      <c r="E437" s="50">
        <v>2</v>
      </c>
      <c r="F437" s="26" t="s">
        <v>240</v>
      </c>
      <c r="G437" s="26" t="s">
        <v>240</v>
      </c>
      <c r="H437" s="27">
        <f t="shared" si="212"/>
        <v>9438.7569999999996</v>
      </c>
      <c r="I437" s="27">
        <f t="shared" si="212"/>
        <v>9621.1409999999996</v>
      </c>
      <c r="J437" s="27">
        <f t="shared" si="212"/>
        <v>9437.4069999999992</v>
      </c>
      <c r="K437" s="27">
        <f t="shared" si="213"/>
        <v>9499.1016666666674</v>
      </c>
      <c r="L437" s="65">
        <f>SUM(K437:K440)</f>
        <v>50729.723333333335</v>
      </c>
      <c r="M437" s="67">
        <f t="shared" si="214"/>
        <v>2.1293312081787317</v>
      </c>
      <c r="N437" s="65">
        <f t="shared" si="193"/>
        <v>2</v>
      </c>
      <c r="O437" s="65">
        <f t="shared" si="215"/>
        <v>2</v>
      </c>
      <c r="P437" s="65">
        <f t="shared" si="215"/>
        <v>2</v>
      </c>
      <c r="Q437" s="38"/>
      <c r="R437" s="3" t="str">
        <f t="shared" si="216"/>
        <v>Theni</v>
      </c>
      <c r="S437" s="3" t="str">
        <f t="shared" si="192"/>
        <v>Theni</v>
      </c>
      <c r="T437" s="3" t="str">
        <f t="shared" si="192"/>
        <v>Theni</v>
      </c>
      <c r="U437" s="3" t="str">
        <f t="shared" si="203"/>
        <v>Theni_Theni_Theni</v>
      </c>
      <c r="V437" s="3">
        <f>IF(_xlfn.XLOOKUP($U437,GCA!$H$3:$H$593,GCA!E$3:E$593,"",0,1)="","",_xlfn.XLOOKUP($U437,GCA!$H$3:$H$593,GCA!E$3:E$593,"",0,1))</f>
        <v>9438.7569999999996</v>
      </c>
      <c r="W437" s="3">
        <f>IF(_xlfn.XLOOKUP($U437,GCA!$H$3:$H$593,GCA!F$3:F$593,"",0,1)="","",_xlfn.XLOOKUP($U437,GCA!$H$3:$H$593,GCA!F$3:F$593,"",0,1))</f>
        <v>9621.1409999999996</v>
      </c>
      <c r="X437" s="3">
        <f>IF(_xlfn.XLOOKUP($U437,GCA!$H$3:$H$593,GCA!G$3:G$593,"",0,1)="","",_xlfn.XLOOKUP($U437,GCA!$H$3:$H$593,GCA!G$3:G$593,"",0,1))</f>
        <v>9437.4069999999992</v>
      </c>
    </row>
    <row r="438" spans="1:24" ht="13.2">
      <c r="A438" s="49"/>
      <c r="B438" s="49"/>
      <c r="C438" s="48"/>
      <c r="D438" s="49"/>
      <c r="E438" s="50"/>
      <c r="F438" s="26" t="s">
        <v>878</v>
      </c>
      <c r="G438" s="26" t="s">
        <v>879</v>
      </c>
      <c r="H438" s="27">
        <f t="shared" si="212"/>
        <v>12169.53</v>
      </c>
      <c r="I438" s="27">
        <f t="shared" si="212"/>
        <v>12948.59</v>
      </c>
      <c r="J438" s="27">
        <f t="shared" si="212"/>
        <v>13224.8</v>
      </c>
      <c r="K438" s="27">
        <f t="shared" si="213"/>
        <v>12780.973333333333</v>
      </c>
      <c r="L438" s="65"/>
      <c r="M438" s="67">
        <f t="shared" si="214"/>
        <v>0</v>
      </c>
      <c r="N438" s="65" t="str">
        <f t="shared" si="193"/>
        <v/>
      </c>
      <c r="O438" s="65" t="str">
        <f t="shared" si="215"/>
        <v/>
      </c>
      <c r="P438" s="65" t="str">
        <f t="shared" si="215"/>
        <v/>
      </c>
      <c r="Q438" s="38"/>
      <c r="R438" s="3" t="str">
        <f t="shared" si="216"/>
        <v>Theni</v>
      </c>
      <c r="S438" s="3" t="str">
        <f t="shared" si="192"/>
        <v>Uthamapalayam</v>
      </c>
      <c r="T438" s="3" t="str">
        <f t="shared" si="192"/>
        <v>Chinnamanur</v>
      </c>
      <c r="U438" s="3" t="str">
        <f t="shared" si="203"/>
        <v>Theni_Uthamapalayam_Chinnamanur</v>
      </c>
      <c r="V438" s="3">
        <f>IF(_xlfn.XLOOKUP($U438,GCA!$H$3:$H$593,GCA!E$3:E$593,"",0,1)="","",_xlfn.XLOOKUP($U438,GCA!$H$3:$H$593,GCA!E$3:E$593,"",0,1))</f>
        <v>12169.53</v>
      </c>
      <c r="W438" s="3">
        <f>IF(_xlfn.XLOOKUP($U438,GCA!$H$3:$H$593,GCA!F$3:F$593,"",0,1)="","",_xlfn.XLOOKUP($U438,GCA!$H$3:$H$593,GCA!F$3:F$593,"",0,1))</f>
        <v>12948.59</v>
      </c>
      <c r="X438" s="3">
        <f>IF(_xlfn.XLOOKUP($U438,GCA!$H$3:$H$593,GCA!G$3:G$593,"",0,1)="","",_xlfn.XLOOKUP($U438,GCA!$H$3:$H$593,GCA!G$3:G$593,"",0,1))</f>
        <v>13224.8</v>
      </c>
    </row>
    <row r="439" spans="1:24" ht="13.2">
      <c r="A439" s="49"/>
      <c r="B439" s="49"/>
      <c r="C439" s="48"/>
      <c r="D439" s="49"/>
      <c r="E439" s="50"/>
      <c r="F439" s="26" t="s">
        <v>878</v>
      </c>
      <c r="G439" s="26" t="s">
        <v>880</v>
      </c>
      <c r="H439" s="27">
        <f t="shared" si="212"/>
        <v>16704.349999999999</v>
      </c>
      <c r="I439" s="27">
        <f t="shared" si="212"/>
        <v>16192.43</v>
      </c>
      <c r="J439" s="27">
        <f t="shared" si="212"/>
        <v>16233.385</v>
      </c>
      <c r="K439" s="27">
        <f t="shared" si="213"/>
        <v>16376.721666666666</v>
      </c>
      <c r="L439" s="65"/>
      <c r="M439" s="67">
        <f t="shared" si="214"/>
        <v>0</v>
      </c>
      <c r="N439" s="65" t="str">
        <f t="shared" si="193"/>
        <v/>
      </c>
      <c r="O439" s="65" t="str">
        <f t="shared" si="215"/>
        <v/>
      </c>
      <c r="P439" s="65" t="str">
        <f t="shared" si="215"/>
        <v/>
      </c>
      <c r="Q439" s="38"/>
      <c r="R439" s="3" t="str">
        <f t="shared" si="216"/>
        <v>Theni</v>
      </c>
      <c r="S439" s="3" t="str">
        <f t="shared" si="192"/>
        <v>Uthamapalayam</v>
      </c>
      <c r="T439" s="3" t="str">
        <f t="shared" si="192"/>
        <v>Cumbum</v>
      </c>
      <c r="U439" s="3" t="str">
        <f t="shared" si="203"/>
        <v>Theni_Uthamapalayam_Cumbum</v>
      </c>
      <c r="V439" s="3">
        <f>IF(_xlfn.XLOOKUP($U439,GCA!$H$3:$H$593,GCA!E$3:E$593,"",0,1)="","",_xlfn.XLOOKUP($U439,GCA!$H$3:$H$593,GCA!E$3:E$593,"",0,1))</f>
        <v>16704.349999999999</v>
      </c>
      <c r="W439" s="3">
        <f>IF(_xlfn.XLOOKUP($U439,GCA!$H$3:$H$593,GCA!F$3:F$593,"",0,1)="","",_xlfn.XLOOKUP($U439,GCA!$H$3:$H$593,GCA!F$3:F$593,"",0,1))</f>
        <v>16192.43</v>
      </c>
      <c r="X439" s="3">
        <f>IF(_xlfn.XLOOKUP($U439,GCA!$H$3:$H$593,GCA!G$3:G$593,"",0,1)="","",_xlfn.XLOOKUP($U439,GCA!$H$3:$H$593,GCA!G$3:G$593,"",0,1))</f>
        <v>16233.385</v>
      </c>
    </row>
    <row r="440" spans="1:24" ht="13.2">
      <c r="A440" s="49"/>
      <c r="B440" s="49"/>
      <c r="C440" s="48"/>
      <c r="D440" s="49"/>
      <c r="E440" s="50"/>
      <c r="F440" s="26" t="s">
        <v>878</v>
      </c>
      <c r="G440" s="26" t="s">
        <v>878</v>
      </c>
      <c r="H440" s="27">
        <f t="shared" si="212"/>
        <v>11979.42</v>
      </c>
      <c r="I440" s="27">
        <f t="shared" si="212"/>
        <v>12192.385</v>
      </c>
      <c r="J440" s="27">
        <f t="shared" si="212"/>
        <v>12046.975</v>
      </c>
      <c r="K440" s="27">
        <f t="shared" si="213"/>
        <v>12072.926666666666</v>
      </c>
      <c r="L440" s="65"/>
      <c r="M440" s="67">
        <f t="shared" si="214"/>
        <v>0</v>
      </c>
      <c r="N440" s="65" t="str">
        <f t="shared" si="193"/>
        <v/>
      </c>
      <c r="O440" s="65" t="str">
        <f t="shared" si="215"/>
        <v/>
      </c>
      <c r="P440" s="65" t="str">
        <f t="shared" si="215"/>
        <v/>
      </c>
      <c r="Q440" s="38"/>
      <c r="R440" s="3" t="str">
        <f t="shared" si="216"/>
        <v>Theni</v>
      </c>
      <c r="S440" s="3" t="str">
        <f t="shared" si="192"/>
        <v>Uthamapalayam</v>
      </c>
      <c r="T440" s="3" t="str">
        <f t="shared" si="192"/>
        <v>Uthamapalayam</v>
      </c>
      <c r="U440" s="3" t="str">
        <f t="shared" si="203"/>
        <v>Theni_Uthamapalayam_Uthamapalayam</v>
      </c>
      <c r="V440" s="3">
        <f>IF(_xlfn.XLOOKUP($U440,GCA!$H$3:$H$593,GCA!E$3:E$593,"",0,1)="","",_xlfn.XLOOKUP($U440,GCA!$H$3:$H$593,GCA!E$3:E$593,"",0,1))</f>
        <v>11979.42</v>
      </c>
      <c r="W440" s="3">
        <f>IF(_xlfn.XLOOKUP($U440,GCA!$H$3:$H$593,GCA!F$3:F$593,"",0,1)="","",_xlfn.XLOOKUP($U440,GCA!$H$3:$H$593,GCA!F$3:F$593,"",0,1))</f>
        <v>12192.385</v>
      </c>
      <c r="X440" s="3">
        <f>IF(_xlfn.XLOOKUP($U440,GCA!$H$3:$H$593,GCA!G$3:G$593,"",0,1)="","",_xlfn.XLOOKUP($U440,GCA!$H$3:$H$593,GCA!G$3:G$593,"",0,1))</f>
        <v>12046.975</v>
      </c>
    </row>
    <row r="441" spans="1:24" ht="13.2">
      <c r="A441" s="49"/>
      <c r="B441" s="49"/>
      <c r="C441" s="48"/>
      <c r="D441" s="49"/>
      <c r="E441" s="47" t="s">
        <v>564</v>
      </c>
      <c r="F441" s="47"/>
      <c r="G441" s="47"/>
      <c r="H441" s="29">
        <f t="shared" ref="H441:P441" si="217">SUM(H433:H440)</f>
        <v>113340.34999999999</v>
      </c>
      <c r="I441" s="29">
        <f t="shared" si="217"/>
        <v>114451.22799999999</v>
      </c>
      <c r="J441" s="29">
        <f t="shared" si="217"/>
        <v>116068.894</v>
      </c>
      <c r="K441" s="29">
        <f t="shared" si="217"/>
        <v>114620.15733333332</v>
      </c>
      <c r="L441" s="29">
        <f t="shared" si="217"/>
        <v>114620.15733333334</v>
      </c>
      <c r="M441" s="30">
        <f t="shared" si="217"/>
        <v>4.8110705531061697</v>
      </c>
      <c r="N441" s="31">
        <f t="shared" si="217"/>
        <v>5</v>
      </c>
      <c r="O441" s="31">
        <f t="shared" si="217"/>
        <v>5</v>
      </c>
      <c r="P441" s="31">
        <f t="shared" si="217"/>
        <v>5</v>
      </c>
      <c r="Q441" s="38"/>
      <c r="R441" s="3" t="str">
        <f t="shared" si="216"/>
        <v>Theni</v>
      </c>
      <c r="S441" s="3">
        <f t="shared" si="192"/>
        <v>0</v>
      </c>
      <c r="T441" s="3">
        <f t="shared" si="192"/>
        <v>0</v>
      </c>
      <c r="U441" s="3" t="str">
        <f t="shared" si="203"/>
        <v>Theni_0_0</v>
      </c>
      <c r="V441" s="3" t="str">
        <f>IF(_xlfn.XLOOKUP($U441,GCA!$H$3:$H$593,GCA!E$3:E$593,"",0,1)="","",_xlfn.XLOOKUP($U441,GCA!$H$3:$H$593,GCA!E$3:E$593,"",0,1))</f>
        <v/>
      </c>
      <c r="W441" s="3" t="str">
        <f>IF(_xlfn.XLOOKUP($U441,GCA!$H$3:$H$593,GCA!F$3:F$593,"",0,1)="","",_xlfn.XLOOKUP($U441,GCA!$H$3:$H$593,GCA!F$3:F$593,"",0,1))</f>
        <v/>
      </c>
      <c r="X441" s="3" t="str">
        <f>IF(_xlfn.XLOOKUP($U441,GCA!$H$3:$H$593,GCA!G$3:G$593,"",0,1)="","",_xlfn.XLOOKUP($U441,GCA!$H$3:$H$593,GCA!G$3:G$593,"",0,1))</f>
        <v/>
      </c>
    </row>
    <row r="442" spans="1:24" ht="13.2">
      <c r="A442" s="49"/>
      <c r="B442" s="49"/>
      <c r="C442" s="54" t="s">
        <v>521</v>
      </c>
      <c r="D442" s="54"/>
      <c r="E442" s="54"/>
      <c r="F442" s="54"/>
      <c r="G442" s="54"/>
      <c r="H442" s="32">
        <f>SUM(H441,H432,H416,H390)</f>
        <v>582449.56699999992</v>
      </c>
      <c r="I442" s="32">
        <f t="shared" ref="I442:P442" si="218">SUM(I441,I432,I416,I390)</f>
        <v>568611.97899999993</v>
      </c>
      <c r="J442" s="32">
        <f t="shared" si="218"/>
        <v>596990.94200000004</v>
      </c>
      <c r="K442" s="32">
        <f t="shared" si="218"/>
        <v>582684.16266666667</v>
      </c>
      <c r="L442" s="32">
        <f t="shared" si="218"/>
        <v>582684.16266666679</v>
      </c>
      <c r="M442" s="46">
        <f t="shared" si="218"/>
        <v>24.457605729979853</v>
      </c>
      <c r="N442" s="32">
        <f t="shared" si="218"/>
        <v>25</v>
      </c>
      <c r="O442" s="32">
        <f t="shared" si="218"/>
        <v>25</v>
      </c>
      <c r="P442" s="32">
        <f t="shared" si="218"/>
        <v>25</v>
      </c>
      <c r="Q442" s="38"/>
      <c r="R442" s="3" t="str">
        <f t="shared" si="209"/>
        <v>SRO TOTAL</v>
      </c>
      <c r="S442" s="3">
        <f t="shared" si="192"/>
        <v>0</v>
      </c>
      <c r="T442" s="3">
        <f t="shared" si="192"/>
        <v>0</v>
      </c>
      <c r="U442" s="3" t="str">
        <f t="shared" si="203"/>
        <v>SRO TOTAL_0_0</v>
      </c>
      <c r="V442" s="3" t="str">
        <f>IF(_xlfn.XLOOKUP($U442,GCA!$H$3:$H$593,GCA!E$3:E$593,"",0,1)="","",_xlfn.XLOOKUP($U442,GCA!$H$3:$H$593,GCA!E$3:E$593,"",0,1))</f>
        <v/>
      </c>
      <c r="W442" s="3" t="str">
        <f>IF(_xlfn.XLOOKUP($U442,GCA!$H$3:$H$593,GCA!F$3:F$593,"",0,1)="","",_xlfn.XLOOKUP($U442,GCA!$H$3:$H$593,GCA!F$3:F$593,"",0,1))</f>
        <v/>
      </c>
      <c r="X442" s="3" t="str">
        <f>IF(_xlfn.XLOOKUP($U442,GCA!$H$3:$H$593,GCA!G$3:G$593,"",0,1)="","",_xlfn.XLOOKUP($U442,GCA!$H$3:$H$593,GCA!G$3:G$593,"",0,1))</f>
        <v/>
      </c>
    </row>
    <row r="443" spans="1:24" ht="13.2">
      <c r="A443" s="49"/>
      <c r="B443" s="49" t="s">
        <v>241</v>
      </c>
      <c r="C443" s="48" t="s">
        <v>242</v>
      </c>
      <c r="D443" s="49" t="s">
        <v>548</v>
      </c>
      <c r="E443" s="50">
        <v>1</v>
      </c>
      <c r="F443" s="26" t="s">
        <v>881</v>
      </c>
      <c r="G443" s="26" t="s">
        <v>882</v>
      </c>
      <c r="H443" s="27">
        <f t="shared" ref="H443:J451" si="219">V443</f>
        <v>11037.145</v>
      </c>
      <c r="I443" s="27">
        <f t="shared" si="219"/>
        <v>12627.834999999999</v>
      </c>
      <c r="J443" s="27">
        <f t="shared" si="219"/>
        <v>14388.81</v>
      </c>
      <c r="K443" s="27">
        <f t="shared" ref="K443:K451" si="220">IFERROR(AVERAGE(H443:J443),"")</f>
        <v>12684.596666666666</v>
      </c>
      <c r="L443" s="65">
        <f>SUM(K443:K446)</f>
        <v>71376.325666666671</v>
      </c>
      <c r="M443" s="67">
        <f t="shared" ref="M443:M451" si="221">L443*$L$643/$L$642</f>
        <v>2.995952427505097</v>
      </c>
      <c r="N443" s="65">
        <f t="shared" si="193"/>
        <v>3</v>
      </c>
      <c r="O443" s="65">
        <f t="shared" ref="O443:P451" si="222">N443</f>
        <v>3</v>
      </c>
      <c r="P443" s="65">
        <f t="shared" si="222"/>
        <v>3</v>
      </c>
      <c r="Q443" s="38"/>
      <c r="R443" s="3" t="str">
        <f t="shared" si="209"/>
        <v>Nagapattinam</v>
      </c>
      <c r="S443" s="3" t="str">
        <f t="shared" si="192"/>
        <v>Kilvelur</v>
      </c>
      <c r="T443" s="3" t="str">
        <f t="shared" si="192"/>
        <v>Keelaiyur</v>
      </c>
      <c r="U443" s="3" t="str">
        <f t="shared" si="203"/>
        <v>Nagapattinam_Kilvelur_Keelaiyur</v>
      </c>
      <c r="V443" s="3">
        <f>IF(_xlfn.XLOOKUP($U443,GCA!$H$3:$H$593,GCA!E$3:E$593,"",0,1)="","",_xlfn.XLOOKUP($U443,GCA!$H$3:$H$593,GCA!E$3:E$593,"",0,1))</f>
        <v>11037.145</v>
      </c>
      <c r="W443" s="3">
        <f>IF(_xlfn.XLOOKUP($U443,GCA!$H$3:$H$593,GCA!F$3:F$593,"",0,1)="","",_xlfn.XLOOKUP($U443,GCA!$H$3:$H$593,GCA!F$3:F$593,"",0,1))</f>
        <v>12627.834999999999</v>
      </c>
      <c r="X443" s="3">
        <f>IF(_xlfn.XLOOKUP($U443,GCA!$H$3:$H$593,GCA!G$3:G$593,"",0,1)="","",_xlfn.XLOOKUP($U443,GCA!$H$3:$H$593,GCA!G$3:G$593,"",0,1))</f>
        <v>14388.81</v>
      </c>
    </row>
    <row r="444" spans="1:24" ht="13.2">
      <c r="A444" s="49"/>
      <c r="B444" s="49"/>
      <c r="C444" s="48"/>
      <c r="D444" s="49"/>
      <c r="E444" s="50"/>
      <c r="F444" s="26" t="s">
        <v>881</v>
      </c>
      <c r="G444" s="26" t="s">
        <v>881</v>
      </c>
      <c r="H444" s="27">
        <f t="shared" si="219"/>
        <v>18948.171999999999</v>
      </c>
      <c r="I444" s="27">
        <f t="shared" si="219"/>
        <v>20502.189999999999</v>
      </c>
      <c r="J444" s="27">
        <f t="shared" si="219"/>
        <v>22329.374</v>
      </c>
      <c r="K444" s="27">
        <f t="shared" si="220"/>
        <v>20593.245333333329</v>
      </c>
      <c r="L444" s="65"/>
      <c r="M444" s="67">
        <f t="shared" si="221"/>
        <v>0</v>
      </c>
      <c r="N444" s="65" t="str">
        <f t="shared" si="193"/>
        <v/>
      </c>
      <c r="O444" s="65" t="str">
        <f t="shared" si="222"/>
        <v/>
      </c>
      <c r="P444" s="65" t="str">
        <f t="shared" si="222"/>
        <v/>
      </c>
      <c r="Q444" s="38"/>
      <c r="R444" s="3" t="str">
        <f t="shared" ref="R444:R452" si="223">R443</f>
        <v>Nagapattinam</v>
      </c>
      <c r="S444" s="3" t="str">
        <f t="shared" si="192"/>
        <v>Kilvelur</v>
      </c>
      <c r="T444" s="3" t="str">
        <f t="shared" si="192"/>
        <v>Kilvelur</v>
      </c>
      <c r="U444" s="3" t="str">
        <f t="shared" si="203"/>
        <v>Nagapattinam_Kilvelur_Kilvelur</v>
      </c>
      <c r="V444" s="3">
        <f>IF(_xlfn.XLOOKUP($U444,GCA!$H$3:$H$593,GCA!E$3:E$593,"",0,1)="","",_xlfn.XLOOKUP($U444,GCA!$H$3:$H$593,GCA!E$3:E$593,"",0,1))</f>
        <v>18948.171999999999</v>
      </c>
      <c r="W444" s="3">
        <f>IF(_xlfn.XLOOKUP($U444,GCA!$H$3:$H$593,GCA!F$3:F$593,"",0,1)="","",_xlfn.XLOOKUP($U444,GCA!$H$3:$H$593,GCA!F$3:F$593,"",0,1))</f>
        <v>20502.189999999999</v>
      </c>
      <c r="X444" s="3">
        <f>IF(_xlfn.XLOOKUP($U444,GCA!$H$3:$H$593,GCA!G$3:G$593,"",0,1)="","",_xlfn.XLOOKUP($U444,GCA!$H$3:$H$593,GCA!G$3:G$593,"",0,1))</f>
        <v>22329.374</v>
      </c>
    </row>
    <row r="445" spans="1:24" ht="13.2">
      <c r="A445" s="49"/>
      <c r="B445" s="49"/>
      <c r="C445" s="48"/>
      <c r="D445" s="49"/>
      <c r="E445" s="50"/>
      <c r="F445" s="26" t="s">
        <v>561</v>
      </c>
      <c r="G445" s="26" t="s">
        <v>561</v>
      </c>
      <c r="H445" s="27">
        <f t="shared" si="219"/>
        <v>11303.42</v>
      </c>
      <c r="I445" s="27">
        <f t="shared" si="219"/>
        <v>11812.668</v>
      </c>
      <c r="J445" s="27">
        <f t="shared" si="219"/>
        <v>12470.16</v>
      </c>
      <c r="K445" s="27">
        <f t="shared" si="220"/>
        <v>11862.082666666667</v>
      </c>
      <c r="L445" s="65"/>
      <c r="M445" s="67">
        <f t="shared" si="221"/>
        <v>0</v>
      </c>
      <c r="N445" s="65" t="str">
        <f t="shared" si="193"/>
        <v/>
      </c>
      <c r="O445" s="65" t="str">
        <f t="shared" si="222"/>
        <v/>
      </c>
      <c r="P445" s="65" t="str">
        <f t="shared" si="222"/>
        <v/>
      </c>
      <c r="Q445" s="38"/>
      <c r="R445" s="3" t="str">
        <f t="shared" si="223"/>
        <v>Nagapattinam</v>
      </c>
      <c r="S445" s="3" t="str">
        <f t="shared" si="192"/>
        <v>Nagappattinam</v>
      </c>
      <c r="T445" s="3" t="str">
        <f t="shared" si="192"/>
        <v>Nagappattinam</v>
      </c>
      <c r="U445" s="3" t="str">
        <f t="shared" si="203"/>
        <v>Nagapattinam_Nagappattinam_Nagappattinam</v>
      </c>
      <c r="V445" s="3">
        <f>IF(_xlfn.XLOOKUP($U445,GCA!$H$3:$H$593,GCA!E$3:E$593,"",0,1)="","",_xlfn.XLOOKUP($U445,GCA!$H$3:$H$593,GCA!E$3:E$593,"",0,1))</f>
        <v>11303.42</v>
      </c>
      <c r="W445" s="3">
        <f>IF(_xlfn.XLOOKUP($U445,GCA!$H$3:$H$593,GCA!F$3:F$593,"",0,1)="","",_xlfn.XLOOKUP($U445,GCA!$H$3:$H$593,GCA!F$3:F$593,"",0,1))</f>
        <v>11812.668</v>
      </c>
      <c r="X445" s="3">
        <f>IF(_xlfn.XLOOKUP($U445,GCA!$H$3:$H$593,GCA!G$3:G$593,"",0,1)="","",_xlfn.XLOOKUP($U445,GCA!$H$3:$H$593,GCA!G$3:G$593,"",0,1))</f>
        <v>12470.16</v>
      </c>
    </row>
    <row r="446" spans="1:24" ht="13.2">
      <c r="A446" s="49"/>
      <c r="B446" s="49"/>
      <c r="C446" s="48"/>
      <c r="D446" s="49"/>
      <c r="E446" s="50"/>
      <c r="F446" s="26" t="s">
        <v>561</v>
      </c>
      <c r="G446" s="26" t="s">
        <v>883</v>
      </c>
      <c r="H446" s="27">
        <f t="shared" si="219"/>
        <v>25875.705000000002</v>
      </c>
      <c r="I446" s="27">
        <f t="shared" si="219"/>
        <v>26064.038</v>
      </c>
      <c r="J446" s="27">
        <f t="shared" si="219"/>
        <v>26769.46</v>
      </c>
      <c r="K446" s="27">
        <f t="shared" si="220"/>
        <v>26236.401000000002</v>
      </c>
      <c r="L446" s="65"/>
      <c r="M446" s="67">
        <f t="shared" si="221"/>
        <v>0</v>
      </c>
      <c r="N446" s="65" t="str">
        <f t="shared" si="193"/>
        <v/>
      </c>
      <c r="O446" s="65" t="str">
        <f t="shared" si="222"/>
        <v/>
      </c>
      <c r="P446" s="65" t="str">
        <f t="shared" si="222"/>
        <v/>
      </c>
      <c r="Q446" s="38"/>
      <c r="R446" s="3" t="str">
        <f t="shared" si="223"/>
        <v>Nagapattinam</v>
      </c>
      <c r="S446" s="3" t="str">
        <f t="shared" si="192"/>
        <v>Nagappattinam</v>
      </c>
      <c r="T446" s="3" t="str">
        <f t="shared" si="192"/>
        <v>Thirumarugal</v>
      </c>
      <c r="U446" s="3" t="str">
        <f t="shared" si="203"/>
        <v>Nagapattinam_Nagappattinam_Thirumarugal</v>
      </c>
      <c r="V446" s="3">
        <f>IF(_xlfn.XLOOKUP($U446,GCA!$H$3:$H$593,GCA!E$3:E$593,"",0,1)="","",_xlfn.XLOOKUP($U446,GCA!$H$3:$H$593,GCA!E$3:E$593,"",0,1))</f>
        <v>25875.705000000002</v>
      </c>
      <c r="W446" s="3">
        <f>IF(_xlfn.XLOOKUP($U446,GCA!$H$3:$H$593,GCA!F$3:F$593,"",0,1)="","",_xlfn.XLOOKUP($U446,GCA!$H$3:$H$593,GCA!F$3:F$593,"",0,1))</f>
        <v>26064.038</v>
      </c>
      <c r="X446" s="3">
        <f>IF(_xlfn.XLOOKUP($U446,GCA!$H$3:$H$593,GCA!G$3:G$593,"",0,1)="","",_xlfn.XLOOKUP($U446,GCA!$H$3:$H$593,GCA!G$3:G$593,"",0,1))</f>
        <v>26769.46</v>
      </c>
    </row>
    <row r="447" spans="1:24" ht="13.2">
      <c r="A447" s="49"/>
      <c r="B447" s="49"/>
      <c r="C447" s="48"/>
      <c r="D447" s="49"/>
      <c r="E447" s="50">
        <v>2</v>
      </c>
      <c r="F447" s="26" t="s">
        <v>884</v>
      </c>
      <c r="G447" s="26" t="s">
        <v>882</v>
      </c>
      <c r="H447" s="27">
        <f t="shared" si="219"/>
        <v>4125.3149999999996</v>
      </c>
      <c r="I447" s="27">
        <f t="shared" si="219"/>
        <v>5703.3320000000003</v>
      </c>
      <c r="J447" s="27">
        <f t="shared" si="219"/>
        <v>5643.4219999999996</v>
      </c>
      <c r="K447" s="27">
        <f t="shared" si="220"/>
        <v>5157.3563333333332</v>
      </c>
      <c r="L447" s="65">
        <f>SUM(K447:K451)</f>
        <v>53666.861333333334</v>
      </c>
      <c r="M447" s="67">
        <f t="shared" si="221"/>
        <v>2.2526147428637753</v>
      </c>
      <c r="N447" s="65">
        <f t="shared" si="193"/>
        <v>2</v>
      </c>
      <c r="O447" s="65">
        <f t="shared" si="222"/>
        <v>2</v>
      </c>
      <c r="P447" s="65">
        <f t="shared" si="222"/>
        <v>2</v>
      </c>
      <c r="Q447" s="38"/>
      <c r="R447" s="3" t="str">
        <f t="shared" si="223"/>
        <v>Nagapattinam</v>
      </c>
      <c r="S447" s="3" t="str">
        <f t="shared" si="192"/>
        <v>Thirukkuvalai</v>
      </c>
      <c r="T447" s="3" t="str">
        <f t="shared" si="192"/>
        <v>Keelaiyur</v>
      </c>
      <c r="U447" s="3" t="str">
        <f t="shared" si="203"/>
        <v>Nagapattinam_Thirukkuvalai_Keelaiyur</v>
      </c>
      <c r="V447" s="3">
        <f>IF(_xlfn.XLOOKUP($U447,GCA!$H$3:$H$593,GCA!E$3:E$593,"",0,1)="","",_xlfn.XLOOKUP($U447,GCA!$H$3:$H$593,GCA!E$3:E$593,"",0,1))</f>
        <v>4125.3149999999996</v>
      </c>
      <c r="W447" s="3">
        <f>IF(_xlfn.XLOOKUP($U447,GCA!$H$3:$H$593,GCA!F$3:F$593,"",0,1)="","",_xlfn.XLOOKUP($U447,GCA!$H$3:$H$593,GCA!F$3:F$593,"",0,1))</f>
        <v>5703.3320000000003</v>
      </c>
      <c r="X447" s="3">
        <f>IF(_xlfn.XLOOKUP($U447,GCA!$H$3:$H$593,GCA!G$3:G$593,"",0,1)="","",_xlfn.XLOOKUP($U447,GCA!$H$3:$H$593,GCA!G$3:G$593,"",0,1))</f>
        <v>5643.4219999999996</v>
      </c>
    </row>
    <row r="448" spans="1:24" ht="13.2">
      <c r="A448" s="49"/>
      <c r="B448" s="49"/>
      <c r="C448" s="48"/>
      <c r="D448" s="49"/>
      <c r="E448" s="50"/>
      <c r="F448" s="26" t="s">
        <v>884</v>
      </c>
      <c r="G448" s="26" t="s">
        <v>881</v>
      </c>
      <c r="H448" s="27">
        <f t="shared" si="219"/>
        <v>4158.4949999999999</v>
      </c>
      <c r="I448" s="27">
        <f t="shared" si="219"/>
        <v>4282.0649999999996</v>
      </c>
      <c r="J448" s="27">
        <f t="shared" si="219"/>
        <v>4636.9949999999999</v>
      </c>
      <c r="K448" s="27">
        <f t="shared" si="220"/>
        <v>4359.1850000000004</v>
      </c>
      <c r="L448" s="65"/>
      <c r="M448" s="67">
        <f t="shared" si="221"/>
        <v>0</v>
      </c>
      <c r="N448" s="65" t="str">
        <f t="shared" si="193"/>
        <v/>
      </c>
      <c r="O448" s="65" t="str">
        <f t="shared" si="222"/>
        <v/>
      </c>
      <c r="P448" s="65" t="str">
        <f t="shared" si="222"/>
        <v/>
      </c>
      <c r="Q448" s="38"/>
      <c r="R448" s="3" t="str">
        <f t="shared" si="223"/>
        <v>Nagapattinam</v>
      </c>
      <c r="S448" s="3" t="str">
        <f t="shared" si="192"/>
        <v>Thirukkuvalai</v>
      </c>
      <c r="T448" s="3" t="str">
        <f t="shared" si="192"/>
        <v>Kilvelur</v>
      </c>
      <c r="U448" s="3" t="str">
        <f t="shared" si="203"/>
        <v>Nagapattinam_Thirukkuvalai_Kilvelur</v>
      </c>
      <c r="V448" s="3">
        <f>IF(_xlfn.XLOOKUP($U448,GCA!$H$3:$H$593,GCA!E$3:E$593,"",0,1)="","",_xlfn.XLOOKUP($U448,GCA!$H$3:$H$593,GCA!E$3:E$593,"",0,1))</f>
        <v>4158.4949999999999</v>
      </c>
      <c r="W448" s="3">
        <f>IF(_xlfn.XLOOKUP($U448,GCA!$H$3:$H$593,GCA!F$3:F$593,"",0,1)="","",_xlfn.XLOOKUP($U448,GCA!$H$3:$H$593,GCA!F$3:F$593,"",0,1))</f>
        <v>4282.0649999999996</v>
      </c>
      <c r="X448" s="3">
        <f>IF(_xlfn.XLOOKUP($U448,GCA!$H$3:$H$593,GCA!G$3:G$593,"",0,1)="","",_xlfn.XLOOKUP($U448,GCA!$H$3:$H$593,GCA!G$3:G$593,"",0,1))</f>
        <v>4636.9949999999999</v>
      </c>
    </row>
    <row r="449" spans="1:24" ht="13.2">
      <c r="A449" s="49"/>
      <c r="B449" s="49"/>
      <c r="C449" s="48"/>
      <c r="D449" s="49"/>
      <c r="E449" s="50"/>
      <c r="F449" s="26" t="s">
        <v>884</v>
      </c>
      <c r="G449" s="26" t="s">
        <v>885</v>
      </c>
      <c r="H449" s="27">
        <f t="shared" si="219"/>
        <v>7255.875</v>
      </c>
      <c r="I449" s="27">
        <f t="shared" si="219"/>
        <v>9422.39</v>
      </c>
      <c r="J449" s="27">
        <f t="shared" si="219"/>
        <v>10314.579</v>
      </c>
      <c r="K449" s="27">
        <f t="shared" si="220"/>
        <v>8997.6146666666664</v>
      </c>
      <c r="L449" s="65"/>
      <c r="M449" s="67">
        <f t="shared" si="221"/>
        <v>0</v>
      </c>
      <c r="N449" s="65" t="str">
        <f t="shared" si="193"/>
        <v/>
      </c>
      <c r="O449" s="65" t="str">
        <f t="shared" si="222"/>
        <v/>
      </c>
      <c r="P449" s="65" t="str">
        <f t="shared" si="222"/>
        <v/>
      </c>
      <c r="Q449" s="38"/>
      <c r="R449" s="3" t="str">
        <f t="shared" si="223"/>
        <v>Nagapattinam</v>
      </c>
      <c r="S449" s="3" t="str">
        <f t="shared" si="192"/>
        <v>Thirukkuvalai</v>
      </c>
      <c r="T449" s="3" t="str">
        <f t="shared" si="192"/>
        <v>Thalainayar</v>
      </c>
      <c r="U449" s="3" t="str">
        <f t="shared" si="203"/>
        <v>Nagapattinam_Thirukkuvalai_Thalainayar</v>
      </c>
      <c r="V449" s="3">
        <f>IF(_xlfn.XLOOKUP($U449,GCA!$H$3:$H$593,GCA!E$3:E$593,"",0,1)="","",_xlfn.XLOOKUP($U449,GCA!$H$3:$H$593,GCA!E$3:E$593,"",0,1))</f>
        <v>7255.875</v>
      </c>
      <c r="W449" s="3">
        <f>IF(_xlfn.XLOOKUP($U449,GCA!$H$3:$H$593,GCA!F$3:F$593,"",0,1)="","",_xlfn.XLOOKUP($U449,GCA!$H$3:$H$593,GCA!F$3:F$593,"",0,1))</f>
        <v>9422.39</v>
      </c>
      <c r="X449" s="3">
        <f>IF(_xlfn.XLOOKUP($U449,GCA!$H$3:$H$593,GCA!G$3:G$593,"",0,1)="","",_xlfn.XLOOKUP($U449,GCA!$H$3:$H$593,GCA!G$3:G$593,"",0,1))</f>
        <v>10314.579</v>
      </c>
    </row>
    <row r="450" spans="1:24" ht="13.2">
      <c r="A450" s="49"/>
      <c r="B450" s="49"/>
      <c r="C450" s="48"/>
      <c r="D450" s="49"/>
      <c r="E450" s="50"/>
      <c r="F450" s="26" t="s">
        <v>886</v>
      </c>
      <c r="G450" s="26" t="s">
        <v>885</v>
      </c>
      <c r="H450" s="27">
        <f t="shared" si="219"/>
        <v>7170.6030000000001</v>
      </c>
      <c r="I450" s="27">
        <f t="shared" si="219"/>
        <v>9164.49</v>
      </c>
      <c r="J450" s="27">
        <f t="shared" si="219"/>
        <v>8878.0949999999993</v>
      </c>
      <c r="K450" s="27">
        <f t="shared" si="220"/>
        <v>8404.3960000000006</v>
      </c>
      <c r="L450" s="65"/>
      <c r="M450" s="67">
        <f t="shared" si="221"/>
        <v>0</v>
      </c>
      <c r="N450" s="65" t="str">
        <f t="shared" si="193"/>
        <v/>
      </c>
      <c r="O450" s="65" t="str">
        <f t="shared" si="222"/>
        <v/>
      </c>
      <c r="P450" s="65" t="str">
        <f t="shared" si="222"/>
        <v/>
      </c>
      <c r="Q450" s="38"/>
      <c r="R450" s="3" t="str">
        <f t="shared" si="223"/>
        <v>Nagapattinam</v>
      </c>
      <c r="S450" s="3" t="str">
        <f t="shared" si="192"/>
        <v>Vedaranyam</v>
      </c>
      <c r="T450" s="3" t="str">
        <f t="shared" si="192"/>
        <v>Thalainayar</v>
      </c>
      <c r="U450" s="3" t="str">
        <f t="shared" si="203"/>
        <v>Nagapattinam_Vedaranyam_Thalainayar</v>
      </c>
      <c r="V450" s="3">
        <f>IF(_xlfn.XLOOKUP($U450,GCA!$H$3:$H$593,GCA!E$3:E$593,"",0,1)="","",_xlfn.XLOOKUP($U450,GCA!$H$3:$H$593,GCA!E$3:E$593,"",0,1))</f>
        <v>7170.6030000000001</v>
      </c>
      <c r="W450" s="3">
        <f>IF(_xlfn.XLOOKUP($U450,GCA!$H$3:$H$593,GCA!F$3:F$593,"",0,1)="","",_xlfn.XLOOKUP($U450,GCA!$H$3:$H$593,GCA!F$3:F$593,"",0,1))</f>
        <v>9164.49</v>
      </c>
      <c r="X450" s="3">
        <f>IF(_xlfn.XLOOKUP($U450,GCA!$H$3:$H$593,GCA!G$3:G$593,"",0,1)="","",_xlfn.XLOOKUP($U450,GCA!$H$3:$H$593,GCA!G$3:G$593,"",0,1))</f>
        <v>8878.0949999999993</v>
      </c>
    </row>
    <row r="451" spans="1:24" ht="13.2">
      <c r="A451" s="49"/>
      <c r="B451" s="49"/>
      <c r="C451" s="48"/>
      <c r="D451" s="49"/>
      <c r="E451" s="50"/>
      <c r="F451" s="26" t="s">
        <v>886</v>
      </c>
      <c r="G451" s="26" t="s">
        <v>886</v>
      </c>
      <c r="H451" s="27">
        <f t="shared" si="219"/>
        <v>25733.712</v>
      </c>
      <c r="I451" s="27">
        <f t="shared" si="219"/>
        <v>28254.47</v>
      </c>
      <c r="J451" s="27">
        <f t="shared" si="219"/>
        <v>26256.745999999999</v>
      </c>
      <c r="K451" s="27">
        <f t="shared" si="220"/>
        <v>26748.309333333335</v>
      </c>
      <c r="L451" s="65"/>
      <c r="M451" s="67">
        <f t="shared" si="221"/>
        <v>0</v>
      </c>
      <c r="N451" s="65" t="str">
        <f t="shared" si="193"/>
        <v/>
      </c>
      <c r="O451" s="65" t="str">
        <f t="shared" si="222"/>
        <v/>
      </c>
      <c r="P451" s="65" t="str">
        <f t="shared" si="222"/>
        <v/>
      </c>
      <c r="Q451" s="38"/>
      <c r="R451" s="3" t="str">
        <f t="shared" si="223"/>
        <v>Nagapattinam</v>
      </c>
      <c r="S451" s="3" t="str">
        <f t="shared" si="192"/>
        <v>Vedaranyam</v>
      </c>
      <c r="T451" s="3" t="str">
        <f t="shared" si="192"/>
        <v>Vedaranyam</v>
      </c>
      <c r="U451" s="3" t="str">
        <f t="shared" si="203"/>
        <v>Nagapattinam_Vedaranyam_Vedaranyam</v>
      </c>
      <c r="V451" s="3">
        <f>IF(_xlfn.XLOOKUP($U451,GCA!$H$3:$H$593,GCA!E$3:E$593,"",0,1)="","",_xlfn.XLOOKUP($U451,GCA!$H$3:$H$593,GCA!E$3:E$593,"",0,1))</f>
        <v>25733.712</v>
      </c>
      <c r="W451" s="3">
        <f>IF(_xlfn.XLOOKUP($U451,GCA!$H$3:$H$593,GCA!F$3:F$593,"",0,1)="","",_xlfn.XLOOKUP($U451,GCA!$H$3:$H$593,GCA!F$3:F$593,"",0,1))</f>
        <v>28254.47</v>
      </c>
      <c r="X451" s="3">
        <f>IF(_xlfn.XLOOKUP($U451,GCA!$H$3:$H$593,GCA!G$3:G$593,"",0,1)="","",_xlfn.XLOOKUP($U451,GCA!$H$3:$H$593,GCA!G$3:G$593,"",0,1))</f>
        <v>26256.745999999999</v>
      </c>
    </row>
    <row r="452" spans="1:24" ht="13.2">
      <c r="A452" s="49"/>
      <c r="B452" s="49"/>
      <c r="C452" s="48"/>
      <c r="D452" s="49"/>
      <c r="E452" s="47" t="s">
        <v>564</v>
      </c>
      <c r="F452" s="47"/>
      <c r="G452" s="47"/>
      <c r="H452" s="29">
        <f t="shared" ref="H452:P452" si="224">SUM(H443:H451)</f>
        <v>115608.44200000001</v>
      </c>
      <c r="I452" s="29">
        <f t="shared" si="224"/>
        <v>127833.478</v>
      </c>
      <c r="J452" s="29">
        <f t="shared" si="224"/>
        <v>131687.641</v>
      </c>
      <c r="K452" s="29">
        <f t="shared" si="224"/>
        <v>125043.18700000001</v>
      </c>
      <c r="L452" s="29">
        <f t="shared" si="224"/>
        <v>125043.18700000001</v>
      </c>
      <c r="M452" s="30">
        <f t="shared" si="224"/>
        <v>5.2485671703688723</v>
      </c>
      <c r="N452" s="31">
        <f t="shared" si="224"/>
        <v>5</v>
      </c>
      <c r="O452" s="31">
        <f t="shared" si="224"/>
        <v>5</v>
      </c>
      <c r="P452" s="31">
        <f t="shared" si="224"/>
        <v>5</v>
      </c>
      <c r="Q452" s="38"/>
      <c r="R452" s="3" t="str">
        <f t="shared" si="223"/>
        <v>Nagapattinam</v>
      </c>
      <c r="S452" s="3">
        <f t="shared" si="192"/>
        <v>0</v>
      </c>
      <c r="T452" s="3">
        <f t="shared" si="192"/>
        <v>0</v>
      </c>
      <c r="U452" s="3" t="str">
        <f t="shared" si="203"/>
        <v>Nagapattinam_0_0</v>
      </c>
      <c r="V452" s="3" t="str">
        <f>IF(_xlfn.XLOOKUP($U452,GCA!$H$3:$H$593,GCA!E$3:E$593,"",0,1)="","",_xlfn.XLOOKUP($U452,GCA!$H$3:$H$593,GCA!E$3:E$593,"",0,1))</f>
        <v/>
      </c>
      <c r="W452" s="3" t="str">
        <f>IF(_xlfn.XLOOKUP($U452,GCA!$H$3:$H$593,GCA!F$3:F$593,"",0,1)="","",_xlfn.XLOOKUP($U452,GCA!$H$3:$H$593,GCA!F$3:F$593,"",0,1))</f>
        <v/>
      </c>
      <c r="X452" s="3" t="str">
        <f>IF(_xlfn.XLOOKUP($U452,GCA!$H$3:$H$593,GCA!G$3:G$593,"",0,1)="","",_xlfn.XLOOKUP($U452,GCA!$H$3:$H$593,GCA!G$3:G$593,"",0,1))</f>
        <v/>
      </c>
    </row>
    <row r="453" spans="1:24" ht="13.2">
      <c r="A453" s="49"/>
      <c r="B453" s="49"/>
      <c r="C453" s="48" t="s">
        <v>243</v>
      </c>
      <c r="D453" s="49" t="s">
        <v>549</v>
      </c>
      <c r="E453" s="50">
        <v>1</v>
      </c>
      <c r="F453" s="26" t="s">
        <v>887</v>
      </c>
      <c r="G453" s="26" t="s">
        <v>887</v>
      </c>
      <c r="H453" s="27">
        <f t="shared" ref="H453:J474" si="225">V453</f>
        <v>18895.54</v>
      </c>
      <c r="I453" s="27">
        <f t="shared" si="225"/>
        <v>20038.264999999999</v>
      </c>
      <c r="J453" s="27">
        <f t="shared" si="225"/>
        <v>24237.4</v>
      </c>
      <c r="K453" s="27">
        <f t="shared" ref="K453:K474" si="226">IFERROR(AVERAGE(H453:J453),"")</f>
        <v>21057.068333333333</v>
      </c>
      <c r="L453" s="65">
        <f>SUM(K453:K458)</f>
        <v>51734.763333333329</v>
      </c>
      <c r="M453" s="67">
        <f t="shared" ref="M453:M462" si="227">L453*$L$643/$L$642</f>
        <v>2.1715167928192409</v>
      </c>
      <c r="N453" s="65">
        <f t="shared" si="193"/>
        <v>2</v>
      </c>
      <c r="O453" s="65">
        <f t="shared" ref="O453:P462" si="228">N453</f>
        <v>2</v>
      </c>
      <c r="P453" s="65">
        <f t="shared" si="228"/>
        <v>2</v>
      </c>
      <c r="Q453" s="38"/>
      <c r="R453" s="3" t="str">
        <f t="shared" si="209"/>
        <v>Thiruvarur</v>
      </c>
      <c r="S453" s="3" t="str">
        <f t="shared" si="192"/>
        <v>Kodavasal</v>
      </c>
      <c r="T453" s="3" t="str">
        <f t="shared" si="192"/>
        <v>Kodavasal</v>
      </c>
      <c r="U453" s="3" t="str">
        <f t="shared" si="203"/>
        <v>Thiruvarur_Kodavasal_Kodavasal</v>
      </c>
      <c r="V453" s="3">
        <f>IF(_xlfn.XLOOKUP($U453,GCA!$H$3:$H$593,GCA!E$3:E$593,"",0,1)="","",_xlfn.XLOOKUP($U453,GCA!$H$3:$H$593,GCA!E$3:E$593,"",0,1))</f>
        <v>18895.54</v>
      </c>
      <c r="W453" s="3">
        <f>IF(_xlfn.XLOOKUP($U453,GCA!$H$3:$H$593,GCA!F$3:F$593,"",0,1)="","",_xlfn.XLOOKUP($U453,GCA!$H$3:$H$593,GCA!F$3:F$593,"",0,1))</f>
        <v>20038.264999999999</v>
      </c>
      <c r="X453" s="3">
        <f>IF(_xlfn.XLOOKUP($U453,GCA!$H$3:$H$593,GCA!G$3:G$593,"",0,1)="","",_xlfn.XLOOKUP($U453,GCA!$H$3:$H$593,GCA!G$3:G$593,"",0,1))</f>
        <v>24237.4</v>
      </c>
    </row>
    <row r="454" spans="1:24" ht="13.2">
      <c r="A454" s="49"/>
      <c r="B454" s="49"/>
      <c r="C454" s="48"/>
      <c r="D454" s="49"/>
      <c r="E454" s="50"/>
      <c r="F454" s="26" t="s">
        <v>887</v>
      </c>
      <c r="G454" s="26" t="s">
        <v>888</v>
      </c>
      <c r="H454" s="27">
        <f t="shared" si="225"/>
        <v>3927.65</v>
      </c>
      <c r="I454" s="27">
        <f t="shared" si="225"/>
        <v>3960.75</v>
      </c>
      <c r="J454" s="27">
        <f t="shared" si="225"/>
        <v>4944.2950000000001</v>
      </c>
      <c r="K454" s="27">
        <f t="shared" si="226"/>
        <v>4277.5649999999996</v>
      </c>
      <c r="L454" s="65"/>
      <c r="M454" s="67">
        <f t="shared" si="227"/>
        <v>0</v>
      </c>
      <c r="N454" s="65" t="str">
        <f t="shared" si="193"/>
        <v/>
      </c>
      <c r="O454" s="65" t="str">
        <f t="shared" si="228"/>
        <v/>
      </c>
      <c r="P454" s="65" t="str">
        <f t="shared" si="228"/>
        <v/>
      </c>
      <c r="Q454" s="38"/>
      <c r="R454" s="3" t="str">
        <f t="shared" ref="R454:R475" si="229">R453</f>
        <v>Thiruvarur</v>
      </c>
      <c r="S454" s="3" t="str">
        <f t="shared" si="192"/>
        <v>Kodavasal</v>
      </c>
      <c r="T454" s="3" t="str">
        <f t="shared" si="192"/>
        <v>Koradacheri</v>
      </c>
      <c r="U454" s="3" t="str">
        <f t="shared" si="203"/>
        <v>Thiruvarur_Kodavasal_Koradacheri</v>
      </c>
      <c r="V454" s="3">
        <f>IF(_xlfn.XLOOKUP($U454,GCA!$H$3:$H$593,GCA!E$3:E$593,"",0,1)="","",_xlfn.XLOOKUP($U454,GCA!$H$3:$H$593,GCA!E$3:E$593,"",0,1))</f>
        <v>3927.65</v>
      </c>
      <c r="W454" s="3">
        <f>IF(_xlfn.XLOOKUP($U454,GCA!$H$3:$H$593,GCA!F$3:F$593,"",0,1)="","",_xlfn.XLOOKUP($U454,GCA!$H$3:$H$593,GCA!F$3:F$593,"",0,1))</f>
        <v>3960.75</v>
      </c>
      <c r="X454" s="3">
        <f>IF(_xlfn.XLOOKUP($U454,GCA!$H$3:$H$593,GCA!G$3:G$593,"",0,1)="","",_xlfn.XLOOKUP($U454,GCA!$H$3:$H$593,GCA!G$3:G$593,"",0,1))</f>
        <v>4944.2950000000001</v>
      </c>
    </row>
    <row r="455" spans="1:24" ht="13.2">
      <c r="A455" s="49"/>
      <c r="B455" s="49"/>
      <c r="C455" s="48"/>
      <c r="D455" s="49"/>
      <c r="E455" s="50"/>
      <c r="F455" s="26" t="s">
        <v>889</v>
      </c>
      <c r="G455" s="26" t="s">
        <v>888</v>
      </c>
      <c r="H455" s="27">
        <f t="shared" si="225"/>
        <v>6109.61</v>
      </c>
      <c r="I455" s="27">
        <f t="shared" si="225"/>
        <v>5891.65</v>
      </c>
      <c r="J455" s="27">
        <f t="shared" si="225"/>
        <v>7268.0150000000003</v>
      </c>
      <c r="K455" s="27">
        <f t="shared" si="226"/>
        <v>6423.0916666666662</v>
      </c>
      <c r="L455" s="65"/>
      <c r="M455" s="67">
        <f t="shared" si="227"/>
        <v>0</v>
      </c>
      <c r="N455" s="65" t="str">
        <f t="shared" si="193"/>
        <v/>
      </c>
      <c r="O455" s="65" t="str">
        <f t="shared" si="228"/>
        <v/>
      </c>
      <c r="P455" s="65" t="str">
        <f t="shared" si="228"/>
        <v/>
      </c>
      <c r="Q455" s="38"/>
      <c r="R455" s="3" t="str">
        <f t="shared" si="229"/>
        <v>Thiruvarur</v>
      </c>
      <c r="S455" s="3" t="str">
        <f t="shared" si="192"/>
        <v>Koothanallur</v>
      </c>
      <c r="T455" s="3" t="str">
        <f t="shared" si="192"/>
        <v>Koradacheri</v>
      </c>
      <c r="U455" s="3" t="str">
        <f t="shared" si="203"/>
        <v>Thiruvarur_Koothanallur_Koradacheri</v>
      </c>
      <c r="V455" s="3">
        <f>IF(_xlfn.XLOOKUP($U455,GCA!$H$3:$H$593,GCA!E$3:E$593,"",0,1)="","",_xlfn.XLOOKUP($U455,GCA!$H$3:$H$593,GCA!E$3:E$593,"",0,1))</f>
        <v>6109.61</v>
      </c>
      <c r="W455" s="3">
        <f>IF(_xlfn.XLOOKUP($U455,GCA!$H$3:$H$593,GCA!F$3:F$593,"",0,1)="","",_xlfn.XLOOKUP($U455,GCA!$H$3:$H$593,GCA!F$3:F$593,"",0,1))</f>
        <v>5891.65</v>
      </c>
      <c r="X455" s="3">
        <f>IF(_xlfn.XLOOKUP($U455,GCA!$H$3:$H$593,GCA!G$3:G$593,"",0,1)="","",_xlfn.XLOOKUP($U455,GCA!$H$3:$H$593,GCA!G$3:G$593,"",0,1))</f>
        <v>7268.0150000000003</v>
      </c>
    </row>
    <row r="456" spans="1:24" ht="13.2">
      <c r="A456" s="49"/>
      <c r="B456" s="49"/>
      <c r="C456" s="48"/>
      <c r="D456" s="49"/>
      <c r="E456" s="50"/>
      <c r="F456" s="26" t="s">
        <v>889</v>
      </c>
      <c r="G456" s="26" t="s">
        <v>890</v>
      </c>
      <c r="H456" s="27">
        <f t="shared" si="225"/>
        <v>2707.13</v>
      </c>
      <c r="I456" s="27">
        <f t="shared" si="225"/>
        <v>3295.67</v>
      </c>
      <c r="J456" s="27">
        <f t="shared" si="225"/>
        <v>3278.8850000000002</v>
      </c>
      <c r="K456" s="27">
        <f t="shared" si="226"/>
        <v>3093.8950000000004</v>
      </c>
      <c r="L456" s="65"/>
      <c r="M456" s="67">
        <f t="shared" si="227"/>
        <v>0</v>
      </c>
      <c r="N456" s="65" t="str">
        <f t="shared" si="193"/>
        <v/>
      </c>
      <c r="O456" s="65" t="str">
        <f t="shared" si="228"/>
        <v/>
      </c>
      <c r="P456" s="65" t="str">
        <f t="shared" si="228"/>
        <v/>
      </c>
      <c r="Q456" s="38"/>
      <c r="R456" s="3" t="str">
        <f t="shared" si="229"/>
        <v>Thiruvarur</v>
      </c>
      <c r="S456" s="3" t="str">
        <f t="shared" si="192"/>
        <v>Koothanallur</v>
      </c>
      <c r="T456" s="3" t="str">
        <f t="shared" si="192"/>
        <v>Kottur</v>
      </c>
      <c r="U456" s="3" t="str">
        <f t="shared" si="203"/>
        <v>Thiruvarur_Koothanallur_Kottur</v>
      </c>
      <c r="V456" s="3">
        <f>IF(_xlfn.XLOOKUP($U456,GCA!$H$3:$H$593,GCA!E$3:E$593,"",0,1)="","",_xlfn.XLOOKUP($U456,GCA!$H$3:$H$593,GCA!E$3:E$593,"",0,1))</f>
        <v>2707.13</v>
      </c>
      <c r="W456" s="3">
        <f>IF(_xlfn.XLOOKUP($U456,GCA!$H$3:$H$593,GCA!F$3:F$593,"",0,1)="","",_xlfn.XLOOKUP($U456,GCA!$H$3:$H$593,GCA!F$3:F$593,"",0,1))</f>
        <v>3295.67</v>
      </c>
      <c r="X456" s="3">
        <f>IF(_xlfn.XLOOKUP($U456,GCA!$H$3:$H$593,GCA!G$3:G$593,"",0,1)="","",_xlfn.XLOOKUP($U456,GCA!$H$3:$H$593,GCA!G$3:G$593,"",0,1))</f>
        <v>3278.8850000000002</v>
      </c>
    </row>
    <row r="457" spans="1:24" ht="13.2">
      <c r="A457" s="49"/>
      <c r="B457" s="49"/>
      <c r="C457" s="48"/>
      <c r="D457" s="49"/>
      <c r="E457" s="50"/>
      <c r="F457" s="26" t="s">
        <v>889</v>
      </c>
      <c r="G457" s="26" t="s">
        <v>891</v>
      </c>
      <c r="H457" s="27">
        <f t="shared" si="225"/>
        <v>13118.88</v>
      </c>
      <c r="I457" s="27">
        <f t="shared" si="225"/>
        <v>15226.23</v>
      </c>
      <c r="J457" s="27">
        <f t="shared" si="225"/>
        <v>15662.49</v>
      </c>
      <c r="K457" s="27">
        <f t="shared" si="226"/>
        <v>14669.199999999999</v>
      </c>
      <c r="L457" s="65"/>
      <c r="M457" s="67">
        <f t="shared" si="227"/>
        <v>0</v>
      </c>
      <c r="N457" s="65" t="str">
        <f t="shared" si="193"/>
        <v/>
      </c>
      <c r="O457" s="65" t="str">
        <f t="shared" si="228"/>
        <v/>
      </c>
      <c r="P457" s="65" t="str">
        <f t="shared" si="228"/>
        <v/>
      </c>
      <c r="Q457" s="38"/>
      <c r="R457" s="3" t="str">
        <f t="shared" si="229"/>
        <v>Thiruvarur</v>
      </c>
      <c r="S457" s="3" t="str">
        <f t="shared" si="192"/>
        <v>Koothanallur</v>
      </c>
      <c r="T457" s="3" t="str">
        <f t="shared" si="192"/>
        <v>Mannargudi</v>
      </c>
      <c r="U457" s="3" t="str">
        <f t="shared" si="203"/>
        <v>Thiruvarur_Koothanallur_Mannargudi</v>
      </c>
      <c r="V457" s="3">
        <f>IF(_xlfn.XLOOKUP($U457,GCA!$H$3:$H$593,GCA!E$3:E$593,"",0,1)="","",_xlfn.XLOOKUP($U457,GCA!$H$3:$H$593,GCA!E$3:E$593,"",0,1))</f>
        <v>13118.88</v>
      </c>
      <c r="W457" s="3">
        <f>IF(_xlfn.XLOOKUP($U457,GCA!$H$3:$H$593,GCA!F$3:F$593,"",0,1)="","",_xlfn.XLOOKUP($U457,GCA!$H$3:$H$593,GCA!F$3:F$593,"",0,1))</f>
        <v>15226.23</v>
      </c>
      <c r="X457" s="3">
        <f>IF(_xlfn.XLOOKUP($U457,GCA!$H$3:$H$593,GCA!G$3:G$593,"",0,1)="","",_xlfn.XLOOKUP($U457,GCA!$H$3:$H$593,GCA!G$3:G$593,"",0,1))</f>
        <v>15662.49</v>
      </c>
    </row>
    <row r="458" spans="1:24" ht="13.2">
      <c r="A458" s="49"/>
      <c r="B458" s="49"/>
      <c r="C458" s="48"/>
      <c r="D458" s="49"/>
      <c r="E458" s="50"/>
      <c r="F458" s="26" t="s">
        <v>889</v>
      </c>
      <c r="G458" s="26" t="s">
        <v>892</v>
      </c>
      <c r="H458" s="27">
        <f t="shared" si="225"/>
        <v>1811.44</v>
      </c>
      <c r="I458" s="27">
        <f t="shared" si="225"/>
        <v>2403.9899999999998</v>
      </c>
      <c r="J458" s="27">
        <f t="shared" si="225"/>
        <v>2426.4</v>
      </c>
      <c r="K458" s="27">
        <f t="shared" si="226"/>
        <v>2213.9433333333332</v>
      </c>
      <c r="L458" s="65"/>
      <c r="M458" s="67">
        <f t="shared" si="227"/>
        <v>0</v>
      </c>
      <c r="N458" s="65" t="str">
        <f t="shared" si="193"/>
        <v/>
      </c>
      <c r="O458" s="65" t="str">
        <f t="shared" si="228"/>
        <v/>
      </c>
      <c r="P458" s="65" t="str">
        <f t="shared" si="228"/>
        <v/>
      </c>
      <c r="Q458" s="38"/>
      <c r="R458" s="3" t="str">
        <f t="shared" si="229"/>
        <v>Thiruvarur</v>
      </c>
      <c r="S458" s="3" t="str">
        <f t="shared" si="192"/>
        <v>Koothanallur</v>
      </c>
      <c r="T458" s="3" t="str">
        <f t="shared" si="192"/>
        <v>Nidamangalam</v>
      </c>
      <c r="U458" s="3" t="str">
        <f t="shared" si="203"/>
        <v>Thiruvarur_Koothanallur_Nidamangalam</v>
      </c>
      <c r="V458" s="3">
        <f>IF(_xlfn.XLOOKUP($U458,GCA!$H$3:$H$593,GCA!E$3:E$593,"",0,1)="","",_xlfn.XLOOKUP($U458,GCA!$H$3:$H$593,GCA!E$3:E$593,"",0,1))</f>
        <v>1811.44</v>
      </c>
      <c r="W458" s="3">
        <f>IF(_xlfn.XLOOKUP($U458,GCA!$H$3:$H$593,GCA!F$3:F$593,"",0,1)="","",_xlfn.XLOOKUP($U458,GCA!$H$3:$H$593,GCA!F$3:F$593,"",0,1))</f>
        <v>2403.9899999999998</v>
      </c>
      <c r="X458" s="3">
        <f>IF(_xlfn.XLOOKUP($U458,GCA!$H$3:$H$593,GCA!G$3:G$593,"",0,1)="","",_xlfn.XLOOKUP($U458,GCA!$H$3:$H$593,GCA!G$3:G$593,"",0,1))</f>
        <v>2426.4</v>
      </c>
    </row>
    <row r="459" spans="1:24" ht="13.2">
      <c r="A459" s="49"/>
      <c r="B459" s="49"/>
      <c r="C459" s="48"/>
      <c r="D459" s="49"/>
      <c r="E459" s="50">
        <v>2</v>
      </c>
      <c r="F459" s="26" t="s">
        <v>891</v>
      </c>
      <c r="G459" s="26" t="s">
        <v>890</v>
      </c>
      <c r="H459" s="27">
        <f t="shared" si="225"/>
        <v>18950.055</v>
      </c>
      <c r="I459" s="27">
        <f t="shared" si="225"/>
        <v>22949.605</v>
      </c>
      <c r="J459" s="27">
        <f t="shared" si="225"/>
        <v>22017.605</v>
      </c>
      <c r="K459" s="27">
        <f t="shared" si="226"/>
        <v>21305.755000000001</v>
      </c>
      <c r="L459" s="65">
        <f>SUM(K459:K461)</f>
        <v>52984.818333333336</v>
      </c>
      <c r="M459" s="67">
        <f t="shared" si="227"/>
        <v>2.2239866457681705</v>
      </c>
      <c r="N459" s="65">
        <f t="shared" si="193"/>
        <v>2</v>
      </c>
      <c r="O459" s="65">
        <f t="shared" si="228"/>
        <v>2</v>
      </c>
      <c r="P459" s="65">
        <f t="shared" si="228"/>
        <v>2</v>
      </c>
      <c r="Q459" s="38"/>
      <c r="R459" s="3" t="str">
        <f t="shared" si="229"/>
        <v>Thiruvarur</v>
      </c>
      <c r="S459" s="3" t="str">
        <f t="shared" si="192"/>
        <v>Mannargudi</v>
      </c>
      <c r="T459" s="3" t="str">
        <f t="shared" si="192"/>
        <v>Kottur</v>
      </c>
      <c r="U459" s="3" t="str">
        <f t="shared" si="203"/>
        <v>Thiruvarur_Mannargudi_Kottur</v>
      </c>
      <c r="V459" s="3">
        <f>IF(_xlfn.XLOOKUP($U459,GCA!$H$3:$H$593,GCA!E$3:E$593,"",0,1)="","",_xlfn.XLOOKUP($U459,GCA!$H$3:$H$593,GCA!E$3:E$593,"",0,1))</f>
        <v>18950.055</v>
      </c>
      <c r="W459" s="3">
        <f>IF(_xlfn.XLOOKUP($U459,GCA!$H$3:$H$593,GCA!F$3:F$593,"",0,1)="","",_xlfn.XLOOKUP($U459,GCA!$H$3:$H$593,GCA!F$3:F$593,"",0,1))</f>
        <v>22949.605</v>
      </c>
      <c r="X459" s="3">
        <f>IF(_xlfn.XLOOKUP($U459,GCA!$H$3:$H$593,GCA!G$3:G$593,"",0,1)="","",_xlfn.XLOOKUP($U459,GCA!$H$3:$H$593,GCA!G$3:G$593,"",0,1))</f>
        <v>22017.605</v>
      </c>
    </row>
    <row r="460" spans="1:24" ht="13.2">
      <c r="A460" s="49"/>
      <c r="B460" s="49"/>
      <c r="C460" s="48"/>
      <c r="D460" s="49"/>
      <c r="E460" s="50"/>
      <c r="F460" s="26" t="s">
        <v>891</v>
      </c>
      <c r="G460" s="26" t="s">
        <v>891</v>
      </c>
      <c r="H460" s="27">
        <f t="shared" si="225"/>
        <v>24007.436000000002</v>
      </c>
      <c r="I460" s="27">
        <f t="shared" si="225"/>
        <v>22824.77</v>
      </c>
      <c r="J460" s="27">
        <f t="shared" si="225"/>
        <v>23780.76</v>
      </c>
      <c r="K460" s="27">
        <f t="shared" si="226"/>
        <v>23537.655333333332</v>
      </c>
      <c r="L460" s="65"/>
      <c r="M460" s="67">
        <f t="shared" si="227"/>
        <v>0</v>
      </c>
      <c r="N460" s="65" t="str">
        <f t="shared" si="193"/>
        <v/>
      </c>
      <c r="O460" s="65" t="str">
        <f t="shared" si="228"/>
        <v/>
      </c>
      <c r="P460" s="65" t="str">
        <f t="shared" si="228"/>
        <v/>
      </c>
      <c r="Q460" s="38"/>
      <c r="R460" s="3" t="str">
        <f>R459</f>
        <v>Thiruvarur</v>
      </c>
      <c r="S460" s="3" t="str">
        <f t="shared" si="192"/>
        <v>Mannargudi</v>
      </c>
      <c r="T460" s="3" t="str">
        <f t="shared" si="192"/>
        <v>Mannargudi</v>
      </c>
      <c r="U460" s="3" t="str">
        <f t="shared" si="203"/>
        <v>Thiruvarur_Mannargudi_Mannargudi</v>
      </c>
      <c r="V460" s="3">
        <f>IF(_xlfn.XLOOKUP($U460,GCA!$H$3:$H$593,GCA!E$3:E$593,"",0,1)="","",_xlfn.XLOOKUP($U460,GCA!$H$3:$H$593,GCA!E$3:E$593,"",0,1))</f>
        <v>24007.436000000002</v>
      </c>
      <c r="W460" s="3">
        <f>IF(_xlfn.XLOOKUP($U460,GCA!$H$3:$H$593,GCA!F$3:F$593,"",0,1)="","",_xlfn.XLOOKUP($U460,GCA!$H$3:$H$593,GCA!F$3:F$593,"",0,1))</f>
        <v>22824.77</v>
      </c>
      <c r="X460" s="3">
        <f>IF(_xlfn.XLOOKUP($U460,GCA!$H$3:$H$593,GCA!G$3:G$593,"",0,1)="","",_xlfn.XLOOKUP($U460,GCA!$H$3:$H$593,GCA!G$3:G$593,"",0,1))</f>
        <v>23780.76</v>
      </c>
    </row>
    <row r="461" spans="1:24" ht="13.2">
      <c r="A461" s="49"/>
      <c r="B461" s="49"/>
      <c r="C461" s="48"/>
      <c r="D461" s="49"/>
      <c r="E461" s="50"/>
      <c r="F461" s="26" t="s">
        <v>891</v>
      </c>
      <c r="G461" s="26" t="s">
        <v>892</v>
      </c>
      <c r="H461" s="27">
        <f t="shared" si="225"/>
        <v>7820.1149999999998</v>
      </c>
      <c r="I461" s="27">
        <f t="shared" si="225"/>
        <v>8024.585</v>
      </c>
      <c r="J461" s="27">
        <f t="shared" si="225"/>
        <v>8579.5239999999994</v>
      </c>
      <c r="K461" s="27">
        <f t="shared" si="226"/>
        <v>8141.4080000000004</v>
      </c>
      <c r="L461" s="65"/>
      <c r="M461" s="67">
        <f t="shared" si="227"/>
        <v>0</v>
      </c>
      <c r="N461" s="65" t="str">
        <f t="shared" si="193"/>
        <v/>
      </c>
      <c r="O461" s="65" t="str">
        <f t="shared" si="228"/>
        <v/>
      </c>
      <c r="P461" s="65" t="str">
        <f t="shared" si="228"/>
        <v/>
      </c>
      <c r="Q461" s="38"/>
      <c r="R461" s="3" t="str">
        <f t="shared" si="229"/>
        <v>Thiruvarur</v>
      </c>
      <c r="S461" s="3" t="str">
        <f t="shared" si="192"/>
        <v>Mannargudi</v>
      </c>
      <c r="T461" s="3" t="str">
        <f t="shared" si="192"/>
        <v>Nidamangalam</v>
      </c>
      <c r="U461" s="3" t="str">
        <f t="shared" si="203"/>
        <v>Thiruvarur_Mannargudi_Nidamangalam</v>
      </c>
      <c r="V461" s="3">
        <f>IF(_xlfn.XLOOKUP($U461,GCA!$H$3:$H$593,GCA!E$3:E$593,"",0,1)="","",_xlfn.XLOOKUP($U461,GCA!$H$3:$H$593,GCA!E$3:E$593,"",0,1))</f>
        <v>7820.1149999999998</v>
      </c>
      <c r="W461" s="3">
        <f>IF(_xlfn.XLOOKUP($U461,GCA!$H$3:$H$593,GCA!F$3:F$593,"",0,1)="","",_xlfn.XLOOKUP($U461,GCA!$H$3:$H$593,GCA!F$3:F$593,"",0,1))</f>
        <v>8024.585</v>
      </c>
      <c r="X461" s="3">
        <f>IF(_xlfn.XLOOKUP($U461,GCA!$H$3:$H$593,GCA!G$3:G$593,"",0,1)="","",_xlfn.XLOOKUP($U461,GCA!$H$3:$H$593,GCA!G$3:G$593,"",0,1))</f>
        <v>8579.5239999999994</v>
      </c>
    </row>
    <row r="462" spans="1:24" ht="13.2">
      <c r="A462" s="49"/>
      <c r="B462" s="49"/>
      <c r="C462" s="48"/>
      <c r="D462" s="49"/>
      <c r="E462" s="50">
        <v>3</v>
      </c>
      <c r="F462" s="26" t="s">
        <v>893</v>
      </c>
      <c r="G462" s="26" t="s">
        <v>887</v>
      </c>
      <c r="H462" s="27">
        <f t="shared" si="225"/>
        <v>4609.33</v>
      </c>
      <c r="I462" s="27">
        <f t="shared" si="225"/>
        <v>4445.88</v>
      </c>
      <c r="J462" s="27">
        <f t="shared" si="225"/>
        <v>4907.68</v>
      </c>
      <c r="K462" s="27">
        <f t="shared" si="226"/>
        <v>4654.2966666666662</v>
      </c>
      <c r="L462" s="65">
        <f>SUM(K462:K466)</f>
        <v>63658.367999999995</v>
      </c>
      <c r="M462" s="67">
        <f t="shared" si="227"/>
        <v>2.6719985984047279</v>
      </c>
      <c r="N462" s="65">
        <f t="shared" si="193"/>
        <v>3</v>
      </c>
      <c r="O462" s="65">
        <f t="shared" si="228"/>
        <v>3</v>
      </c>
      <c r="P462" s="65">
        <f t="shared" si="228"/>
        <v>3</v>
      </c>
      <c r="Q462" s="38"/>
      <c r="R462" s="3" t="str">
        <f t="shared" si="229"/>
        <v>Thiruvarur</v>
      </c>
      <c r="S462" s="3" t="str">
        <f t="shared" si="192"/>
        <v>Nannilam</v>
      </c>
      <c r="T462" s="3" t="str">
        <f t="shared" si="192"/>
        <v>Kodavasal</v>
      </c>
      <c r="U462" s="3" t="str">
        <f t="shared" si="203"/>
        <v>Thiruvarur_Nannilam_Kodavasal</v>
      </c>
      <c r="V462" s="3">
        <f>IF(_xlfn.XLOOKUP($U462,GCA!$H$3:$H$593,GCA!E$3:E$593,"",0,1)="","",_xlfn.XLOOKUP($U462,GCA!$H$3:$H$593,GCA!E$3:E$593,"",0,1))</f>
        <v>4609.33</v>
      </c>
      <c r="W462" s="3">
        <f>IF(_xlfn.XLOOKUP($U462,GCA!$H$3:$H$593,GCA!F$3:F$593,"",0,1)="","",_xlfn.XLOOKUP($U462,GCA!$H$3:$H$593,GCA!F$3:F$593,"",0,1))</f>
        <v>4445.88</v>
      </c>
      <c r="X462" s="3">
        <f>IF(_xlfn.XLOOKUP($U462,GCA!$H$3:$H$593,GCA!G$3:G$593,"",0,1)="","",_xlfn.XLOOKUP($U462,GCA!$H$3:$H$593,GCA!G$3:G$593,"",0,1))</f>
        <v>4907.68</v>
      </c>
    </row>
    <row r="463" spans="1:24" ht="13.2">
      <c r="A463" s="49"/>
      <c r="B463" s="49"/>
      <c r="C463" s="48"/>
      <c r="D463" s="49"/>
      <c r="E463" s="50"/>
      <c r="F463" s="26" t="s">
        <v>893</v>
      </c>
      <c r="G463" s="26" t="s">
        <v>888</v>
      </c>
      <c r="H463" s="27">
        <f t="shared" si="225"/>
        <v>1903.25</v>
      </c>
      <c r="I463" s="27">
        <f t="shared" si="225"/>
        <v>1877.105</v>
      </c>
      <c r="J463" s="27">
        <f t="shared" si="225"/>
        <v>1773.9849999999999</v>
      </c>
      <c r="K463" s="27">
        <f t="shared" si="226"/>
        <v>1851.4466666666667</v>
      </c>
      <c r="L463" s="65"/>
      <c r="M463" s="67"/>
      <c r="N463" s="65"/>
      <c r="O463" s="65"/>
      <c r="P463" s="65"/>
      <c r="Q463" s="38"/>
      <c r="R463" s="3" t="str">
        <f>R460</f>
        <v>Thiruvarur</v>
      </c>
      <c r="S463" s="3" t="str">
        <f t="shared" si="192"/>
        <v>Nannilam</v>
      </c>
      <c r="T463" s="3" t="str">
        <f t="shared" si="192"/>
        <v>Koradacheri</v>
      </c>
      <c r="U463" s="3" t="str">
        <f t="shared" si="203"/>
        <v>Thiruvarur_Nannilam_Koradacheri</v>
      </c>
      <c r="V463" s="3">
        <f>IF(_xlfn.XLOOKUP($U463,GCA!$H$3:$H$593,GCA!E$3:E$593,"",0,1)="","",_xlfn.XLOOKUP($U463,GCA!$H$3:$H$593,GCA!E$3:E$593,"",0,1))</f>
        <v>1903.25</v>
      </c>
      <c r="W463" s="3">
        <f>IF(_xlfn.XLOOKUP($U463,GCA!$H$3:$H$593,GCA!F$3:F$593,"",0,1)="","",_xlfn.XLOOKUP($U463,GCA!$H$3:$H$593,GCA!F$3:F$593,"",0,1))</f>
        <v>1877.105</v>
      </c>
      <c r="X463" s="3">
        <f>IF(_xlfn.XLOOKUP($U463,GCA!$H$3:$H$593,GCA!G$3:G$593,"",0,1)="","",_xlfn.XLOOKUP($U463,GCA!$H$3:$H$593,GCA!G$3:G$593,"",0,1))</f>
        <v>1773.9849999999999</v>
      </c>
    </row>
    <row r="464" spans="1:24" ht="13.2">
      <c r="A464" s="49"/>
      <c r="B464" s="49"/>
      <c r="C464" s="48"/>
      <c r="D464" s="49"/>
      <c r="E464" s="50"/>
      <c r="F464" s="26" t="s">
        <v>893</v>
      </c>
      <c r="G464" s="26" t="s">
        <v>893</v>
      </c>
      <c r="H464" s="27">
        <f t="shared" si="225"/>
        <v>31828.21</v>
      </c>
      <c r="I464" s="27">
        <f t="shared" si="225"/>
        <v>33664.544999999998</v>
      </c>
      <c r="J464" s="27">
        <f t="shared" si="225"/>
        <v>36153.105000000003</v>
      </c>
      <c r="K464" s="27">
        <f t="shared" si="226"/>
        <v>33881.953333333331</v>
      </c>
      <c r="L464" s="65"/>
      <c r="M464" s="67"/>
      <c r="N464" s="65"/>
      <c r="O464" s="65"/>
      <c r="P464" s="65"/>
      <c r="Q464" s="38"/>
      <c r="R464" s="3" t="str">
        <f t="shared" ref="R464" si="230">R463</f>
        <v>Thiruvarur</v>
      </c>
      <c r="S464" s="3" t="str">
        <f t="shared" si="192"/>
        <v>Nannilam</v>
      </c>
      <c r="T464" s="3" t="str">
        <f t="shared" si="192"/>
        <v>Nannilam</v>
      </c>
      <c r="U464" s="3" t="str">
        <f t="shared" si="203"/>
        <v>Thiruvarur_Nannilam_Nannilam</v>
      </c>
      <c r="V464" s="3">
        <f>IF(_xlfn.XLOOKUP($U464,GCA!$H$3:$H$593,GCA!E$3:E$593,"",0,1)="","",_xlfn.XLOOKUP($U464,GCA!$H$3:$H$593,GCA!E$3:E$593,"",0,1))</f>
        <v>31828.21</v>
      </c>
      <c r="W464" s="3">
        <f>IF(_xlfn.XLOOKUP($U464,GCA!$H$3:$H$593,GCA!F$3:F$593,"",0,1)="","",_xlfn.XLOOKUP($U464,GCA!$H$3:$H$593,GCA!F$3:F$593,"",0,1))</f>
        <v>33664.544999999998</v>
      </c>
      <c r="X464" s="3">
        <f>IF(_xlfn.XLOOKUP($U464,GCA!$H$3:$H$593,GCA!G$3:G$593,"",0,1)="","",_xlfn.XLOOKUP($U464,GCA!$H$3:$H$593,GCA!G$3:G$593,"",0,1))</f>
        <v>36153.105000000003</v>
      </c>
    </row>
    <row r="465" spans="1:24" ht="13.2">
      <c r="A465" s="49"/>
      <c r="B465" s="49"/>
      <c r="C465" s="48"/>
      <c r="D465" s="49"/>
      <c r="E465" s="50"/>
      <c r="F465" s="26" t="s">
        <v>895</v>
      </c>
      <c r="G465" s="26" t="s">
        <v>890</v>
      </c>
      <c r="H465" s="27">
        <f t="shared" si="225"/>
        <v>9923.4009999999998</v>
      </c>
      <c r="I465" s="27">
        <f t="shared" si="225"/>
        <v>12621.594999999999</v>
      </c>
      <c r="J465" s="27">
        <f t="shared" si="225"/>
        <v>11947.157999999999</v>
      </c>
      <c r="K465" s="27">
        <f t="shared" si="226"/>
        <v>11497.384666666665</v>
      </c>
      <c r="L465" s="65"/>
      <c r="M465" s="67">
        <f t="shared" ref="M465:M474" si="231">L465*$L$643/$L$642</f>
        <v>0</v>
      </c>
      <c r="N465" s="65" t="str">
        <f t="shared" si="193"/>
        <v/>
      </c>
      <c r="O465" s="65" t="str">
        <f t="shared" ref="O465:P474" si="232">N465</f>
        <v/>
      </c>
      <c r="P465" s="65" t="str">
        <f t="shared" si="232"/>
        <v/>
      </c>
      <c r="Q465" s="38"/>
      <c r="R465" s="3" t="str">
        <f>R462</f>
        <v>Thiruvarur</v>
      </c>
      <c r="S465" s="3" t="str">
        <f t="shared" si="192"/>
        <v>Muthupet</v>
      </c>
      <c r="T465" s="3" t="str">
        <f t="shared" si="192"/>
        <v>Kottur</v>
      </c>
      <c r="U465" s="3" t="str">
        <f t="shared" si="203"/>
        <v>Thiruvarur_Muthupet_Kottur</v>
      </c>
      <c r="V465" s="3">
        <f>IF(_xlfn.XLOOKUP($U465,GCA!$H$3:$H$593,GCA!E$3:E$593,"",0,1)="","",_xlfn.XLOOKUP($U465,GCA!$H$3:$H$593,GCA!E$3:E$593,"",0,1))</f>
        <v>9923.4009999999998</v>
      </c>
      <c r="W465" s="3">
        <f>IF(_xlfn.XLOOKUP($U465,GCA!$H$3:$H$593,GCA!F$3:F$593,"",0,1)="","",_xlfn.XLOOKUP($U465,GCA!$H$3:$H$593,GCA!F$3:F$593,"",0,1))</f>
        <v>12621.594999999999</v>
      </c>
      <c r="X465" s="3">
        <f>IF(_xlfn.XLOOKUP($U465,GCA!$H$3:$H$593,GCA!G$3:G$593,"",0,1)="","",_xlfn.XLOOKUP($U465,GCA!$H$3:$H$593,GCA!G$3:G$593,"",0,1))</f>
        <v>11947.157999999999</v>
      </c>
    </row>
    <row r="466" spans="1:24" ht="13.2">
      <c r="A466" s="49"/>
      <c r="B466" s="49"/>
      <c r="C466" s="48"/>
      <c r="D466" s="49"/>
      <c r="E466" s="50"/>
      <c r="F466" s="26" t="s">
        <v>895</v>
      </c>
      <c r="G466" s="26" t="s">
        <v>895</v>
      </c>
      <c r="H466" s="27">
        <f t="shared" si="225"/>
        <v>11158.995000000001</v>
      </c>
      <c r="I466" s="27">
        <f t="shared" si="225"/>
        <v>12673.1</v>
      </c>
      <c r="J466" s="27">
        <f t="shared" si="225"/>
        <v>11487.764999999999</v>
      </c>
      <c r="K466" s="27">
        <f t="shared" si="226"/>
        <v>11773.286666666667</v>
      </c>
      <c r="L466" s="65"/>
      <c r="M466" s="67">
        <f t="shared" si="231"/>
        <v>0</v>
      </c>
      <c r="N466" s="65" t="str">
        <f t="shared" si="193"/>
        <v/>
      </c>
      <c r="O466" s="65" t="str">
        <f t="shared" si="232"/>
        <v/>
      </c>
      <c r="P466" s="65" t="str">
        <f t="shared" si="232"/>
        <v/>
      </c>
      <c r="Q466" s="38"/>
      <c r="R466" s="3" t="str">
        <f t="shared" si="229"/>
        <v>Thiruvarur</v>
      </c>
      <c r="S466" s="3" t="str">
        <f t="shared" si="192"/>
        <v>Muthupet</v>
      </c>
      <c r="T466" s="3" t="str">
        <f t="shared" si="192"/>
        <v>Muthupet</v>
      </c>
      <c r="U466" s="3" t="str">
        <f t="shared" si="203"/>
        <v>Thiruvarur_Muthupet_Muthupet</v>
      </c>
      <c r="V466" s="3">
        <f>IF(_xlfn.XLOOKUP($U466,GCA!$H$3:$H$593,GCA!E$3:E$593,"",0,1)="","",_xlfn.XLOOKUP($U466,GCA!$H$3:$H$593,GCA!E$3:E$593,"",0,1))</f>
        <v>11158.995000000001</v>
      </c>
      <c r="W466" s="3">
        <f>IF(_xlfn.XLOOKUP($U466,GCA!$H$3:$H$593,GCA!F$3:F$593,"",0,1)="","",_xlfn.XLOOKUP($U466,GCA!$H$3:$H$593,GCA!F$3:F$593,"",0,1))</f>
        <v>12673.1</v>
      </c>
      <c r="X466" s="3">
        <f>IF(_xlfn.XLOOKUP($U466,GCA!$H$3:$H$593,GCA!G$3:G$593,"",0,1)="","",_xlfn.XLOOKUP($U466,GCA!$H$3:$H$593,GCA!G$3:G$593,"",0,1))</f>
        <v>11487.764999999999</v>
      </c>
    </row>
    <row r="467" spans="1:24" ht="13.2">
      <c r="A467" s="49"/>
      <c r="B467" s="49"/>
      <c r="C467" s="48"/>
      <c r="D467" s="49"/>
      <c r="E467" s="50">
        <v>4</v>
      </c>
      <c r="F467" s="26" t="s">
        <v>892</v>
      </c>
      <c r="G467" s="26" t="s">
        <v>888</v>
      </c>
      <c r="H467" s="27">
        <f t="shared" si="225"/>
        <v>6081.67</v>
      </c>
      <c r="I467" s="27">
        <f t="shared" si="225"/>
        <v>5930.62</v>
      </c>
      <c r="J467" s="27">
        <f t="shared" si="225"/>
        <v>6179.84</v>
      </c>
      <c r="K467" s="27">
        <f t="shared" si="226"/>
        <v>6064.043333333334</v>
      </c>
      <c r="L467" s="65">
        <f>SUM(K467:K470)</f>
        <v>76335.386666666673</v>
      </c>
      <c r="M467" s="67">
        <f t="shared" si="231"/>
        <v>3.2041042299736047</v>
      </c>
      <c r="N467" s="65">
        <f t="shared" si="193"/>
        <v>3</v>
      </c>
      <c r="O467" s="65">
        <f t="shared" si="232"/>
        <v>3</v>
      </c>
      <c r="P467" s="65">
        <f t="shared" si="232"/>
        <v>3</v>
      </c>
      <c r="Q467" s="38"/>
      <c r="R467" s="3" t="str">
        <f t="shared" si="229"/>
        <v>Thiruvarur</v>
      </c>
      <c r="S467" s="3" t="str">
        <f t="shared" si="192"/>
        <v>Nidamangalam</v>
      </c>
      <c r="T467" s="3" t="str">
        <f t="shared" si="192"/>
        <v>Koradacheri</v>
      </c>
      <c r="U467" s="3" t="str">
        <f t="shared" si="203"/>
        <v>Thiruvarur_Nidamangalam_Koradacheri</v>
      </c>
      <c r="V467" s="3">
        <f>IF(_xlfn.XLOOKUP($U467,GCA!$H$3:$H$593,GCA!E$3:E$593,"",0,1)="","",_xlfn.XLOOKUP($U467,GCA!$H$3:$H$593,GCA!E$3:E$593,"",0,1))</f>
        <v>6081.67</v>
      </c>
      <c r="W467" s="3">
        <f>IF(_xlfn.XLOOKUP($U467,GCA!$H$3:$H$593,GCA!F$3:F$593,"",0,1)="","",_xlfn.XLOOKUP($U467,GCA!$H$3:$H$593,GCA!F$3:F$593,"",0,1))</f>
        <v>5930.62</v>
      </c>
      <c r="X467" s="3">
        <f>IF(_xlfn.XLOOKUP($U467,GCA!$H$3:$H$593,GCA!G$3:G$593,"",0,1)="","",_xlfn.XLOOKUP($U467,GCA!$H$3:$H$593,GCA!G$3:G$593,"",0,1))</f>
        <v>6179.84</v>
      </c>
    </row>
    <row r="468" spans="1:24" ht="13.2">
      <c r="A468" s="49"/>
      <c r="B468" s="49"/>
      <c r="C468" s="48"/>
      <c r="D468" s="49"/>
      <c r="E468" s="50"/>
      <c r="F468" s="26" t="s">
        <v>892</v>
      </c>
      <c r="G468" s="26" t="s">
        <v>892</v>
      </c>
      <c r="H468" s="27">
        <f t="shared" si="225"/>
        <v>32859.040000000001</v>
      </c>
      <c r="I468" s="27">
        <f t="shared" si="225"/>
        <v>34479.160000000003</v>
      </c>
      <c r="J468" s="27">
        <f t="shared" si="225"/>
        <v>36676.339999999997</v>
      </c>
      <c r="K468" s="27">
        <f t="shared" si="226"/>
        <v>34671.513333333336</v>
      </c>
      <c r="L468" s="65"/>
      <c r="M468" s="67">
        <f t="shared" si="231"/>
        <v>0</v>
      </c>
      <c r="N468" s="65" t="str">
        <f t="shared" si="193"/>
        <v/>
      </c>
      <c r="O468" s="65" t="str">
        <f t="shared" si="232"/>
        <v/>
      </c>
      <c r="P468" s="65" t="str">
        <f t="shared" si="232"/>
        <v/>
      </c>
      <c r="Q468" s="38"/>
      <c r="R468" s="3" t="str">
        <f t="shared" si="229"/>
        <v>Thiruvarur</v>
      </c>
      <c r="S468" s="3" t="str">
        <f t="shared" si="192"/>
        <v>Nidamangalam</v>
      </c>
      <c r="T468" s="3" t="str">
        <f t="shared" si="192"/>
        <v>Nidamangalam</v>
      </c>
      <c r="U468" s="3" t="str">
        <f t="shared" si="203"/>
        <v>Thiruvarur_Nidamangalam_Nidamangalam</v>
      </c>
      <c r="V468" s="3">
        <f>IF(_xlfn.XLOOKUP($U468,GCA!$H$3:$H$593,GCA!E$3:E$593,"",0,1)="","",_xlfn.XLOOKUP($U468,GCA!$H$3:$H$593,GCA!E$3:E$593,"",0,1))</f>
        <v>32859.040000000001</v>
      </c>
      <c r="W468" s="3">
        <f>IF(_xlfn.XLOOKUP($U468,GCA!$H$3:$H$593,GCA!F$3:F$593,"",0,1)="","",_xlfn.XLOOKUP($U468,GCA!$H$3:$H$593,GCA!F$3:F$593,"",0,1))</f>
        <v>34479.160000000003</v>
      </c>
      <c r="X468" s="3">
        <f>IF(_xlfn.XLOOKUP($U468,GCA!$H$3:$H$593,GCA!G$3:G$593,"",0,1)="","",_xlfn.XLOOKUP($U468,GCA!$H$3:$H$593,GCA!G$3:G$593,"",0,1))</f>
        <v>36676.339999999997</v>
      </c>
    </row>
    <row r="469" spans="1:24" ht="13.2">
      <c r="A469" s="49"/>
      <c r="B469" s="49"/>
      <c r="C469" s="48"/>
      <c r="D469" s="49"/>
      <c r="E469" s="50"/>
      <c r="F469" s="26" t="s">
        <v>894</v>
      </c>
      <c r="G469" s="26" t="s">
        <v>895</v>
      </c>
      <c r="H469" s="27">
        <f t="shared" si="225"/>
        <v>7046.6049999999996</v>
      </c>
      <c r="I469" s="27">
        <f t="shared" si="225"/>
        <v>9653.81</v>
      </c>
      <c r="J469" s="27">
        <f t="shared" si="225"/>
        <v>8089.82</v>
      </c>
      <c r="K469" s="27">
        <f t="shared" si="226"/>
        <v>8263.4116666666669</v>
      </c>
      <c r="L469" s="65"/>
      <c r="M469" s="67">
        <f t="shared" si="231"/>
        <v>0</v>
      </c>
      <c r="N469" s="65" t="str">
        <f t="shared" si="193"/>
        <v/>
      </c>
      <c r="O469" s="65" t="str">
        <f t="shared" si="232"/>
        <v/>
      </c>
      <c r="P469" s="65" t="str">
        <f t="shared" si="232"/>
        <v/>
      </c>
      <c r="Q469" s="38"/>
      <c r="R469" s="3" t="str">
        <f t="shared" si="229"/>
        <v>Thiruvarur</v>
      </c>
      <c r="S469" s="3" t="str">
        <f t="shared" ref="S469:T546" si="233">F469</f>
        <v>Thiruthuraipoondi</v>
      </c>
      <c r="T469" s="3" t="str">
        <f t="shared" si="233"/>
        <v>Muthupet</v>
      </c>
      <c r="U469" s="3" t="str">
        <f t="shared" si="203"/>
        <v>Thiruvarur_Thiruthuraipoondi_Muthupet</v>
      </c>
      <c r="V469" s="3">
        <f>IF(_xlfn.XLOOKUP($U469,GCA!$H$3:$H$593,GCA!E$3:E$593,"",0,1)="","",_xlfn.XLOOKUP($U469,GCA!$H$3:$H$593,GCA!E$3:E$593,"",0,1))</f>
        <v>7046.6049999999996</v>
      </c>
      <c r="W469" s="3">
        <f>IF(_xlfn.XLOOKUP($U469,GCA!$H$3:$H$593,GCA!F$3:F$593,"",0,1)="","",_xlfn.XLOOKUP($U469,GCA!$H$3:$H$593,GCA!F$3:F$593,"",0,1))</f>
        <v>9653.81</v>
      </c>
      <c r="X469" s="3">
        <f>IF(_xlfn.XLOOKUP($U469,GCA!$H$3:$H$593,GCA!G$3:G$593,"",0,1)="","",_xlfn.XLOOKUP($U469,GCA!$H$3:$H$593,GCA!G$3:G$593,"",0,1))</f>
        <v>8089.82</v>
      </c>
    </row>
    <row r="470" spans="1:24" ht="13.2">
      <c r="A470" s="49"/>
      <c r="B470" s="49"/>
      <c r="C470" s="48"/>
      <c r="D470" s="49"/>
      <c r="E470" s="50"/>
      <c r="F470" s="26" t="s">
        <v>894</v>
      </c>
      <c r="G470" s="26" t="s">
        <v>894</v>
      </c>
      <c r="H470" s="27">
        <f t="shared" si="225"/>
        <v>24276.264999999999</v>
      </c>
      <c r="I470" s="27">
        <f t="shared" si="225"/>
        <v>28508.855</v>
      </c>
      <c r="J470" s="27">
        <f t="shared" si="225"/>
        <v>29224.134999999998</v>
      </c>
      <c r="K470" s="27">
        <f t="shared" si="226"/>
        <v>27336.418333333331</v>
      </c>
      <c r="L470" s="65"/>
      <c r="M470" s="67">
        <f t="shared" si="231"/>
        <v>0</v>
      </c>
      <c r="N470" s="65" t="str">
        <f t="shared" si="193"/>
        <v/>
      </c>
      <c r="O470" s="65" t="str">
        <f t="shared" si="232"/>
        <v/>
      </c>
      <c r="P470" s="65" t="str">
        <f t="shared" si="232"/>
        <v/>
      </c>
      <c r="Q470" s="38"/>
      <c r="R470" s="3" t="str">
        <f t="shared" si="229"/>
        <v>Thiruvarur</v>
      </c>
      <c r="S470" s="3" t="str">
        <f t="shared" si="233"/>
        <v>Thiruthuraipoondi</v>
      </c>
      <c r="T470" s="3" t="str">
        <f t="shared" si="233"/>
        <v>Thiruthuraipoondi</v>
      </c>
      <c r="U470" s="3" t="str">
        <f t="shared" si="203"/>
        <v>Thiruvarur_Thiruthuraipoondi_Thiruthuraipoondi</v>
      </c>
      <c r="V470" s="3">
        <f>IF(_xlfn.XLOOKUP($U470,GCA!$H$3:$H$593,GCA!E$3:E$593,"",0,1)="","",_xlfn.XLOOKUP($U470,GCA!$H$3:$H$593,GCA!E$3:E$593,"",0,1))</f>
        <v>24276.264999999999</v>
      </c>
      <c r="W470" s="3">
        <f>IF(_xlfn.XLOOKUP($U470,GCA!$H$3:$H$593,GCA!F$3:F$593,"",0,1)="","",_xlfn.XLOOKUP($U470,GCA!$H$3:$H$593,GCA!F$3:F$593,"",0,1))</f>
        <v>28508.855</v>
      </c>
      <c r="X470" s="3">
        <f>IF(_xlfn.XLOOKUP($U470,GCA!$H$3:$H$593,GCA!G$3:G$593,"",0,1)="","",_xlfn.XLOOKUP($U470,GCA!$H$3:$H$593,GCA!G$3:G$593,"",0,1))</f>
        <v>29224.134999999998</v>
      </c>
    </row>
    <row r="471" spans="1:24" ht="13.2">
      <c r="A471" s="49"/>
      <c r="B471" s="49"/>
      <c r="C471" s="48"/>
      <c r="D471" s="49"/>
      <c r="E471" s="50">
        <v>5</v>
      </c>
      <c r="F471" s="26" t="s">
        <v>896</v>
      </c>
      <c r="G471" s="26" t="s">
        <v>887</v>
      </c>
      <c r="H471" s="27">
        <f t="shared" si="225"/>
        <v>662.65</v>
      </c>
      <c r="I471" s="27">
        <f t="shared" si="225"/>
        <v>754.98</v>
      </c>
      <c r="J471" s="27">
        <f t="shared" si="225"/>
        <v>829.5</v>
      </c>
      <c r="K471" s="27">
        <f t="shared" si="226"/>
        <v>749.04333333333341</v>
      </c>
      <c r="L471" s="65">
        <f>SUM(K471:K474)</f>
        <v>53724.240666666665</v>
      </c>
      <c r="M471" s="67">
        <f t="shared" si="231"/>
        <v>2.2550231850381657</v>
      </c>
      <c r="N471" s="65">
        <f t="shared" si="193"/>
        <v>2</v>
      </c>
      <c r="O471" s="65">
        <f t="shared" si="232"/>
        <v>2</v>
      </c>
      <c r="P471" s="65">
        <f t="shared" si="232"/>
        <v>2</v>
      </c>
      <c r="Q471" s="38"/>
      <c r="R471" s="3" t="str">
        <f t="shared" si="229"/>
        <v>Thiruvarur</v>
      </c>
      <c r="S471" s="3" t="str">
        <f t="shared" si="233"/>
        <v>Tiruvarur</v>
      </c>
      <c r="T471" s="3" t="str">
        <f t="shared" si="233"/>
        <v>Kodavasal</v>
      </c>
      <c r="U471" s="3" t="str">
        <f t="shared" si="203"/>
        <v>Thiruvarur_Tiruvarur_Kodavasal</v>
      </c>
      <c r="V471" s="3">
        <f>IF(_xlfn.XLOOKUP($U471,GCA!$H$3:$H$593,GCA!E$3:E$593,"",0,1)="","",_xlfn.XLOOKUP($U471,GCA!$H$3:$H$593,GCA!E$3:E$593,"",0,1))</f>
        <v>662.65</v>
      </c>
      <c r="W471" s="3">
        <f>IF(_xlfn.XLOOKUP($U471,GCA!$H$3:$H$593,GCA!F$3:F$593,"",0,1)="","",_xlfn.XLOOKUP($U471,GCA!$H$3:$H$593,GCA!F$3:F$593,"",0,1))</f>
        <v>754.98</v>
      </c>
      <c r="X471" s="3">
        <f>IF(_xlfn.XLOOKUP($U471,GCA!$H$3:$H$593,GCA!G$3:G$593,"",0,1)="","",_xlfn.XLOOKUP($U471,GCA!$H$3:$H$593,GCA!G$3:G$593,"",0,1))</f>
        <v>829.5</v>
      </c>
    </row>
    <row r="472" spans="1:24" ht="13.2">
      <c r="A472" s="49"/>
      <c r="B472" s="49"/>
      <c r="C472" s="48"/>
      <c r="D472" s="49"/>
      <c r="E472" s="50"/>
      <c r="F472" s="26" t="s">
        <v>896</v>
      </c>
      <c r="G472" s="26" t="s">
        <v>888</v>
      </c>
      <c r="H472" s="27">
        <f t="shared" si="225"/>
        <v>7659.53</v>
      </c>
      <c r="I472" s="27">
        <f t="shared" si="225"/>
        <v>7781.28</v>
      </c>
      <c r="J472" s="27">
        <f t="shared" si="225"/>
        <v>9160.1</v>
      </c>
      <c r="K472" s="27">
        <f t="shared" si="226"/>
        <v>8200.3033333333333</v>
      </c>
      <c r="L472" s="65"/>
      <c r="M472" s="67">
        <f t="shared" si="231"/>
        <v>0</v>
      </c>
      <c r="N472" s="65" t="str">
        <f t="shared" si="193"/>
        <v/>
      </c>
      <c r="O472" s="65" t="str">
        <f t="shared" si="232"/>
        <v/>
      </c>
      <c r="P472" s="65" t="str">
        <f t="shared" si="232"/>
        <v/>
      </c>
      <c r="Q472" s="38"/>
      <c r="R472" s="3" t="str">
        <f t="shared" si="229"/>
        <v>Thiruvarur</v>
      </c>
      <c r="S472" s="3" t="str">
        <f t="shared" si="233"/>
        <v>Tiruvarur</v>
      </c>
      <c r="T472" s="3" t="str">
        <f t="shared" si="233"/>
        <v>Koradacheri</v>
      </c>
      <c r="U472" s="3" t="str">
        <f t="shared" si="203"/>
        <v>Thiruvarur_Tiruvarur_Koradacheri</v>
      </c>
      <c r="V472" s="3">
        <f>IF(_xlfn.XLOOKUP($U472,GCA!$H$3:$H$593,GCA!E$3:E$593,"",0,1)="","",_xlfn.XLOOKUP($U472,GCA!$H$3:$H$593,GCA!E$3:E$593,"",0,1))</f>
        <v>7659.53</v>
      </c>
      <c r="W472" s="3">
        <f>IF(_xlfn.XLOOKUP($U472,GCA!$H$3:$H$593,GCA!F$3:F$593,"",0,1)="","",_xlfn.XLOOKUP($U472,GCA!$H$3:$H$593,GCA!F$3:F$593,"",0,1))</f>
        <v>7781.28</v>
      </c>
      <c r="X472" s="3">
        <f>IF(_xlfn.XLOOKUP($U472,GCA!$H$3:$H$593,GCA!G$3:G$593,"",0,1)="","",_xlfn.XLOOKUP($U472,GCA!$H$3:$H$593,GCA!G$3:G$593,"",0,1))</f>
        <v>9160.1</v>
      </c>
    </row>
    <row r="473" spans="1:24" ht="13.2">
      <c r="A473" s="49"/>
      <c r="B473" s="49"/>
      <c r="C473" s="48"/>
      <c r="D473" s="49"/>
      <c r="E473" s="50"/>
      <c r="F473" s="26" t="s">
        <v>896</v>
      </c>
      <c r="G473" s="26" t="s">
        <v>896</v>
      </c>
      <c r="H473" s="27">
        <f t="shared" si="225"/>
        <v>17376.574000000001</v>
      </c>
      <c r="I473" s="27">
        <f t="shared" si="225"/>
        <v>18537.689999999999</v>
      </c>
      <c r="J473" s="27">
        <f t="shared" si="225"/>
        <v>19832.608</v>
      </c>
      <c r="K473" s="27">
        <f t="shared" si="226"/>
        <v>18582.290666666664</v>
      </c>
      <c r="L473" s="65"/>
      <c r="M473" s="67">
        <f t="shared" si="231"/>
        <v>0</v>
      </c>
      <c r="N473" s="65" t="str">
        <f t="shared" si="193"/>
        <v/>
      </c>
      <c r="O473" s="65" t="str">
        <f t="shared" si="232"/>
        <v/>
      </c>
      <c r="P473" s="65" t="str">
        <f t="shared" si="232"/>
        <v/>
      </c>
      <c r="Q473" s="38"/>
      <c r="R473" s="3" t="str">
        <f t="shared" si="229"/>
        <v>Thiruvarur</v>
      </c>
      <c r="S473" s="3" t="str">
        <f t="shared" si="233"/>
        <v>Tiruvarur</v>
      </c>
      <c r="T473" s="3" t="str">
        <f t="shared" si="233"/>
        <v>Tiruvarur</v>
      </c>
      <c r="U473" s="3" t="str">
        <f t="shared" si="203"/>
        <v>Thiruvarur_Tiruvarur_Tiruvarur</v>
      </c>
      <c r="V473" s="3">
        <f>IF(_xlfn.XLOOKUP($U473,GCA!$H$3:$H$593,GCA!E$3:E$593,"",0,1)="","",_xlfn.XLOOKUP($U473,GCA!$H$3:$H$593,GCA!E$3:E$593,"",0,1))</f>
        <v>17376.574000000001</v>
      </c>
      <c r="W473" s="3">
        <f>IF(_xlfn.XLOOKUP($U473,GCA!$H$3:$H$593,GCA!F$3:F$593,"",0,1)="","",_xlfn.XLOOKUP($U473,GCA!$H$3:$H$593,GCA!F$3:F$593,"",0,1))</f>
        <v>18537.689999999999</v>
      </c>
      <c r="X473" s="3">
        <f>IF(_xlfn.XLOOKUP($U473,GCA!$H$3:$H$593,GCA!G$3:G$593,"",0,1)="","",_xlfn.XLOOKUP($U473,GCA!$H$3:$H$593,GCA!G$3:G$593,"",0,1))</f>
        <v>19832.608</v>
      </c>
    </row>
    <row r="474" spans="1:24" ht="13.2">
      <c r="A474" s="49"/>
      <c r="B474" s="49"/>
      <c r="C474" s="48"/>
      <c r="D474" s="49"/>
      <c r="E474" s="50"/>
      <c r="F474" s="26" t="s">
        <v>897</v>
      </c>
      <c r="G474" s="26" t="s">
        <v>897</v>
      </c>
      <c r="H474" s="27">
        <f t="shared" si="225"/>
        <v>24675.584999999999</v>
      </c>
      <c r="I474" s="27">
        <f t="shared" si="225"/>
        <v>24965.31</v>
      </c>
      <c r="J474" s="27">
        <f t="shared" si="225"/>
        <v>28936.915000000001</v>
      </c>
      <c r="K474" s="27">
        <f t="shared" si="226"/>
        <v>26192.603333333333</v>
      </c>
      <c r="L474" s="65"/>
      <c r="M474" s="67">
        <f t="shared" si="231"/>
        <v>0</v>
      </c>
      <c r="N474" s="65" t="str">
        <f t="shared" si="193"/>
        <v/>
      </c>
      <c r="O474" s="65" t="str">
        <f t="shared" si="232"/>
        <v/>
      </c>
      <c r="P474" s="65" t="str">
        <f t="shared" si="232"/>
        <v/>
      </c>
      <c r="Q474" s="38"/>
      <c r="R474" s="3" t="str">
        <f t="shared" si="229"/>
        <v>Thiruvarur</v>
      </c>
      <c r="S474" s="3" t="str">
        <f t="shared" si="233"/>
        <v>Valangaiman</v>
      </c>
      <c r="T474" s="3" t="str">
        <f t="shared" si="233"/>
        <v>Valangaiman</v>
      </c>
      <c r="U474" s="3" t="str">
        <f t="shared" si="203"/>
        <v>Thiruvarur_Valangaiman_Valangaiman</v>
      </c>
      <c r="V474" s="3">
        <f>IF(_xlfn.XLOOKUP($U474,GCA!$H$3:$H$593,GCA!E$3:E$593,"",0,1)="","",_xlfn.XLOOKUP($U474,GCA!$H$3:$H$593,GCA!E$3:E$593,"",0,1))</f>
        <v>24675.584999999999</v>
      </c>
      <c r="W474" s="3">
        <f>IF(_xlfn.XLOOKUP($U474,GCA!$H$3:$H$593,GCA!F$3:F$593,"",0,1)="","",_xlfn.XLOOKUP($U474,GCA!$H$3:$H$593,GCA!F$3:F$593,"",0,1))</f>
        <v>24965.31</v>
      </c>
      <c r="X474" s="3">
        <f>IF(_xlfn.XLOOKUP($U474,GCA!$H$3:$H$593,GCA!G$3:G$593,"",0,1)="","",_xlfn.XLOOKUP($U474,GCA!$H$3:$H$593,GCA!G$3:G$593,"",0,1))</f>
        <v>28936.915000000001</v>
      </c>
    </row>
    <row r="475" spans="1:24" ht="13.2">
      <c r="A475" s="49"/>
      <c r="B475" s="49"/>
      <c r="C475" s="48"/>
      <c r="D475" s="49"/>
      <c r="E475" s="47" t="s">
        <v>564</v>
      </c>
      <c r="F475" s="47"/>
      <c r="G475" s="47"/>
      <c r="H475" s="29">
        <f t="shared" ref="H475:P475" si="234">SUM(H453:H474)</f>
        <v>277408.96100000001</v>
      </c>
      <c r="I475" s="29">
        <f t="shared" si="234"/>
        <v>300509.44500000001</v>
      </c>
      <c r="J475" s="29">
        <f t="shared" si="234"/>
        <v>317394.32499999995</v>
      </c>
      <c r="K475" s="29">
        <f t="shared" si="234"/>
        <v>298437.57699999999</v>
      </c>
      <c r="L475" s="29">
        <f t="shared" si="234"/>
        <v>298437.57699999999</v>
      </c>
      <c r="M475" s="30">
        <f t="shared" si="234"/>
        <v>12.52662945200391</v>
      </c>
      <c r="N475" s="31">
        <f t="shared" si="234"/>
        <v>12</v>
      </c>
      <c r="O475" s="31">
        <f t="shared" si="234"/>
        <v>12</v>
      </c>
      <c r="P475" s="31">
        <f t="shared" si="234"/>
        <v>12</v>
      </c>
      <c r="Q475" s="38"/>
      <c r="R475" s="3" t="str">
        <f t="shared" si="229"/>
        <v>Thiruvarur</v>
      </c>
      <c r="S475" s="3">
        <f t="shared" si="233"/>
        <v>0</v>
      </c>
      <c r="T475" s="3">
        <f t="shared" si="233"/>
        <v>0</v>
      </c>
      <c r="U475" s="3" t="str">
        <f t="shared" si="203"/>
        <v>Thiruvarur_0_0</v>
      </c>
      <c r="V475" s="3" t="str">
        <f>IF(_xlfn.XLOOKUP($U475,GCA!$H$3:$H$593,GCA!E$3:E$593,"",0,1)="","",_xlfn.XLOOKUP($U475,GCA!$H$3:$H$593,GCA!E$3:E$593,"",0,1))</f>
        <v/>
      </c>
      <c r="W475" s="3" t="str">
        <f>IF(_xlfn.XLOOKUP($U475,GCA!$H$3:$H$593,GCA!F$3:F$593,"",0,1)="","",_xlfn.XLOOKUP($U475,GCA!$H$3:$H$593,GCA!F$3:F$593,"",0,1))</f>
        <v/>
      </c>
      <c r="X475" s="3" t="str">
        <f>IF(_xlfn.XLOOKUP($U475,GCA!$H$3:$H$593,GCA!G$3:G$593,"",0,1)="","",_xlfn.XLOOKUP($U475,GCA!$H$3:$H$593,GCA!G$3:G$593,"",0,1))</f>
        <v/>
      </c>
    </row>
    <row r="476" spans="1:24" ht="13.2">
      <c r="A476" s="49"/>
      <c r="B476" s="49"/>
      <c r="C476" s="48" t="s">
        <v>241</v>
      </c>
      <c r="D476" s="49" t="s">
        <v>550</v>
      </c>
      <c r="E476" s="50">
        <v>1</v>
      </c>
      <c r="F476" s="26" t="s">
        <v>898</v>
      </c>
      <c r="G476" s="26" t="s">
        <v>898</v>
      </c>
      <c r="H476" s="27">
        <f t="shared" ref="H476:J497" si="235">V476</f>
        <v>14819.633</v>
      </c>
      <c r="I476" s="27">
        <f t="shared" si="235"/>
        <v>10894.695</v>
      </c>
      <c r="J476" s="27">
        <f t="shared" si="235"/>
        <v>17661.238000000001</v>
      </c>
      <c r="K476" s="27">
        <f t="shared" ref="K476:K497" si="236">IFERROR(AVERAGE(H476:J476),"")</f>
        <v>14458.522000000003</v>
      </c>
      <c r="L476" s="65">
        <f>SUM(K476:K480)</f>
        <v>48676.226333333339</v>
      </c>
      <c r="M476" s="67">
        <f t="shared" ref="M476:M481" si="237">L476*$L$643/$L$642</f>
        <v>2.0431376521983413</v>
      </c>
      <c r="N476" s="65">
        <f t="shared" si="193"/>
        <v>2</v>
      </c>
      <c r="O476" s="65">
        <f t="shared" ref="O476:P481" si="238">N476</f>
        <v>2</v>
      </c>
      <c r="P476" s="65">
        <f t="shared" si="238"/>
        <v>2</v>
      </c>
      <c r="Q476" s="38"/>
      <c r="R476" s="3" t="str">
        <f t="shared" ref="R476:R545" si="239">C476</f>
        <v>Thanjavur</v>
      </c>
      <c r="S476" s="3" t="str">
        <f t="shared" si="233"/>
        <v>Budalur</v>
      </c>
      <c r="T476" s="3" t="str">
        <f t="shared" si="233"/>
        <v>Budalur</v>
      </c>
      <c r="U476" s="3" t="str">
        <f t="shared" si="203"/>
        <v>Thanjavur_Budalur_Budalur</v>
      </c>
      <c r="V476" s="3">
        <f>IF(_xlfn.XLOOKUP($U476,GCA!$H$3:$H$593,GCA!E$3:E$593,"",0,1)="","",_xlfn.XLOOKUP($U476,GCA!$H$3:$H$593,GCA!E$3:E$593,"",0,1))</f>
        <v>14819.633</v>
      </c>
      <c r="W476" s="3">
        <f>IF(_xlfn.XLOOKUP($U476,GCA!$H$3:$H$593,GCA!F$3:F$593,"",0,1)="","",_xlfn.XLOOKUP($U476,GCA!$H$3:$H$593,GCA!F$3:F$593,"",0,1))</f>
        <v>10894.695</v>
      </c>
      <c r="X476" s="3">
        <f>IF(_xlfn.XLOOKUP($U476,GCA!$H$3:$H$593,GCA!G$3:G$593,"",0,1)="","",_xlfn.XLOOKUP($U476,GCA!$H$3:$H$593,GCA!G$3:G$593,"",0,1))</f>
        <v>17661.238000000001</v>
      </c>
    </row>
    <row r="477" spans="1:24" ht="13.2">
      <c r="A477" s="49"/>
      <c r="B477" s="49"/>
      <c r="C477" s="48"/>
      <c r="D477" s="49"/>
      <c r="E477" s="50"/>
      <c r="F477" s="26" t="s">
        <v>898</v>
      </c>
      <c r="G477" s="26" t="s">
        <v>241</v>
      </c>
      <c r="H477" s="27">
        <f t="shared" si="235"/>
        <v>1326.9749999999999</v>
      </c>
      <c r="I477" s="27">
        <f t="shared" si="235"/>
        <v>1317.11</v>
      </c>
      <c r="J477" s="27">
        <f t="shared" si="235"/>
        <v>2160.4250000000002</v>
      </c>
      <c r="K477" s="27">
        <f t="shared" si="236"/>
        <v>1601.5033333333333</v>
      </c>
      <c r="L477" s="65"/>
      <c r="M477" s="67">
        <f t="shared" si="237"/>
        <v>0</v>
      </c>
      <c r="N477" s="65" t="str">
        <f t="shared" si="193"/>
        <v/>
      </c>
      <c r="O477" s="65" t="str">
        <f t="shared" si="238"/>
        <v/>
      </c>
      <c r="P477" s="65" t="str">
        <f t="shared" si="238"/>
        <v/>
      </c>
      <c r="Q477" s="38"/>
      <c r="R477" s="3" t="str">
        <f t="shared" ref="R477:R498" si="240">R476</f>
        <v>Thanjavur</v>
      </c>
      <c r="S477" s="3" t="str">
        <f t="shared" si="233"/>
        <v>Budalur</v>
      </c>
      <c r="T477" s="3" t="str">
        <f t="shared" si="233"/>
        <v>Thanjavur</v>
      </c>
      <c r="U477" s="3" t="str">
        <f t="shared" si="203"/>
        <v>Thanjavur_Budalur_Thanjavur</v>
      </c>
      <c r="V477" s="3">
        <f>IF(_xlfn.XLOOKUP($U477,GCA!$H$3:$H$593,GCA!E$3:E$593,"",0,1)="","",_xlfn.XLOOKUP($U477,GCA!$H$3:$H$593,GCA!E$3:E$593,"",0,1))</f>
        <v>1326.9749999999999</v>
      </c>
      <c r="W477" s="3">
        <f>IF(_xlfn.XLOOKUP($U477,GCA!$H$3:$H$593,GCA!F$3:F$593,"",0,1)="","",_xlfn.XLOOKUP($U477,GCA!$H$3:$H$593,GCA!F$3:F$593,"",0,1))</f>
        <v>1317.11</v>
      </c>
      <c r="X477" s="3">
        <f>IF(_xlfn.XLOOKUP($U477,GCA!$H$3:$H$593,GCA!G$3:G$593,"",0,1)="","",_xlfn.XLOOKUP($U477,GCA!$H$3:$H$593,GCA!G$3:G$593,"",0,1))</f>
        <v>2160.4250000000002</v>
      </c>
    </row>
    <row r="478" spans="1:24" ht="13.2">
      <c r="A478" s="49"/>
      <c r="B478" s="49"/>
      <c r="C478" s="48"/>
      <c r="D478" s="49"/>
      <c r="E478" s="50"/>
      <c r="F478" s="26" t="s">
        <v>898</v>
      </c>
      <c r="G478" s="26" t="s">
        <v>899</v>
      </c>
      <c r="H478" s="27">
        <f t="shared" si="235"/>
        <v>2429.2550000000001</v>
      </c>
      <c r="I478" s="27">
        <f t="shared" si="235"/>
        <v>2551.83</v>
      </c>
      <c r="J478" s="27">
        <f t="shared" si="235"/>
        <v>2863.05</v>
      </c>
      <c r="K478" s="27">
        <f t="shared" si="236"/>
        <v>2614.7116666666666</v>
      </c>
      <c r="L478" s="65"/>
      <c r="M478" s="67">
        <f t="shared" si="237"/>
        <v>0</v>
      </c>
      <c r="N478" s="65" t="str">
        <f t="shared" si="193"/>
        <v/>
      </c>
      <c r="O478" s="65" t="str">
        <f t="shared" si="238"/>
        <v/>
      </c>
      <c r="P478" s="65" t="str">
        <f t="shared" si="238"/>
        <v/>
      </c>
      <c r="Q478" s="38"/>
      <c r="R478" s="3" t="str">
        <f t="shared" si="240"/>
        <v>Thanjavur</v>
      </c>
      <c r="S478" s="3" t="str">
        <f t="shared" si="233"/>
        <v>Budalur</v>
      </c>
      <c r="T478" s="3" t="str">
        <f t="shared" si="233"/>
        <v>Thiruvaiyaru</v>
      </c>
      <c r="U478" s="3" t="str">
        <f t="shared" si="203"/>
        <v>Thanjavur_Budalur_Thiruvaiyaru</v>
      </c>
      <c r="V478" s="3">
        <f>IF(_xlfn.XLOOKUP($U478,GCA!$H$3:$H$593,GCA!E$3:E$593,"",0,1)="","",_xlfn.XLOOKUP($U478,GCA!$H$3:$H$593,GCA!E$3:E$593,"",0,1))</f>
        <v>2429.2550000000001</v>
      </c>
      <c r="W478" s="3">
        <f>IF(_xlfn.XLOOKUP($U478,GCA!$H$3:$H$593,GCA!F$3:F$593,"",0,1)="","",_xlfn.XLOOKUP($U478,GCA!$H$3:$H$593,GCA!F$3:F$593,"",0,1))</f>
        <v>2551.83</v>
      </c>
      <c r="X478" s="3">
        <f>IF(_xlfn.XLOOKUP($U478,GCA!$H$3:$H$593,GCA!G$3:G$593,"",0,1)="","",_xlfn.XLOOKUP($U478,GCA!$H$3:$H$593,GCA!G$3:G$593,"",0,1))</f>
        <v>2863.05</v>
      </c>
    </row>
    <row r="479" spans="1:24" ht="13.2">
      <c r="A479" s="49"/>
      <c r="B479" s="49"/>
      <c r="C479" s="48"/>
      <c r="D479" s="49"/>
      <c r="E479" s="50"/>
      <c r="F479" s="26" t="s">
        <v>900</v>
      </c>
      <c r="G479" s="26" t="s">
        <v>900</v>
      </c>
      <c r="H479" s="27">
        <f t="shared" si="235"/>
        <v>14997.916999999999</v>
      </c>
      <c r="I479" s="27">
        <f t="shared" si="235"/>
        <v>16054.391</v>
      </c>
      <c r="J479" s="27">
        <f t="shared" si="235"/>
        <v>16816.490000000002</v>
      </c>
      <c r="K479" s="27">
        <f t="shared" si="236"/>
        <v>15956.265999999998</v>
      </c>
      <c r="L479" s="65"/>
      <c r="M479" s="67">
        <f t="shared" si="237"/>
        <v>0</v>
      </c>
      <c r="N479" s="65" t="str">
        <f t="shared" ref="N479:N556" si="241">IF(M479&gt;=2, ROUND(M479,0), IF(M479&gt;1.1,2,""))</f>
        <v/>
      </c>
      <c r="O479" s="65" t="str">
        <f t="shared" si="238"/>
        <v/>
      </c>
      <c r="P479" s="65" t="str">
        <f t="shared" si="238"/>
        <v/>
      </c>
      <c r="Q479" s="38"/>
      <c r="R479" s="3" t="str">
        <f t="shared" si="240"/>
        <v>Thanjavur</v>
      </c>
      <c r="S479" s="3" t="str">
        <f t="shared" si="233"/>
        <v>Kumbakonam</v>
      </c>
      <c r="T479" s="3" t="str">
        <f t="shared" si="233"/>
        <v>Kumbakonam</v>
      </c>
      <c r="U479" s="3" t="str">
        <f t="shared" si="203"/>
        <v>Thanjavur_Kumbakonam_Kumbakonam</v>
      </c>
      <c r="V479" s="3">
        <f>IF(_xlfn.XLOOKUP($U479,GCA!$H$3:$H$593,GCA!E$3:E$593,"",0,1)="","",_xlfn.XLOOKUP($U479,GCA!$H$3:$H$593,GCA!E$3:E$593,"",0,1))</f>
        <v>14997.916999999999</v>
      </c>
      <c r="W479" s="3">
        <f>IF(_xlfn.XLOOKUP($U479,GCA!$H$3:$H$593,GCA!F$3:F$593,"",0,1)="","",_xlfn.XLOOKUP($U479,GCA!$H$3:$H$593,GCA!F$3:F$593,"",0,1))</f>
        <v>16054.391</v>
      </c>
      <c r="X479" s="3">
        <f>IF(_xlfn.XLOOKUP($U479,GCA!$H$3:$H$593,GCA!G$3:G$593,"",0,1)="","",_xlfn.XLOOKUP($U479,GCA!$H$3:$H$593,GCA!G$3:G$593,"",0,1))</f>
        <v>16816.490000000002</v>
      </c>
    </row>
    <row r="480" spans="1:24" ht="13.2">
      <c r="A480" s="49"/>
      <c r="B480" s="49"/>
      <c r="C480" s="48"/>
      <c r="D480" s="49"/>
      <c r="E480" s="50"/>
      <c r="F480" s="26" t="s">
        <v>900</v>
      </c>
      <c r="G480" s="26" t="s">
        <v>901</v>
      </c>
      <c r="H480" s="27">
        <f t="shared" si="235"/>
        <v>12729.602999999999</v>
      </c>
      <c r="I480" s="27">
        <f t="shared" si="235"/>
        <v>14156.237999999999</v>
      </c>
      <c r="J480" s="27">
        <f t="shared" si="235"/>
        <v>15249.829</v>
      </c>
      <c r="K480" s="27">
        <f t="shared" si="236"/>
        <v>14045.223333333333</v>
      </c>
      <c r="L480" s="65"/>
      <c r="M480" s="67">
        <f t="shared" si="237"/>
        <v>0</v>
      </c>
      <c r="N480" s="65" t="str">
        <f t="shared" si="241"/>
        <v/>
      </c>
      <c r="O480" s="65" t="str">
        <f t="shared" si="238"/>
        <v/>
      </c>
      <c r="P480" s="65" t="str">
        <f t="shared" si="238"/>
        <v/>
      </c>
      <c r="Q480" s="38"/>
      <c r="R480" s="3" t="str">
        <f t="shared" si="240"/>
        <v>Thanjavur</v>
      </c>
      <c r="S480" s="3" t="str">
        <f t="shared" si="233"/>
        <v>Kumbakonam</v>
      </c>
      <c r="T480" s="3" t="str">
        <f t="shared" si="233"/>
        <v>Thiruvidamarudur</v>
      </c>
      <c r="U480" s="3" t="str">
        <f t="shared" si="203"/>
        <v>Thanjavur_Kumbakonam_Thiruvidamarudur</v>
      </c>
      <c r="V480" s="3">
        <f>IF(_xlfn.XLOOKUP($U480,GCA!$H$3:$H$593,GCA!E$3:E$593,"",0,1)="","",_xlfn.XLOOKUP($U480,GCA!$H$3:$H$593,GCA!E$3:E$593,"",0,1))</f>
        <v>12729.602999999999</v>
      </c>
      <c r="W480" s="3">
        <f>IF(_xlfn.XLOOKUP($U480,GCA!$H$3:$H$593,GCA!F$3:F$593,"",0,1)="","",_xlfn.XLOOKUP($U480,GCA!$H$3:$H$593,GCA!F$3:F$593,"",0,1))</f>
        <v>14156.237999999999</v>
      </c>
      <c r="X480" s="3">
        <f>IF(_xlfn.XLOOKUP($U480,GCA!$H$3:$H$593,GCA!G$3:G$593,"",0,1)="","",_xlfn.XLOOKUP($U480,GCA!$H$3:$H$593,GCA!G$3:G$593,"",0,1))</f>
        <v>15249.829</v>
      </c>
    </row>
    <row r="481" spans="1:24" ht="13.2">
      <c r="A481" s="49"/>
      <c r="B481" s="49"/>
      <c r="C481" s="48"/>
      <c r="D481" s="49"/>
      <c r="E481" s="56">
        <v>2</v>
      </c>
      <c r="F481" s="26" t="s">
        <v>902</v>
      </c>
      <c r="G481" s="26" t="s">
        <v>903</v>
      </c>
      <c r="H481" s="27">
        <f t="shared" si="235"/>
        <v>44042.184999999998</v>
      </c>
      <c r="I481" s="27">
        <f t="shared" si="235"/>
        <v>45870.696000000004</v>
      </c>
      <c r="J481" s="27">
        <f t="shared" si="235"/>
        <v>54557.457000000002</v>
      </c>
      <c r="K481" s="27">
        <f t="shared" si="236"/>
        <v>48156.779333333332</v>
      </c>
      <c r="L481" s="62">
        <f>SUM(K481:K482)</f>
        <v>61065.330666666661</v>
      </c>
      <c r="M481" s="69">
        <f t="shared" si="237"/>
        <v>2.5631583573184691</v>
      </c>
      <c r="N481" s="62">
        <f t="shared" si="241"/>
        <v>3</v>
      </c>
      <c r="O481" s="62">
        <f t="shared" si="238"/>
        <v>3</v>
      </c>
      <c r="P481" s="62">
        <f t="shared" si="238"/>
        <v>3</v>
      </c>
      <c r="Q481" s="38"/>
      <c r="R481" s="3" t="str">
        <f t="shared" si="240"/>
        <v>Thanjavur</v>
      </c>
      <c r="S481" s="3" t="str">
        <f t="shared" si="233"/>
        <v>Orathanad</v>
      </c>
      <c r="T481" s="3" t="str">
        <f t="shared" si="233"/>
        <v>Orathanadu</v>
      </c>
      <c r="U481" s="3" t="str">
        <f t="shared" si="203"/>
        <v>Thanjavur_Orathanad_Orathanadu</v>
      </c>
      <c r="V481" s="3">
        <f>IF(_xlfn.XLOOKUP($U481,GCA!$H$3:$H$593,GCA!E$3:E$593,"",0,1)="","",_xlfn.XLOOKUP($U481,GCA!$H$3:$H$593,GCA!E$3:E$593,"",0,1))</f>
        <v>44042.184999999998</v>
      </c>
      <c r="W481" s="3">
        <f>IF(_xlfn.XLOOKUP($U481,GCA!$H$3:$H$593,GCA!F$3:F$593,"",0,1)="","",_xlfn.XLOOKUP($U481,GCA!$H$3:$H$593,GCA!F$3:F$593,"",0,1))</f>
        <v>45870.696000000004</v>
      </c>
      <c r="X481" s="3">
        <f>IF(_xlfn.XLOOKUP($U481,GCA!$H$3:$H$593,GCA!G$3:G$593,"",0,1)="","",_xlfn.XLOOKUP($U481,GCA!$H$3:$H$593,GCA!G$3:G$593,"",0,1))</f>
        <v>54557.457000000002</v>
      </c>
    </row>
    <row r="482" spans="1:24" ht="13.2">
      <c r="A482" s="49"/>
      <c r="B482" s="49"/>
      <c r="C482" s="48"/>
      <c r="D482" s="49"/>
      <c r="E482" s="58"/>
      <c r="F482" s="26" t="s">
        <v>902</v>
      </c>
      <c r="G482" s="26" t="s">
        <v>904</v>
      </c>
      <c r="H482" s="27">
        <f t="shared" si="235"/>
        <v>3391.4749999999999</v>
      </c>
      <c r="I482" s="27">
        <f t="shared" si="235"/>
        <v>16235.42</v>
      </c>
      <c r="J482" s="27">
        <f t="shared" si="235"/>
        <v>19098.758999999998</v>
      </c>
      <c r="K482" s="27">
        <f t="shared" si="236"/>
        <v>12908.551333333331</v>
      </c>
      <c r="L482" s="64"/>
      <c r="M482" s="71"/>
      <c r="N482" s="64"/>
      <c r="O482" s="64"/>
      <c r="P482" s="64"/>
      <c r="Q482" s="38"/>
      <c r="R482" s="3" t="str">
        <f t="shared" si="240"/>
        <v>Thanjavur</v>
      </c>
      <c r="S482" s="3" t="str">
        <f t="shared" si="233"/>
        <v>Orathanad</v>
      </c>
      <c r="T482" s="3" t="str">
        <f t="shared" si="233"/>
        <v>Thiruvonam</v>
      </c>
      <c r="U482" s="3" t="str">
        <f t="shared" si="203"/>
        <v>Thanjavur_Orathanad_Thiruvonam</v>
      </c>
      <c r="V482" s="3">
        <f>IF(_xlfn.XLOOKUP($U482,GCA!$H$3:$H$593,GCA!E$3:E$593,"",0,1)="","",_xlfn.XLOOKUP($U482,GCA!$H$3:$H$593,GCA!E$3:E$593,"",0,1))</f>
        <v>3391.4749999999999</v>
      </c>
      <c r="W482" s="3">
        <f>IF(_xlfn.XLOOKUP($U482,GCA!$H$3:$H$593,GCA!F$3:F$593,"",0,1)="","",_xlfn.XLOOKUP($U482,GCA!$H$3:$H$593,GCA!F$3:F$593,"",0,1))</f>
        <v>16235.42</v>
      </c>
      <c r="X482" s="3">
        <f>IF(_xlfn.XLOOKUP($U482,GCA!$H$3:$H$593,GCA!G$3:G$593,"",0,1)="","",_xlfn.XLOOKUP($U482,GCA!$H$3:$H$593,GCA!G$3:G$593,"",0,1))</f>
        <v>19098.758999999998</v>
      </c>
    </row>
    <row r="483" spans="1:24" ht="13.2">
      <c r="A483" s="49"/>
      <c r="B483" s="49"/>
      <c r="C483" s="48"/>
      <c r="D483" s="49"/>
      <c r="E483" s="56">
        <v>3</v>
      </c>
      <c r="F483" s="26" t="s">
        <v>905</v>
      </c>
      <c r="G483" s="26" t="s">
        <v>566</v>
      </c>
      <c r="H483" s="27">
        <f t="shared" si="235"/>
        <v>34341.33</v>
      </c>
      <c r="I483" s="27">
        <f t="shared" si="235"/>
        <v>34824.269</v>
      </c>
      <c r="J483" s="27">
        <f t="shared" si="235"/>
        <v>38217.232000000004</v>
      </c>
      <c r="K483" s="27">
        <f t="shared" si="236"/>
        <v>35794.277000000002</v>
      </c>
      <c r="L483" s="62">
        <f>SUM(K483:K484)</f>
        <v>46913.416000000005</v>
      </c>
      <c r="M483" s="69">
        <f>L483*$L$643/$L$642</f>
        <v>1.9691453886844537</v>
      </c>
      <c r="N483" s="62">
        <f t="shared" si="241"/>
        <v>2</v>
      </c>
      <c r="O483" s="62">
        <f t="shared" ref="O483:P483" si="242">N483</f>
        <v>2</v>
      </c>
      <c r="P483" s="62">
        <f t="shared" si="242"/>
        <v>2</v>
      </c>
      <c r="Q483" s="38"/>
      <c r="R483" s="3" t="str">
        <f t="shared" si="240"/>
        <v>Thanjavur</v>
      </c>
      <c r="S483" s="3" t="str">
        <f t="shared" si="233"/>
        <v>Papanasam</v>
      </c>
      <c r="T483" s="3" t="str">
        <f t="shared" si="233"/>
        <v>Ammapettai</v>
      </c>
      <c r="U483" s="3" t="str">
        <f t="shared" si="203"/>
        <v>Thanjavur_Papanasam_Ammapettai</v>
      </c>
      <c r="V483" s="3">
        <f>IF(_xlfn.XLOOKUP($U483,GCA!$H$3:$H$593,GCA!E$3:E$593,"",0,1)="","",_xlfn.XLOOKUP($U483,GCA!$H$3:$H$593,GCA!E$3:E$593,"",0,1))</f>
        <v>34341.33</v>
      </c>
      <c r="W483" s="3">
        <f>IF(_xlfn.XLOOKUP($U483,GCA!$H$3:$H$593,GCA!F$3:F$593,"",0,1)="","",_xlfn.XLOOKUP($U483,GCA!$H$3:$H$593,GCA!F$3:F$593,"",0,1))</f>
        <v>34824.269</v>
      </c>
      <c r="X483" s="3">
        <f>IF(_xlfn.XLOOKUP($U483,GCA!$H$3:$H$593,GCA!G$3:G$593,"",0,1)="","",_xlfn.XLOOKUP($U483,GCA!$H$3:$H$593,GCA!G$3:G$593,"",0,1))</f>
        <v>38217.232000000004</v>
      </c>
    </row>
    <row r="484" spans="1:24" ht="13.2">
      <c r="A484" s="49"/>
      <c r="B484" s="49"/>
      <c r="C484" s="48"/>
      <c r="D484" s="49"/>
      <c r="E484" s="58"/>
      <c r="F484" s="26" t="s">
        <v>905</v>
      </c>
      <c r="G484" s="26" t="s">
        <v>905</v>
      </c>
      <c r="H484" s="27">
        <f t="shared" si="235"/>
        <v>10960.079</v>
      </c>
      <c r="I484" s="27">
        <f t="shared" si="235"/>
        <v>11366.47</v>
      </c>
      <c r="J484" s="27">
        <f t="shared" si="235"/>
        <v>11030.868</v>
      </c>
      <c r="K484" s="27">
        <f t="shared" si="236"/>
        <v>11119.139000000001</v>
      </c>
      <c r="L484" s="64"/>
      <c r="M484" s="71"/>
      <c r="N484" s="64"/>
      <c r="O484" s="64"/>
      <c r="P484" s="64"/>
      <c r="Q484" s="38"/>
      <c r="R484" s="3" t="str">
        <f t="shared" si="240"/>
        <v>Thanjavur</v>
      </c>
      <c r="S484" s="3" t="str">
        <f t="shared" si="233"/>
        <v>Papanasam</v>
      </c>
      <c r="T484" s="3" t="str">
        <f t="shared" si="233"/>
        <v>Papanasam</v>
      </c>
      <c r="U484" s="3" t="str">
        <f t="shared" si="203"/>
        <v>Thanjavur_Papanasam_Papanasam</v>
      </c>
      <c r="V484" s="3">
        <f>IF(_xlfn.XLOOKUP($U484,GCA!$H$3:$H$593,GCA!E$3:E$593,"",0,1)="","",_xlfn.XLOOKUP($U484,GCA!$H$3:$H$593,GCA!E$3:E$593,"",0,1))</f>
        <v>10960.079</v>
      </c>
      <c r="W484" s="3">
        <f>IF(_xlfn.XLOOKUP($U484,GCA!$H$3:$H$593,GCA!F$3:F$593,"",0,1)="","",_xlfn.XLOOKUP($U484,GCA!$H$3:$H$593,GCA!F$3:F$593,"",0,1))</f>
        <v>11366.47</v>
      </c>
      <c r="X484" s="3">
        <f>IF(_xlfn.XLOOKUP($U484,GCA!$H$3:$H$593,GCA!G$3:G$593,"",0,1)="","",_xlfn.XLOOKUP($U484,GCA!$H$3:$H$593,GCA!G$3:G$593,"",0,1))</f>
        <v>11030.868</v>
      </c>
    </row>
    <row r="485" spans="1:24" ht="13.2">
      <c r="A485" s="49"/>
      <c r="B485" s="49"/>
      <c r="C485" s="48"/>
      <c r="D485" s="49"/>
      <c r="E485" s="50">
        <v>4</v>
      </c>
      <c r="F485" s="26" t="s">
        <v>906</v>
      </c>
      <c r="G485" s="26" t="s">
        <v>907</v>
      </c>
      <c r="H485" s="27">
        <f t="shared" si="235"/>
        <v>14287.815000000001</v>
      </c>
      <c r="I485" s="27">
        <f t="shared" si="235"/>
        <v>15105.763999999999</v>
      </c>
      <c r="J485" s="27">
        <f t="shared" si="235"/>
        <v>15443.382</v>
      </c>
      <c r="K485" s="27">
        <f t="shared" si="236"/>
        <v>14945.653666666665</v>
      </c>
      <c r="L485" s="65">
        <f>SUM(K485:K489)</f>
        <v>49983.032666666666</v>
      </c>
      <c r="M485" s="67">
        <f t="shared" ref="M485:M497" si="243">L485*$L$643/$L$642</f>
        <v>2.0979895876273655</v>
      </c>
      <c r="N485" s="65">
        <f t="shared" si="241"/>
        <v>2</v>
      </c>
      <c r="O485" s="65">
        <f t="shared" ref="O485:P497" si="244">N485</f>
        <v>2</v>
      </c>
      <c r="P485" s="65">
        <f t="shared" si="244"/>
        <v>2</v>
      </c>
      <c r="Q485" s="38"/>
      <c r="R485" s="3" t="str">
        <f t="shared" si="240"/>
        <v>Thanjavur</v>
      </c>
      <c r="S485" s="3" t="str">
        <f t="shared" si="233"/>
        <v>Pattukottai</v>
      </c>
      <c r="T485" s="3" t="str">
        <f t="shared" si="233"/>
        <v>Madukkur</v>
      </c>
      <c r="U485" s="3" t="str">
        <f t="shared" si="203"/>
        <v>Thanjavur_Pattukottai_Madukkur</v>
      </c>
      <c r="V485" s="3">
        <f>IF(_xlfn.XLOOKUP($U485,GCA!$H$3:$H$593,GCA!E$3:E$593,"",0,1)="","",_xlfn.XLOOKUP($U485,GCA!$H$3:$H$593,GCA!E$3:E$593,"",0,1))</f>
        <v>14287.815000000001</v>
      </c>
      <c r="W485" s="3">
        <f>IF(_xlfn.XLOOKUP($U485,GCA!$H$3:$H$593,GCA!F$3:F$593,"",0,1)="","",_xlfn.XLOOKUP($U485,GCA!$H$3:$H$593,GCA!F$3:F$593,"",0,1))</f>
        <v>15105.763999999999</v>
      </c>
      <c r="X485" s="3">
        <f>IF(_xlfn.XLOOKUP($U485,GCA!$H$3:$H$593,GCA!G$3:G$593,"",0,1)="","",_xlfn.XLOOKUP($U485,GCA!$H$3:$H$593,GCA!G$3:G$593,"",0,1))</f>
        <v>15443.382</v>
      </c>
    </row>
    <row r="486" spans="1:24" ht="13.2">
      <c r="A486" s="49"/>
      <c r="B486" s="49"/>
      <c r="C486" s="48"/>
      <c r="D486" s="49"/>
      <c r="E486" s="50"/>
      <c r="F486" s="26" t="s">
        <v>906</v>
      </c>
      <c r="G486" s="26" t="s">
        <v>908</v>
      </c>
      <c r="H486" s="27">
        <f t="shared" si="235"/>
        <v>18870.2</v>
      </c>
      <c r="I486" s="27">
        <f t="shared" si="235"/>
        <v>19065.388999999999</v>
      </c>
      <c r="J486" s="27">
        <f t="shared" si="235"/>
        <v>19977.21</v>
      </c>
      <c r="K486" s="27">
        <f t="shared" si="236"/>
        <v>19304.266333333333</v>
      </c>
      <c r="L486" s="65"/>
      <c r="M486" s="67">
        <f t="shared" si="243"/>
        <v>0</v>
      </c>
      <c r="N486" s="65" t="str">
        <f t="shared" si="241"/>
        <v/>
      </c>
      <c r="O486" s="65" t="str">
        <f t="shared" si="244"/>
        <v/>
      </c>
      <c r="P486" s="65" t="str">
        <f t="shared" si="244"/>
        <v/>
      </c>
      <c r="Q486" s="38"/>
      <c r="R486" s="3" t="str">
        <f t="shared" si="240"/>
        <v>Thanjavur</v>
      </c>
      <c r="S486" s="3" t="str">
        <f t="shared" si="233"/>
        <v>Pattukottai</v>
      </c>
      <c r="T486" s="3" t="str">
        <f t="shared" si="233"/>
        <v>Pattukkottai</v>
      </c>
      <c r="U486" s="3" t="str">
        <f t="shared" si="203"/>
        <v>Thanjavur_Pattukottai_Pattukkottai</v>
      </c>
      <c r="V486" s="3">
        <f>IF(_xlfn.XLOOKUP($U486,GCA!$H$3:$H$593,GCA!E$3:E$593,"",0,1)="","",_xlfn.XLOOKUP($U486,GCA!$H$3:$H$593,GCA!E$3:E$593,"",0,1))</f>
        <v>18870.2</v>
      </c>
      <c r="W486" s="3">
        <f>IF(_xlfn.XLOOKUP($U486,GCA!$H$3:$H$593,GCA!F$3:F$593,"",0,1)="","",_xlfn.XLOOKUP($U486,GCA!$H$3:$H$593,GCA!F$3:F$593,"",0,1))</f>
        <v>19065.388999999999</v>
      </c>
      <c r="X486" s="3">
        <f>IF(_xlfn.XLOOKUP($U486,GCA!$H$3:$H$593,GCA!G$3:G$593,"",0,1)="","",_xlfn.XLOOKUP($U486,GCA!$H$3:$H$593,GCA!G$3:G$593,"",0,1))</f>
        <v>19977.21</v>
      </c>
    </row>
    <row r="487" spans="1:24" ht="13.2">
      <c r="A487" s="49"/>
      <c r="B487" s="49"/>
      <c r="C487" s="48"/>
      <c r="D487" s="49"/>
      <c r="E487" s="50"/>
      <c r="F487" s="26" t="s">
        <v>906</v>
      </c>
      <c r="G487" s="26" t="s">
        <v>909</v>
      </c>
      <c r="H487" s="27">
        <f t="shared" si="235"/>
        <v>7385.9160000000002</v>
      </c>
      <c r="I487" s="27">
        <f t="shared" si="235"/>
        <v>8753.9050000000007</v>
      </c>
      <c r="J487" s="27">
        <f t="shared" si="235"/>
        <v>9278.2999999999993</v>
      </c>
      <c r="K487" s="27">
        <f t="shared" si="236"/>
        <v>8472.7070000000003</v>
      </c>
      <c r="L487" s="65"/>
      <c r="M487" s="67">
        <f t="shared" si="243"/>
        <v>0</v>
      </c>
      <c r="N487" s="65" t="str">
        <f t="shared" si="241"/>
        <v/>
      </c>
      <c r="O487" s="65" t="str">
        <f t="shared" si="244"/>
        <v/>
      </c>
      <c r="P487" s="65" t="str">
        <f t="shared" si="244"/>
        <v/>
      </c>
      <c r="Q487" s="38"/>
      <c r="R487" s="3" t="str">
        <f t="shared" si="240"/>
        <v>Thanjavur</v>
      </c>
      <c r="S487" s="3" t="str">
        <f t="shared" si="233"/>
        <v>Pattukottai</v>
      </c>
      <c r="T487" s="3" t="str">
        <f t="shared" si="233"/>
        <v>Peravurani</v>
      </c>
      <c r="U487" s="3" t="str">
        <f t="shared" si="203"/>
        <v>Thanjavur_Pattukottai_Peravurani</v>
      </c>
      <c r="V487" s="3">
        <f>IF(_xlfn.XLOOKUP($U487,GCA!$H$3:$H$593,GCA!E$3:E$593,"",0,1)="","",_xlfn.XLOOKUP($U487,GCA!$H$3:$H$593,GCA!E$3:E$593,"",0,1))</f>
        <v>7385.9160000000002</v>
      </c>
      <c r="W487" s="3">
        <f>IF(_xlfn.XLOOKUP($U487,GCA!$H$3:$H$593,GCA!F$3:F$593,"",0,1)="","",_xlfn.XLOOKUP($U487,GCA!$H$3:$H$593,GCA!F$3:F$593,"",0,1))</f>
        <v>8753.9050000000007</v>
      </c>
      <c r="X487" s="3">
        <f>IF(_xlfn.XLOOKUP($U487,GCA!$H$3:$H$593,GCA!G$3:G$593,"",0,1)="","",_xlfn.XLOOKUP($U487,GCA!$H$3:$H$593,GCA!G$3:G$593,"",0,1))</f>
        <v>9278.2999999999993</v>
      </c>
    </row>
    <row r="488" spans="1:24" ht="13.2">
      <c r="A488" s="49"/>
      <c r="B488" s="49"/>
      <c r="C488" s="48"/>
      <c r="D488" s="49"/>
      <c r="E488" s="50"/>
      <c r="F488" s="26" t="s">
        <v>906</v>
      </c>
      <c r="G488" s="26" t="s">
        <v>910</v>
      </c>
      <c r="H488" s="27">
        <f t="shared" si="235"/>
        <v>4506.3999999999996</v>
      </c>
      <c r="I488" s="27">
        <f t="shared" si="235"/>
        <v>4371.5069999999996</v>
      </c>
      <c r="J488" s="27">
        <f t="shared" si="235"/>
        <v>4669.4549999999999</v>
      </c>
      <c r="K488" s="27">
        <f t="shared" si="236"/>
        <v>4515.7873333333328</v>
      </c>
      <c r="L488" s="65"/>
      <c r="M488" s="67">
        <f t="shared" si="243"/>
        <v>0</v>
      </c>
      <c r="N488" s="65" t="str">
        <f t="shared" si="241"/>
        <v/>
      </c>
      <c r="O488" s="65" t="str">
        <f t="shared" si="244"/>
        <v/>
      </c>
      <c r="P488" s="65" t="str">
        <f t="shared" si="244"/>
        <v/>
      </c>
      <c r="Q488" s="38"/>
      <c r="R488" s="3" t="str">
        <f t="shared" si="240"/>
        <v>Thanjavur</v>
      </c>
      <c r="S488" s="3" t="str">
        <f t="shared" si="233"/>
        <v>Pattukottai</v>
      </c>
      <c r="T488" s="3" t="str">
        <f t="shared" si="233"/>
        <v>Sethubavachatram</v>
      </c>
      <c r="U488" s="3" t="str">
        <f t="shared" si="203"/>
        <v>Thanjavur_Pattukottai_Sethubavachatram</v>
      </c>
      <c r="V488" s="3">
        <f>IF(_xlfn.XLOOKUP($U488,GCA!$H$3:$H$593,GCA!E$3:E$593,"",0,1)="","",_xlfn.XLOOKUP($U488,GCA!$H$3:$H$593,GCA!E$3:E$593,"",0,1))</f>
        <v>4506.3999999999996</v>
      </c>
      <c r="W488" s="3">
        <f>IF(_xlfn.XLOOKUP($U488,GCA!$H$3:$H$593,GCA!F$3:F$593,"",0,1)="","",_xlfn.XLOOKUP($U488,GCA!$H$3:$H$593,GCA!F$3:F$593,"",0,1))</f>
        <v>4371.5069999999996</v>
      </c>
      <c r="X488" s="3">
        <f>IF(_xlfn.XLOOKUP($U488,GCA!$H$3:$H$593,GCA!G$3:G$593,"",0,1)="","",_xlfn.XLOOKUP($U488,GCA!$H$3:$H$593,GCA!G$3:G$593,"",0,1))</f>
        <v>4669.4549999999999</v>
      </c>
    </row>
    <row r="489" spans="1:24" ht="13.2">
      <c r="A489" s="49"/>
      <c r="B489" s="49"/>
      <c r="C489" s="48"/>
      <c r="D489" s="49"/>
      <c r="E489" s="50"/>
      <c r="F489" s="26" t="s">
        <v>906</v>
      </c>
      <c r="G489" s="26" t="s">
        <v>904</v>
      </c>
      <c r="H489" s="27">
        <f t="shared" si="235"/>
        <v>1712.44</v>
      </c>
      <c r="I489" s="27">
        <f t="shared" si="235"/>
        <v>3081.6350000000002</v>
      </c>
      <c r="J489" s="27">
        <f t="shared" si="235"/>
        <v>3439.78</v>
      </c>
      <c r="K489" s="27">
        <f t="shared" si="236"/>
        <v>2744.6183333333338</v>
      </c>
      <c r="L489" s="65"/>
      <c r="M489" s="67">
        <f t="shared" si="243"/>
        <v>0</v>
      </c>
      <c r="N489" s="65" t="str">
        <f t="shared" si="241"/>
        <v/>
      </c>
      <c r="O489" s="65" t="str">
        <f t="shared" si="244"/>
        <v/>
      </c>
      <c r="P489" s="65" t="str">
        <f t="shared" si="244"/>
        <v/>
      </c>
      <c r="Q489" s="38"/>
      <c r="R489" s="3" t="str">
        <f t="shared" si="240"/>
        <v>Thanjavur</v>
      </c>
      <c r="S489" s="3" t="str">
        <f t="shared" si="233"/>
        <v>Pattukottai</v>
      </c>
      <c r="T489" s="3" t="str">
        <f t="shared" si="233"/>
        <v>Thiruvonam</v>
      </c>
      <c r="U489" s="3" t="str">
        <f t="shared" si="203"/>
        <v>Thanjavur_Pattukottai_Thiruvonam</v>
      </c>
      <c r="V489" s="3">
        <f>IF(_xlfn.XLOOKUP($U489,GCA!$H$3:$H$593,GCA!E$3:E$593,"",0,1)="","",_xlfn.XLOOKUP($U489,GCA!$H$3:$H$593,GCA!E$3:E$593,"",0,1))</f>
        <v>1712.44</v>
      </c>
      <c r="W489" s="3">
        <f>IF(_xlfn.XLOOKUP($U489,GCA!$H$3:$H$593,GCA!F$3:F$593,"",0,1)="","",_xlfn.XLOOKUP($U489,GCA!$H$3:$H$593,GCA!F$3:F$593,"",0,1))</f>
        <v>3081.6350000000002</v>
      </c>
      <c r="X489" s="3">
        <f>IF(_xlfn.XLOOKUP($U489,GCA!$H$3:$H$593,GCA!G$3:G$593,"",0,1)="","",_xlfn.XLOOKUP($U489,GCA!$H$3:$H$593,GCA!G$3:G$593,"",0,1))</f>
        <v>3439.78</v>
      </c>
    </row>
    <row r="490" spans="1:24" ht="13.2">
      <c r="A490" s="49"/>
      <c r="B490" s="49"/>
      <c r="C490" s="48"/>
      <c r="D490" s="49"/>
      <c r="E490" s="50">
        <v>5</v>
      </c>
      <c r="F490" s="26" t="s">
        <v>909</v>
      </c>
      <c r="G490" s="26" t="s">
        <v>909</v>
      </c>
      <c r="H490" s="27">
        <f t="shared" si="235"/>
        <v>7648.5010000000002</v>
      </c>
      <c r="I490" s="27">
        <f t="shared" si="235"/>
        <v>7274.5360000000001</v>
      </c>
      <c r="J490" s="27">
        <f t="shared" si="235"/>
        <v>7707.09</v>
      </c>
      <c r="K490" s="27">
        <f t="shared" si="236"/>
        <v>7543.3756666666668</v>
      </c>
      <c r="L490" s="65">
        <f>SUM(K490:K492)</f>
        <v>49168.815666666662</v>
      </c>
      <c r="M490" s="67">
        <f t="shared" si="243"/>
        <v>2.0638136143633745</v>
      </c>
      <c r="N490" s="65">
        <f t="shared" si="241"/>
        <v>2</v>
      </c>
      <c r="O490" s="65">
        <f t="shared" si="244"/>
        <v>2</v>
      </c>
      <c r="P490" s="65">
        <f t="shared" si="244"/>
        <v>2</v>
      </c>
      <c r="Q490" s="38"/>
      <c r="R490" s="3" t="str">
        <f t="shared" si="240"/>
        <v>Thanjavur</v>
      </c>
      <c r="S490" s="3" t="str">
        <f t="shared" si="233"/>
        <v>Peravurani</v>
      </c>
      <c r="T490" s="3" t="str">
        <f t="shared" si="233"/>
        <v>Peravurani</v>
      </c>
      <c r="U490" s="3" t="str">
        <f t="shared" si="203"/>
        <v>Thanjavur_Peravurani_Peravurani</v>
      </c>
      <c r="V490" s="3">
        <f>IF(_xlfn.XLOOKUP($U490,GCA!$H$3:$H$593,GCA!E$3:E$593,"",0,1)="","",_xlfn.XLOOKUP($U490,GCA!$H$3:$H$593,GCA!E$3:E$593,"",0,1))</f>
        <v>7648.5010000000002</v>
      </c>
      <c r="W490" s="3">
        <f>IF(_xlfn.XLOOKUP($U490,GCA!$H$3:$H$593,GCA!F$3:F$593,"",0,1)="","",_xlfn.XLOOKUP($U490,GCA!$H$3:$H$593,GCA!F$3:F$593,"",0,1))</f>
        <v>7274.5360000000001</v>
      </c>
      <c r="X490" s="3">
        <f>IF(_xlfn.XLOOKUP($U490,GCA!$H$3:$H$593,GCA!G$3:G$593,"",0,1)="","",_xlfn.XLOOKUP($U490,GCA!$H$3:$H$593,GCA!G$3:G$593,"",0,1))</f>
        <v>7707.09</v>
      </c>
    </row>
    <row r="491" spans="1:24" ht="13.2">
      <c r="A491" s="49"/>
      <c r="B491" s="49"/>
      <c r="C491" s="48"/>
      <c r="D491" s="49"/>
      <c r="E491" s="50"/>
      <c r="F491" s="26" t="s">
        <v>909</v>
      </c>
      <c r="G491" s="26" t="s">
        <v>910</v>
      </c>
      <c r="H491" s="27">
        <f t="shared" si="235"/>
        <v>10096.055</v>
      </c>
      <c r="I491" s="27">
        <f t="shared" si="235"/>
        <v>9270.1790000000001</v>
      </c>
      <c r="J491" s="27">
        <f t="shared" si="235"/>
        <v>10262.805</v>
      </c>
      <c r="K491" s="27">
        <f t="shared" si="236"/>
        <v>9876.346333333333</v>
      </c>
      <c r="L491" s="65"/>
      <c r="M491" s="67">
        <f t="shared" si="243"/>
        <v>0</v>
      </c>
      <c r="N491" s="65" t="str">
        <f t="shared" si="241"/>
        <v/>
      </c>
      <c r="O491" s="65" t="str">
        <f t="shared" si="244"/>
        <v/>
      </c>
      <c r="P491" s="65" t="str">
        <f t="shared" si="244"/>
        <v/>
      </c>
      <c r="Q491" s="38"/>
      <c r="R491" s="3" t="str">
        <f t="shared" si="240"/>
        <v>Thanjavur</v>
      </c>
      <c r="S491" s="3" t="str">
        <f t="shared" si="233"/>
        <v>Peravurani</v>
      </c>
      <c r="T491" s="3" t="str">
        <f t="shared" si="233"/>
        <v>Sethubavachatram</v>
      </c>
      <c r="U491" s="3" t="str">
        <f t="shared" si="203"/>
        <v>Thanjavur_Peravurani_Sethubavachatram</v>
      </c>
      <c r="V491" s="3">
        <f>IF(_xlfn.XLOOKUP($U491,GCA!$H$3:$H$593,GCA!E$3:E$593,"",0,1)="","",_xlfn.XLOOKUP($U491,GCA!$H$3:$H$593,GCA!E$3:E$593,"",0,1))</f>
        <v>10096.055</v>
      </c>
      <c r="W491" s="3">
        <f>IF(_xlfn.XLOOKUP($U491,GCA!$H$3:$H$593,GCA!F$3:F$593,"",0,1)="","",_xlfn.XLOOKUP($U491,GCA!$H$3:$H$593,GCA!F$3:F$593,"",0,1))</f>
        <v>9270.1790000000001</v>
      </c>
      <c r="X491" s="3">
        <f>IF(_xlfn.XLOOKUP($U491,GCA!$H$3:$H$593,GCA!G$3:G$593,"",0,1)="","",_xlfn.XLOOKUP($U491,GCA!$H$3:$H$593,GCA!G$3:G$593,"",0,1))</f>
        <v>10262.805</v>
      </c>
    </row>
    <row r="492" spans="1:24" ht="13.2">
      <c r="A492" s="49"/>
      <c r="B492" s="49"/>
      <c r="C492" s="48"/>
      <c r="D492" s="49"/>
      <c r="E492" s="50"/>
      <c r="F492" s="26" t="s">
        <v>241</v>
      </c>
      <c r="G492" s="26" t="s">
        <v>241</v>
      </c>
      <c r="H492" s="27">
        <f t="shared" si="235"/>
        <v>29433.324000000001</v>
      </c>
      <c r="I492" s="27">
        <f t="shared" si="235"/>
        <v>31116.641</v>
      </c>
      <c r="J492" s="27">
        <f t="shared" si="235"/>
        <v>34697.315999999999</v>
      </c>
      <c r="K492" s="27">
        <f t="shared" si="236"/>
        <v>31749.093666666664</v>
      </c>
      <c r="L492" s="65"/>
      <c r="M492" s="67">
        <f t="shared" si="243"/>
        <v>0</v>
      </c>
      <c r="N492" s="65" t="str">
        <f t="shared" si="241"/>
        <v/>
      </c>
      <c r="O492" s="65" t="str">
        <f t="shared" si="244"/>
        <v/>
      </c>
      <c r="P492" s="65" t="str">
        <f t="shared" si="244"/>
        <v/>
      </c>
      <c r="Q492" s="38"/>
      <c r="R492" s="3" t="str">
        <f t="shared" si="240"/>
        <v>Thanjavur</v>
      </c>
      <c r="S492" s="3" t="str">
        <f t="shared" si="233"/>
        <v>Thanjavur</v>
      </c>
      <c r="T492" s="3" t="str">
        <f t="shared" si="233"/>
        <v>Thanjavur</v>
      </c>
      <c r="U492" s="3" t="str">
        <f t="shared" si="203"/>
        <v>Thanjavur_Thanjavur_Thanjavur</v>
      </c>
      <c r="V492" s="3">
        <f>IF(_xlfn.XLOOKUP($U492,GCA!$H$3:$H$593,GCA!E$3:E$593,"",0,1)="","",_xlfn.XLOOKUP($U492,GCA!$H$3:$H$593,GCA!E$3:E$593,"",0,1))</f>
        <v>29433.324000000001</v>
      </c>
      <c r="W492" s="3">
        <f>IF(_xlfn.XLOOKUP($U492,GCA!$H$3:$H$593,GCA!F$3:F$593,"",0,1)="","",_xlfn.XLOOKUP($U492,GCA!$H$3:$H$593,GCA!F$3:F$593,"",0,1))</f>
        <v>31116.641</v>
      </c>
      <c r="X492" s="3">
        <f>IF(_xlfn.XLOOKUP($U492,GCA!$H$3:$H$593,GCA!G$3:G$593,"",0,1)="","",_xlfn.XLOOKUP($U492,GCA!$H$3:$H$593,GCA!G$3:G$593,"",0,1))</f>
        <v>34697.315999999999</v>
      </c>
    </row>
    <row r="493" spans="1:24" ht="13.2">
      <c r="A493" s="49"/>
      <c r="B493" s="49"/>
      <c r="C493" s="48"/>
      <c r="D493" s="49"/>
      <c r="E493" s="50">
        <v>6</v>
      </c>
      <c r="F493" s="26" t="s">
        <v>899</v>
      </c>
      <c r="G493" s="26" t="s">
        <v>241</v>
      </c>
      <c r="H493" s="27">
        <f t="shared" si="235"/>
        <v>2082.7170000000001</v>
      </c>
      <c r="I493" s="27">
        <f t="shared" si="235"/>
        <v>2094.8069999999998</v>
      </c>
      <c r="J493" s="27">
        <f t="shared" si="235"/>
        <v>2150.0459999999998</v>
      </c>
      <c r="K493" s="27">
        <f t="shared" si="236"/>
        <v>2109.19</v>
      </c>
      <c r="L493" s="65">
        <f>SUM(K493:K497)</f>
        <v>51502.505333333334</v>
      </c>
      <c r="M493" s="67">
        <f t="shared" si="243"/>
        <v>2.1617679872817148</v>
      </c>
      <c r="N493" s="65">
        <f t="shared" si="241"/>
        <v>2</v>
      </c>
      <c r="O493" s="65">
        <f t="shared" si="244"/>
        <v>2</v>
      </c>
      <c r="P493" s="65">
        <f t="shared" si="244"/>
        <v>2</v>
      </c>
      <c r="Q493" s="38"/>
      <c r="R493" s="3" t="str">
        <f t="shared" si="240"/>
        <v>Thanjavur</v>
      </c>
      <c r="S493" s="3" t="str">
        <f t="shared" si="233"/>
        <v>Thiruvaiyaru</v>
      </c>
      <c r="T493" s="3" t="str">
        <f t="shared" si="233"/>
        <v>Thanjavur</v>
      </c>
      <c r="U493" s="3" t="str">
        <f t="shared" si="203"/>
        <v>Thanjavur_Thiruvaiyaru_Thanjavur</v>
      </c>
      <c r="V493" s="3">
        <f>IF(_xlfn.XLOOKUP($U493,GCA!$H$3:$H$593,GCA!E$3:E$593,"",0,1)="","",_xlfn.XLOOKUP($U493,GCA!$H$3:$H$593,GCA!E$3:E$593,"",0,1))</f>
        <v>2082.7170000000001</v>
      </c>
      <c r="W493" s="3">
        <f>IF(_xlfn.XLOOKUP($U493,GCA!$H$3:$H$593,GCA!F$3:F$593,"",0,1)="","",_xlfn.XLOOKUP($U493,GCA!$H$3:$H$593,GCA!F$3:F$593,"",0,1))</f>
        <v>2094.8069999999998</v>
      </c>
      <c r="X493" s="3">
        <f>IF(_xlfn.XLOOKUP($U493,GCA!$H$3:$H$593,GCA!G$3:G$593,"",0,1)="","",_xlfn.XLOOKUP($U493,GCA!$H$3:$H$593,GCA!G$3:G$593,"",0,1))</f>
        <v>2150.0459999999998</v>
      </c>
    </row>
    <row r="494" spans="1:24" ht="13.2">
      <c r="A494" s="49"/>
      <c r="B494" s="49"/>
      <c r="C494" s="48"/>
      <c r="D494" s="49"/>
      <c r="E494" s="50"/>
      <c r="F494" s="26" t="s">
        <v>899</v>
      </c>
      <c r="G494" s="26" t="s">
        <v>899</v>
      </c>
      <c r="H494" s="27">
        <f t="shared" si="235"/>
        <v>13766.11</v>
      </c>
      <c r="I494" s="27">
        <f t="shared" si="235"/>
        <v>14807.824000000001</v>
      </c>
      <c r="J494" s="27">
        <f t="shared" si="235"/>
        <v>14527.375</v>
      </c>
      <c r="K494" s="27">
        <f t="shared" si="236"/>
        <v>14367.103000000001</v>
      </c>
      <c r="L494" s="65"/>
      <c r="M494" s="67">
        <f t="shared" si="243"/>
        <v>0</v>
      </c>
      <c r="N494" s="65" t="str">
        <f t="shared" si="241"/>
        <v/>
      </c>
      <c r="O494" s="65" t="str">
        <f t="shared" si="244"/>
        <v/>
      </c>
      <c r="P494" s="65" t="str">
        <f t="shared" si="244"/>
        <v/>
      </c>
      <c r="Q494" s="38"/>
      <c r="R494" s="3" t="str">
        <f t="shared" si="240"/>
        <v>Thanjavur</v>
      </c>
      <c r="S494" s="3" t="str">
        <f t="shared" si="233"/>
        <v>Thiruvaiyaru</v>
      </c>
      <c r="T494" s="3" t="str">
        <f t="shared" si="233"/>
        <v>Thiruvaiyaru</v>
      </c>
      <c r="U494" s="3" t="str">
        <f t="shared" si="203"/>
        <v>Thanjavur_Thiruvaiyaru_Thiruvaiyaru</v>
      </c>
      <c r="V494" s="3">
        <f>IF(_xlfn.XLOOKUP($U494,GCA!$H$3:$H$593,GCA!E$3:E$593,"",0,1)="","",_xlfn.XLOOKUP($U494,GCA!$H$3:$H$593,GCA!E$3:E$593,"",0,1))</f>
        <v>13766.11</v>
      </c>
      <c r="W494" s="3">
        <f>IF(_xlfn.XLOOKUP($U494,GCA!$H$3:$H$593,GCA!F$3:F$593,"",0,1)="","",_xlfn.XLOOKUP($U494,GCA!$H$3:$H$593,GCA!F$3:F$593,"",0,1))</f>
        <v>14807.824000000001</v>
      </c>
      <c r="X494" s="3">
        <f>IF(_xlfn.XLOOKUP($U494,GCA!$H$3:$H$593,GCA!G$3:G$593,"",0,1)="","",_xlfn.XLOOKUP($U494,GCA!$H$3:$H$593,GCA!G$3:G$593,"",0,1))</f>
        <v>14527.375</v>
      </c>
    </row>
    <row r="495" spans="1:24" ht="13.2">
      <c r="A495" s="49"/>
      <c r="B495" s="49"/>
      <c r="C495" s="48"/>
      <c r="D495" s="49"/>
      <c r="E495" s="50"/>
      <c r="F495" s="26" t="s">
        <v>911</v>
      </c>
      <c r="G495" s="26" t="s">
        <v>900</v>
      </c>
      <c r="H495" s="27">
        <f t="shared" si="235"/>
        <v>2155.9749999999999</v>
      </c>
      <c r="I495" s="27">
        <f t="shared" si="235"/>
        <v>2280</v>
      </c>
      <c r="J495" s="27">
        <f t="shared" si="235"/>
        <v>2189.85</v>
      </c>
      <c r="K495" s="27">
        <f t="shared" si="236"/>
        <v>2208.6083333333336</v>
      </c>
      <c r="L495" s="65"/>
      <c r="M495" s="67">
        <f t="shared" si="243"/>
        <v>0</v>
      </c>
      <c r="N495" s="65" t="str">
        <f t="shared" si="241"/>
        <v/>
      </c>
      <c r="O495" s="65" t="str">
        <f t="shared" si="244"/>
        <v/>
      </c>
      <c r="P495" s="65" t="str">
        <f t="shared" si="244"/>
        <v/>
      </c>
      <c r="Q495" s="38"/>
      <c r="R495" s="3" t="str">
        <f t="shared" si="240"/>
        <v>Thanjavur</v>
      </c>
      <c r="S495" s="3" t="str">
        <f t="shared" si="233"/>
        <v>Thiruvidaimaruthur</v>
      </c>
      <c r="T495" s="3" t="str">
        <f t="shared" si="233"/>
        <v>Kumbakonam</v>
      </c>
      <c r="U495" s="3" t="str">
        <f t="shared" si="203"/>
        <v>Thanjavur_Thiruvidaimaruthur_Kumbakonam</v>
      </c>
      <c r="V495" s="3">
        <f>IF(_xlfn.XLOOKUP($U495,GCA!$H$3:$H$593,GCA!E$3:E$593,"",0,1)="","",_xlfn.XLOOKUP($U495,GCA!$H$3:$H$593,GCA!E$3:E$593,"",0,1))</f>
        <v>2155.9749999999999</v>
      </c>
      <c r="W495" s="3">
        <f>IF(_xlfn.XLOOKUP($U495,GCA!$H$3:$H$593,GCA!F$3:F$593,"",0,1)="","",_xlfn.XLOOKUP($U495,GCA!$H$3:$H$593,GCA!F$3:F$593,"",0,1))</f>
        <v>2280</v>
      </c>
      <c r="X495" s="3">
        <f>IF(_xlfn.XLOOKUP($U495,GCA!$H$3:$H$593,GCA!G$3:G$593,"",0,1)="","",_xlfn.XLOOKUP($U495,GCA!$H$3:$H$593,GCA!G$3:G$593,"",0,1))</f>
        <v>2189.85</v>
      </c>
    </row>
    <row r="496" spans="1:24" ht="13.2">
      <c r="A496" s="49"/>
      <c r="B496" s="49"/>
      <c r="C496" s="48"/>
      <c r="D496" s="49"/>
      <c r="E496" s="50"/>
      <c r="F496" s="26" t="s">
        <v>911</v>
      </c>
      <c r="G496" s="26" t="s">
        <v>901</v>
      </c>
      <c r="H496" s="27">
        <f t="shared" si="235"/>
        <v>8911.7549999999992</v>
      </c>
      <c r="I496" s="27">
        <f t="shared" si="235"/>
        <v>9494.2250000000004</v>
      </c>
      <c r="J496" s="27">
        <f t="shared" si="235"/>
        <v>10301.512000000001</v>
      </c>
      <c r="K496" s="27">
        <f t="shared" si="236"/>
        <v>9569.1639999999989</v>
      </c>
      <c r="L496" s="65"/>
      <c r="M496" s="67">
        <f t="shared" si="243"/>
        <v>0</v>
      </c>
      <c r="N496" s="65" t="str">
        <f t="shared" si="241"/>
        <v/>
      </c>
      <c r="O496" s="65" t="str">
        <f t="shared" si="244"/>
        <v/>
      </c>
      <c r="P496" s="65" t="str">
        <f t="shared" si="244"/>
        <v/>
      </c>
      <c r="Q496" s="38"/>
      <c r="R496" s="3" t="str">
        <f t="shared" si="240"/>
        <v>Thanjavur</v>
      </c>
      <c r="S496" s="3" t="str">
        <f t="shared" si="233"/>
        <v>Thiruvidaimaruthur</v>
      </c>
      <c r="T496" s="3" t="str">
        <f t="shared" si="233"/>
        <v>Thiruvidamarudur</v>
      </c>
      <c r="U496" s="3" t="str">
        <f t="shared" si="203"/>
        <v>Thanjavur_Thiruvidaimaruthur_Thiruvidamarudur</v>
      </c>
      <c r="V496" s="3">
        <f>IF(_xlfn.XLOOKUP($U496,GCA!$H$3:$H$593,GCA!E$3:E$593,"",0,1)="","",_xlfn.XLOOKUP($U496,GCA!$H$3:$H$593,GCA!E$3:E$593,"",0,1))</f>
        <v>8911.7549999999992</v>
      </c>
      <c r="W496" s="3">
        <f>IF(_xlfn.XLOOKUP($U496,GCA!$H$3:$H$593,GCA!F$3:F$593,"",0,1)="","",_xlfn.XLOOKUP($U496,GCA!$H$3:$H$593,GCA!F$3:F$593,"",0,1))</f>
        <v>9494.2250000000004</v>
      </c>
      <c r="X496" s="3">
        <f>IF(_xlfn.XLOOKUP($U496,GCA!$H$3:$H$593,GCA!G$3:G$593,"",0,1)="","",_xlfn.XLOOKUP($U496,GCA!$H$3:$H$593,GCA!G$3:G$593,"",0,1))</f>
        <v>10301.512000000001</v>
      </c>
    </row>
    <row r="497" spans="1:24" ht="13.2">
      <c r="A497" s="49"/>
      <c r="B497" s="49"/>
      <c r="C497" s="48"/>
      <c r="D497" s="49"/>
      <c r="E497" s="50"/>
      <c r="F497" s="26" t="s">
        <v>911</v>
      </c>
      <c r="G497" s="26" t="s">
        <v>912</v>
      </c>
      <c r="H497" s="27">
        <f t="shared" si="235"/>
        <v>21903.325000000001</v>
      </c>
      <c r="I497" s="27">
        <f t="shared" si="235"/>
        <v>22807.09</v>
      </c>
      <c r="J497" s="27">
        <f t="shared" si="235"/>
        <v>25034.904999999999</v>
      </c>
      <c r="K497" s="27">
        <f t="shared" si="236"/>
        <v>23248.440000000002</v>
      </c>
      <c r="L497" s="65"/>
      <c r="M497" s="67">
        <f t="shared" si="243"/>
        <v>0</v>
      </c>
      <c r="N497" s="65" t="str">
        <f t="shared" si="241"/>
        <v/>
      </c>
      <c r="O497" s="65" t="str">
        <f t="shared" si="244"/>
        <v/>
      </c>
      <c r="P497" s="65" t="str">
        <f t="shared" si="244"/>
        <v/>
      </c>
      <c r="Q497" s="38"/>
      <c r="R497" s="3" t="str">
        <f t="shared" si="240"/>
        <v>Thanjavur</v>
      </c>
      <c r="S497" s="3" t="str">
        <f t="shared" si="233"/>
        <v>Thiruvidaimaruthur</v>
      </c>
      <c r="T497" s="3" t="str">
        <f t="shared" si="233"/>
        <v>Tiruppanandal</v>
      </c>
      <c r="U497" s="3" t="str">
        <f t="shared" si="203"/>
        <v>Thanjavur_Thiruvidaimaruthur_Tiruppanandal</v>
      </c>
      <c r="V497" s="3">
        <f>IF(_xlfn.XLOOKUP($U497,GCA!$H$3:$H$593,GCA!E$3:E$593,"",0,1)="","",_xlfn.XLOOKUP($U497,GCA!$H$3:$H$593,GCA!E$3:E$593,"",0,1))</f>
        <v>21903.325000000001</v>
      </c>
      <c r="W497" s="3">
        <f>IF(_xlfn.XLOOKUP($U497,GCA!$H$3:$H$593,GCA!F$3:F$593,"",0,1)="","",_xlfn.XLOOKUP($U497,GCA!$H$3:$H$593,GCA!F$3:F$593,"",0,1))</f>
        <v>22807.09</v>
      </c>
      <c r="X497" s="3">
        <f>IF(_xlfn.XLOOKUP($U497,GCA!$H$3:$H$593,GCA!G$3:G$593,"",0,1)="","",_xlfn.XLOOKUP($U497,GCA!$H$3:$H$593,GCA!G$3:G$593,"",0,1))</f>
        <v>25034.904999999999</v>
      </c>
    </row>
    <row r="498" spans="1:24" ht="13.2">
      <c r="A498" s="49"/>
      <c r="B498" s="49"/>
      <c r="C498" s="48"/>
      <c r="D498" s="49"/>
      <c r="E498" s="47" t="s">
        <v>564</v>
      </c>
      <c r="F498" s="47"/>
      <c r="G498" s="47"/>
      <c r="H498" s="29">
        <f t="shared" ref="H498:P498" si="245">SUM(H476:H497)</f>
        <v>281798.98499999999</v>
      </c>
      <c r="I498" s="29">
        <f t="shared" si="245"/>
        <v>302794.62099999998</v>
      </c>
      <c r="J498" s="29">
        <f t="shared" si="245"/>
        <v>337334.37399999984</v>
      </c>
      <c r="K498" s="29">
        <f t="shared" si="245"/>
        <v>307309.3266666666</v>
      </c>
      <c r="L498" s="29">
        <f t="shared" si="245"/>
        <v>307309.32666666666</v>
      </c>
      <c r="M498" s="30">
        <f t="shared" si="245"/>
        <v>12.89901258747372</v>
      </c>
      <c r="N498" s="31">
        <f t="shared" si="245"/>
        <v>13</v>
      </c>
      <c r="O498" s="31">
        <f t="shared" si="245"/>
        <v>13</v>
      </c>
      <c r="P498" s="31">
        <f t="shared" si="245"/>
        <v>13</v>
      </c>
      <c r="Q498" s="38"/>
      <c r="R498" s="3" t="str">
        <f t="shared" si="240"/>
        <v>Thanjavur</v>
      </c>
      <c r="S498" s="3">
        <f t="shared" si="233"/>
        <v>0</v>
      </c>
      <c r="T498" s="3">
        <f t="shared" si="233"/>
        <v>0</v>
      </c>
      <c r="U498" s="3" t="str">
        <f t="shared" si="203"/>
        <v>Thanjavur_0_0</v>
      </c>
      <c r="V498" s="3" t="str">
        <f>IF(_xlfn.XLOOKUP($U498,GCA!$H$3:$H$593,GCA!E$3:E$593,"",0,1)="","",_xlfn.XLOOKUP($U498,GCA!$H$3:$H$593,GCA!E$3:E$593,"",0,1))</f>
        <v/>
      </c>
      <c r="W498" s="3" t="str">
        <f>IF(_xlfn.XLOOKUP($U498,GCA!$H$3:$H$593,GCA!F$3:F$593,"",0,1)="","",_xlfn.XLOOKUP($U498,GCA!$H$3:$H$593,GCA!F$3:F$593,"",0,1))</f>
        <v/>
      </c>
      <c r="X498" s="3" t="str">
        <f>IF(_xlfn.XLOOKUP($U498,GCA!$H$3:$H$593,GCA!G$3:G$593,"",0,1)="","",_xlfn.XLOOKUP($U498,GCA!$H$3:$H$593,GCA!G$3:G$593,"",0,1))</f>
        <v/>
      </c>
    </row>
    <row r="499" spans="1:24" ht="13.2">
      <c r="A499" s="49"/>
      <c r="B499" s="49"/>
      <c r="C499" s="48" t="s">
        <v>235</v>
      </c>
      <c r="D499" s="49" t="s">
        <v>534</v>
      </c>
      <c r="E499" s="50">
        <v>1</v>
      </c>
      <c r="F499" s="26" t="s">
        <v>712</v>
      </c>
      <c r="G499" s="26" t="s">
        <v>713</v>
      </c>
      <c r="H499" s="27">
        <f t="shared" ref="H499:J519" si="246">V499</f>
        <v>13866.933000000001</v>
      </c>
      <c r="I499" s="27">
        <f t="shared" si="246"/>
        <v>13337.575999999999</v>
      </c>
      <c r="J499" s="27">
        <f t="shared" si="246"/>
        <v>13914.645</v>
      </c>
      <c r="K499" s="27">
        <f t="shared" ref="K499:K519" si="247">IFERROR(AVERAGE(H499:J499),"")</f>
        <v>13706.384666666665</v>
      </c>
      <c r="L499" s="65">
        <f>SUM(K499:K503)</f>
        <v>51960.142666666667</v>
      </c>
      <c r="M499" s="67">
        <f t="shared" ref="M499:M519" si="248">L499*$L$643/$L$642</f>
        <v>2.1809768729578973</v>
      </c>
      <c r="N499" s="65">
        <f t="shared" ref="N499:N519" si="249">IF(M499&gt;=2, ROUND(M499,0), IF(M499&gt;1.1,2,""))</f>
        <v>2</v>
      </c>
      <c r="O499" s="65">
        <f t="shared" ref="O499:P519" si="250">N499</f>
        <v>2</v>
      </c>
      <c r="P499" s="65">
        <f t="shared" si="250"/>
        <v>2</v>
      </c>
      <c r="Q499" s="38"/>
      <c r="R499" s="3" t="str">
        <f t="shared" ref="R499" si="251">C499</f>
        <v>Pudukkottai</v>
      </c>
      <c r="S499" s="3" t="str">
        <f t="shared" si="233"/>
        <v>Alangudy</v>
      </c>
      <c r="T499" s="3" t="str">
        <f t="shared" si="233"/>
        <v>Thiruvarankulam</v>
      </c>
      <c r="U499" s="3" t="str">
        <f t="shared" si="203"/>
        <v>Pudukkottai_Alangudy_Thiruvarankulam</v>
      </c>
      <c r="V499" s="3">
        <f>IF(_xlfn.XLOOKUP($U499,GCA!$H$3:$H$593,GCA!E$3:E$593,"",0,1)="","",_xlfn.XLOOKUP($U499,GCA!$H$3:$H$593,GCA!E$3:E$593,"",0,1))</f>
        <v>13866.933000000001</v>
      </c>
      <c r="W499" s="3">
        <f>IF(_xlfn.XLOOKUP($U499,GCA!$H$3:$H$593,GCA!F$3:F$593,"",0,1)="","",_xlfn.XLOOKUP($U499,GCA!$H$3:$H$593,GCA!F$3:F$593,"",0,1))</f>
        <v>13337.575999999999</v>
      </c>
      <c r="X499" s="3">
        <f>IF(_xlfn.XLOOKUP($U499,GCA!$H$3:$H$593,GCA!G$3:G$593,"",0,1)="","",_xlfn.XLOOKUP($U499,GCA!$H$3:$H$593,GCA!G$3:G$593,"",0,1))</f>
        <v>13914.645</v>
      </c>
    </row>
    <row r="500" spans="1:24" ht="13.2">
      <c r="A500" s="49"/>
      <c r="B500" s="49"/>
      <c r="C500" s="48"/>
      <c r="D500" s="49"/>
      <c r="E500" s="50"/>
      <c r="F500" s="26" t="s">
        <v>714</v>
      </c>
      <c r="G500" s="26" t="s">
        <v>714</v>
      </c>
      <c r="H500" s="27">
        <f t="shared" si="246"/>
        <v>17892.467000000001</v>
      </c>
      <c r="I500" s="27">
        <f t="shared" si="246"/>
        <v>18197.244999999999</v>
      </c>
      <c r="J500" s="27">
        <f t="shared" si="246"/>
        <v>18783.150000000001</v>
      </c>
      <c r="K500" s="27">
        <f t="shared" si="247"/>
        <v>18290.954000000002</v>
      </c>
      <c r="L500" s="65"/>
      <c r="M500" s="67">
        <f t="shared" si="248"/>
        <v>0</v>
      </c>
      <c r="N500" s="65" t="str">
        <f t="shared" si="249"/>
        <v/>
      </c>
      <c r="O500" s="65" t="str">
        <f t="shared" si="250"/>
        <v/>
      </c>
      <c r="P500" s="65" t="str">
        <f t="shared" si="250"/>
        <v/>
      </c>
      <c r="Q500" s="38"/>
      <c r="R500" s="3" t="str">
        <f t="shared" ref="R500:R520" si="252">R499</f>
        <v>Pudukkottai</v>
      </c>
      <c r="S500" s="3" t="str">
        <f t="shared" si="233"/>
        <v>Aranthangi</v>
      </c>
      <c r="T500" s="3" t="str">
        <f t="shared" si="233"/>
        <v>Aranthangi</v>
      </c>
      <c r="U500" s="3" t="str">
        <f t="shared" si="203"/>
        <v>Pudukkottai_Aranthangi_Aranthangi</v>
      </c>
      <c r="V500" s="3">
        <f>IF(_xlfn.XLOOKUP($U500,GCA!$H$3:$H$593,GCA!E$3:E$593,"",0,1)="","",_xlfn.XLOOKUP($U500,GCA!$H$3:$H$593,GCA!E$3:E$593,"",0,1))</f>
        <v>17892.467000000001</v>
      </c>
      <c r="W500" s="3">
        <f>IF(_xlfn.XLOOKUP($U500,GCA!$H$3:$H$593,GCA!F$3:F$593,"",0,1)="","",_xlfn.XLOOKUP($U500,GCA!$H$3:$H$593,GCA!F$3:F$593,"",0,1))</f>
        <v>18197.244999999999</v>
      </c>
      <c r="X500" s="3">
        <f>IF(_xlfn.XLOOKUP($U500,GCA!$H$3:$H$593,GCA!G$3:G$593,"",0,1)="","",_xlfn.XLOOKUP($U500,GCA!$H$3:$H$593,GCA!G$3:G$593,"",0,1))</f>
        <v>18783.150000000001</v>
      </c>
    </row>
    <row r="501" spans="1:24" ht="13.2">
      <c r="A501" s="49"/>
      <c r="B501" s="49"/>
      <c r="C501" s="48"/>
      <c r="D501" s="49"/>
      <c r="E501" s="50"/>
      <c r="F501" s="26" t="s">
        <v>714</v>
      </c>
      <c r="G501" s="26" t="s">
        <v>715</v>
      </c>
      <c r="H501" s="27">
        <f t="shared" si="246"/>
        <v>1978.89</v>
      </c>
      <c r="I501" s="27">
        <f t="shared" si="246"/>
        <v>1967.865</v>
      </c>
      <c r="J501" s="27">
        <f t="shared" si="246"/>
        <v>1956</v>
      </c>
      <c r="K501" s="27">
        <f t="shared" si="247"/>
        <v>1967.585</v>
      </c>
      <c r="L501" s="65"/>
      <c r="M501" s="67">
        <f t="shared" si="248"/>
        <v>0</v>
      </c>
      <c r="N501" s="65" t="str">
        <f t="shared" si="249"/>
        <v/>
      </c>
      <c r="O501" s="65" t="str">
        <f t="shared" si="250"/>
        <v/>
      </c>
      <c r="P501" s="65" t="str">
        <f t="shared" si="250"/>
        <v/>
      </c>
      <c r="Q501" s="38"/>
      <c r="R501" s="3" t="str">
        <f t="shared" si="252"/>
        <v>Pudukkottai</v>
      </c>
      <c r="S501" s="3" t="str">
        <f t="shared" si="233"/>
        <v>Aranthangi</v>
      </c>
      <c r="T501" s="3" t="str">
        <f t="shared" si="233"/>
        <v>Avudaiyarkoil</v>
      </c>
      <c r="U501" s="3" t="str">
        <f t="shared" si="203"/>
        <v>Pudukkottai_Aranthangi_Avudaiyarkoil</v>
      </c>
      <c r="V501" s="3">
        <f>IF(_xlfn.XLOOKUP($U501,GCA!$H$3:$H$593,GCA!E$3:E$593,"",0,1)="","",_xlfn.XLOOKUP($U501,GCA!$H$3:$H$593,GCA!E$3:E$593,"",0,1))</f>
        <v>1978.89</v>
      </c>
      <c r="W501" s="3">
        <f>IF(_xlfn.XLOOKUP($U501,GCA!$H$3:$H$593,GCA!F$3:F$593,"",0,1)="","",_xlfn.XLOOKUP($U501,GCA!$H$3:$H$593,GCA!F$3:F$593,"",0,1))</f>
        <v>1967.865</v>
      </c>
      <c r="X501" s="3">
        <f>IF(_xlfn.XLOOKUP($U501,GCA!$H$3:$H$593,GCA!G$3:G$593,"",0,1)="","",_xlfn.XLOOKUP($U501,GCA!$H$3:$H$593,GCA!G$3:G$593,"",0,1))</f>
        <v>1956</v>
      </c>
    </row>
    <row r="502" spans="1:24" ht="13.2">
      <c r="A502" s="49"/>
      <c r="B502" s="49"/>
      <c r="C502" s="48"/>
      <c r="D502" s="49"/>
      <c r="E502" s="50"/>
      <c r="F502" s="26" t="s">
        <v>715</v>
      </c>
      <c r="G502" s="26" t="s">
        <v>716</v>
      </c>
      <c r="H502" s="27">
        <f t="shared" si="246"/>
        <v>2707.145</v>
      </c>
      <c r="I502" s="27">
        <f t="shared" si="246"/>
        <v>2714.94</v>
      </c>
      <c r="J502" s="27">
        <f t="shared" si="246"/>
        <v>2720.5450000000001</v>
      </c>
      <c r="K502" s="27">
        <f t="shared" si="247"/>
        <v>2714.21</v>
      </c>
      <c r="L502" s="65"/>
      <c r="M502" s="67">
        <f t="shared" si="248"/>
        <v>0</v>
      </c>
      <c r="N502" s="65" t="str">
        <f t="shared" si="249"/>
        <v/>
      </c>
      <c r="O502" s="65" t="str">
        <f t="shared" si="250"/>
        <v/>
      </c>
      <c r="P502" s="65" t="str">
        <f t="shared" si="250"/>
        <v/>
      </c>
      <c r="Q502" s="38"/>
      <c r="R502" s="3" t="str">
        <f t="shared" si="252"/>
        <v>Pudukkottai</v>
      </c>
      <c r="S502" s="3" t="str">
        <f t="shared" si="233"/>
        <v>Avudaiyarkoil</v>
      </c>
      <c r="T502" s="3" t="str">
        <f t="shared" si="233"/>
        <v>Arimalam</v>
      </c>
      <c r="U502" s="3" t="str">
        <f t="shared" ref="U502:U579" si="253">CONCATENATE(R502,"_",S502,"_",T502)</f>
        <v>Pudukkottai_Avudaiyarkoil_Arimalam</v>
      </c>
      <c r="V502" s="3">
        <f>IF(_xlfn.XLOOKUP($U502,GCA!$H$3:$H$593,GCA!E$3:E$593,"",0,1)="","",_xlfn.XLOOKUP($U502,GCA!$H$3:$H$593,GCA!E$3:E$593,"",0,1))</f>
        <v>2707.145</v>
      </c>
      <c r="W502" s="3">
        <f>IF(_xlfn.XLOOKUP($U502,GCA!$H$3:$H$593,GCA!F$3:F$593,"",0,1)="","",_xlfn.XLOOKUP($U502,GCA!$H$3:$H$593,GCA!F$3:F$593,"",0,1))</f>
        <v>2714.94</v>
      </c>
      <c r="X502" s="3">
        <f>IF(_xlfn.XLOOKUP($U502,GCA!$H$3:$H$593,GCA!G$3:G$593,"",0,1)="","",_xlfn.XLOOKUP($U502,GCA!$H$3:$H$593,GCA!G$3:G$593,"",0,1))</f>
        <v>2720.5450000000001</v>
      </c>
    </row>
    <row r="503" spans="1:24" ht="13.2">
      <c r="A503" s="49"/>
      <c r="B503" s="49"/>
      <c r="C503" s="48"/>
      <c r="D503" s="49"/>
      <c r="E503" s="50"/>
      <c r="F503" s="26" t="s">
        <v>715</v>
      </c>
      <c r="G503" s="26" t="s">
        <v>715</v>
      </c>
      <c r="H503" s="27">
        <f t="shared" si="246"/>
        <v>15256.267</v>
      </c>
      <c r="I503" s="27">
        <f t="shared" si="246"/>
        <v>15281.09</v>
      </c>
      <c r="J503" s="27">
        <f t="shared" si="246"/>
        <v>15305.67</v>
      </c>
      <c r="K503" s="27">
        <f t="shared" si="247"/>
        <v>15281.009</v>
      </c>
      <c r="L503" s="65"/>
      <c r="M503" s="67">
        <f t="shared" si="248"/>
        <v>0</v>
      </c>
      <c r="N503" s="65" t="str">
        <f t="shared" si="249"/>
        <v/>
      </c>
      <c r="O503" s="65" t="str">
        <f t="shared" si="250"/>
        <v/>
      </c>
      <c r="P503" s="65" t="str">
        <f t="shared" si="250"/>
        <v/>
      </c>
      <c r="Q503" s="38"/>
      <c r="R503" s="3" t="str">
        <f t="shared" si="252"/>
        <v>Pudukkottai</v>
      </c>
      <c r="S503" s="3" t="str">
        <f t="shared" si="233"/>
        <v>Avudaiyarkoil</v>
      </c>
      <c r="T503" s="3" t="str">
        <f t="shared" si="233"/>
        <v>Avudaiyarkoil</v>
      </c>
      <c r="U503" s="3" t="str">
        <f t="shared" si="253"/>
        <v>Pudukkottai_Avudaiyarkoil_Avudaiyarkoil</v>
      </c>
      <c r="V503" s="3">
        <f>IF(_xlfn.XLOOKUP($U503,GCA!$H$3:$H$593,GCA!E$3:E$593,"",0,1)="","",_xlfn.XLOOKUP($U503,GCA!$H$3:$H$593,GCA!E$3:E$593,"",0,1))</f>
        <v>15256.267</v>
      </c>
      <c r="W503" s="3">
        <f>IF(_xlfn.XLOOKUP($U503,GCA!$H$3:$H$593,GCA!F$3:F$593,"",0,1)="","",_xlfn.XLOOKUP($U503,GCA!$H$3:$H$593,GCA!F$3:F$593,"",0,1))</f>
        <v>15281.09</v>
      </c>
      <c r="X503" s="3">
        <f>IF(_xlfn.XLOOKUP($U503,GCA!$H$3:$H$593,GCA!G$3:G$593,"",0,1)="","",_xlfn.XLOOKUP($U503,GCA!$H$3:$H$593,GCA!G$3:G$593,"",0,1))</f>
        <v>15305.67</v>
      </c>
    </row>
    <row r="504" spans="1:24" ht="13.2">
      <c r="A504" s="49"/>
      <c r="B504" s="49"/>
      <c r="C504" s="48"/>
      <c r="D504" s="49"/>
      <c r="E504" s="50">
        <v>2</v>
      </c>
      <c r="F504" s="26" t="s">
        <v>717</v>
      </c>
      <c r="G504" s="26" t="s">
        <v>717</v>
      </c>
      <c r="H504" s="27">
        <f t="shared" si="246"/>
        <v>15239.156000000001</v>
      </c>
      <c r="I504" s="27">
        <f t="shared" si="246"/>
        <v>15222.805</v>
      </c>
      <c r="J504" s="27">
        <f t="shared" si="246"/>
        <v>15945.76</v>
      </c>
      <c r="K504" s="27">
        <f t="shared" si="247"/>
        <v>15469.240333333335</v>
      </c>
      <c r="L504" s="65">
        <f>SUM(K504:K512)</f>
        <v>55023.923666666669</v>
      </c>
      <c r="M504" s="67">
        <f t="shared" si="248"/>
        <v>2.3095761254209677</v>
      </c>
      <c r="N504" s="65">
        <f t="shared" si="249"/>
        <v>2</v>
      </c>
      <c r="O504" s="65">
        <f t="shared" si="250"/>
        <v>2</v>
      </c>
      <c r="P504" s="65">
        <f t="shared" si="250"/>
        <v>2</v>
      </c>
      <c r="Q504" s="38"/>
      <c r="R504" s="3" t="str">
        <f t="shared" si="252"/>
        <v>Pudukkottai</v>
      </c>
      <c r="S504" s="3" t="str">
        <f t="shared" si="233"/>
        <v>Gandarvakottai</v>
      </c>
      <c r="T504" s="3" t="str">
        <f t="shared" si="233"/>
        <v>Gandarvakottai</v>
      </c>
      <c r="U504" s="3" t="str">
        <f t="shared" si="253"/>
        <v>Pudukkottai_Gandarvakottai_Gandarvakottai</v>
      </c>
      <c r="V504" s="3">
        <f>IF(_xlfn.XLOOKUP($U504,GCA!$H$3:$H$593,GCA!E$3:E$593,"",0,1)="","",_xlfn.XLOOKUP($U504,GCA!$H$3:$H$593,GCA!E$3:E$593,"",0,1))</f>
        <v>15239.156000000001</v>
      </c>
      <c r="W504" s="3">
        <f>IF(_xlfn.XLOOKUP($U504,GCA!$H$3:$H$593,GCA!F$3:F$593,"",0,1)="","",_xlfn.XLOOKUP($U504,GCA!$H$3:$H$593,GCA!F$3:F$593,"",0,1))</f>
        <v>15222.805</v>
      </c>
      <c r="X504" s="3">
        <f>IF(_xlfn.XLOOKUP($U504,GCA!$H$3:$H$593,GCA!G$3:G$593,"",0,1)="","",_xlfn.XLOOKUP($U504,GCA!$H$3:$H$593,GCA!G$3:G$593,"",0,1))</f>
        <v>15945.76</v>
      </c>
    </row>
    <row r="505" spans="1:24" ht="13.2">
      <c r="A505" s="49"/>
      <c r="B505" s="49"/>
      <c r="C505" s="48"/>
      <c r="D505" s="49"/>
      <c r="E505" s="50"/>
      <c r="F505" s="26" t="s">
        <v>717</v>
      </c>
      <c r="G505" s="26" t="s">
        <v>235</v>
      </c>
      <c r="H505" s="27">
        <f t="shared" si="246"/>
        <v>425.27499999999998</v>
      </c>
      <c r="I505" s="27">
        <f t="shared" si="246"/>
        <v>398.77</v>
      </c>
      <c r="J505" s="27">
        <f t="shared" si="246"/>
        <v>312.64499999999998</v>
      </c>
      <c r="K505" s="27">
        <f t="shared" si="247"/>
        <v>378.8966666666667</v>
      </c>
      <c r="L505" s="65"/>
      <c r="M505" s="67">
        <f t="shared" si="248"/>
        <v>0</v>
      </c>
      <c r="N505" s="65" t="str">
        <f t="shared" si="249"/>
        <v/>
      </c>
      <c r="O505" s="65" t="str">
        <f t="shared" si="250"/>
        <v/>
      </c>
      <c r="P505" s="65" t="str">
        <f t="shared" si="250"/>
        <v/>
      </c>
      <c r="Q505" s="38"/>
      <c r="R505" s="3" t="str">
        <f t="shared" si="252"/>
        <v>Pudukkottai</v>
      </c>
      <c r="S505" s="3" t="str">
        <f t="shared" si="233"/>
        <v>Gandarvakottai</v>
      </c>
      <c r="T505" s="3" t="str">
        <f t="shared" si="233"/>
        <v>Pudukkottai</v>
      </c>
      <c r="U505" s="3" t="str">
        <f t="shared" si="253"/>
        <v>Pudukkottai_Gandarvakottai_Pudukkottai</v>
      </c>
      <c r="V505" s="3">
        <f>IF(_xlfn.XLOOKUP($U505,GCA!$H$3:$H$593,GCA!E$3:E$593,"",0,1)="","",_xlfn.XLOOKUP($U505,GCA!$H$3:$H$593,GCA!E$3:E$593,"",0,1))</f>
        <v>425.27499999999998</v>
      </c>
      <c r="W505" s="3">
        <f>IF(_xlfn.XLOOKUP($U505,GCA!$H$3:$H$593,GCA!F$3:F$593,"",0,1)="","",_xlfn.XLOOKUP($U505,GCA!$H$3:$H$593,GCA!F$3:F$593,"",0,1))</f>
        <v>398.77</v>
      </c>
      <c r="X505" s="3">
        <f>IF(_xlfn.XLOOKUP($U505,GCA!$H$3:$H$593,GCA!G$3:G$593,"",0,1)="","",_xlfn.XLOOKUP($U505,GCA!$H$3:$H$593,GCA!G$3:G$593,"",0,1))</f>
        <v>312.64499999999998</v>
      </c>
    </row>
    <row r="506" spans="1:24" ht="13.2">
      <c r="A506" s="49"/>
      <c r="B506" s="49"/>
      <c r="C506" s="48"/>
      <c r="D506" s="49"/>
      <c r="E506" s="50"/>
      <c r="F506" s="26" t="s">
        <v>718</v>
      </c>
      <c r="G506" s="26" t="s">
        <v>719</v>
      </c>
      <c r="H506" s="27">
        <f t="shared" si="246"/>
        <v>6907.87</v>
      </c>
      <c r="I506" s="27">
        <f t="shared" si="246"/>
        <v>6447.5550000000003</v>
      </c>
      <c r="J506" s="27">
        <f t="shared" si="246"/>
        <v>8281.1200000000008</v>
      </c>
      <c r="K506" s="27">
        <f t="shared" si="247"/>
        <v>7212.1816666666664</v>
      </c>
      <c r="L506" s="65"/>
      <c r="M506" s="67">
        <f t="shared" si="248"/>
        <v>0</v>
      </c>
      <c r="N506" s="65" t="str">
        <f t="shared" si="249"/>
        <v/>
      </c>
      <c r="O506" s="65" t="str">
        <f t="shared" si="250"/>
        <v/>
      </c>
      <c r="P506" s="65" t="str">
        <f t="shared" si="250"/>
        <v/>
      </c>
      <c r="Q506" s="38"/>
      <c r="R506" s="3" t="str">
        <f t="shared" si="252"/>
        <v>Pudukkottai</v>
      </c>
      <c r="S506" s="3" t="str">
        <f t="shared" si="233"/>
        <v>Illuppur</v>
      </c>
      <c r="T506" s="3" t="str">
        <f t="shared" si="233"/>
        <v>Annavasal</v>
      </c>
      <c r="U506" s="3" t="str">
        <f t="shared" si="253"/>
        <v>Pudukkottai_Illuppur_Annavasal</v>
      </c>
      <c r="V506" s="3">
        <f>IF(_xlfn.XLOOKUP($U506,GCA!$H$3:$H$593,GCA!E$3:E$593,"",0,1)="","",_xlfn.XLOOKUP($U506,GCA!$H$3:$H$593,GCA!E$3:E$593,"",0,1))</f>
        <v>6907.87</v>
      </c>
      <c r="W506" s="3">
        <f>IF(_xlfn.XLOOKUP($U506,GCA!$H$3:$H$593,GCA!F$3:F$593,"",0,1)="","",_xlfn.XLOOKUP($U506,GCA!$H$3:$H$593,GCA!F$3:F$593,"",0,1))</f>
        <v>6447.5550000000003</v>
      </c>
      <c r="X506" s="3">
        <f>IF(_xlfn.XLOOKUP($U506,GCA!$H$3:$H$593,GCA!G$3:G$593,"",0,1)="","",_xlfn.XLOOKUP($U506,GCA!$H$3:$H$593,GCA!G$3:G$593,"",0,1))</f>
        <v>8281.1200000000008</v>
      </c>
    </row>
    <row r="507" spans="1:24" ht="13.2">
      <c r="A507" s="49"/>
      <c r="B507" s="49"/>
      <c r="C507" s="48"/>
      <c r="D507" s="49"/>
      <c r="E507" s="50"/>
      <c r="F507" s="26" t="s">
        <v>718</v>
      </c>
      <c r="G507" s="26" t="s">
        <v>720</v>
      </c>
      <c r="H507" s="27">
        <f t="shared" si="246"/>
        <v>530.41499999999996</v>
      </c>
      <c r="I507" s="27">
        <f t="shared" si="246"/>
        <v>506.12</v>
      </c>
      <c r="J507" s="27">
        <f t="shared" si="246"/>
        <v>473.85</v>
      </c>
      <c r="K507" s="27">
        <f t="shared" si="247"/>
        <v>503.46166666666659</v>
      </c>
      <c r="L507" s="65"/>
      <c r="M507" s="67">
        <f t="shared" si="248"/>
        <v>0</v>
      </c>
      <c r="N507" s="65" t="str">
        <f t="shared" si="249"/>
        <v/>
      </c>
      <c r="O507" s="65" t="str">
        <f t="shared" si="250"/>
        <v/>
      </c>
      <c r="P507" s="65" t="str">
        <f t="shared" si="250"/>
        <v/>
      </c>
      <c r="Q507" s="38"/>
      <c r="R507" s="3" t="str">
        <f t="shared" si="252"/>
        <v>Pudukkottai</v>
      </c>
      <c r="S507" s="3" t="str">
        <f t="shared" si="233"/>
        <v>Illuppur</v>
      </c>
      <c r="T507" s="3" t="str">
        <f t="shared" si="233"/>
        <v>Kunnandarkoil</v>
      </c>
      <c r="U507" s="3" t="str">
        <f t="shared" si="253"/>
        <v>Pudukkottai_Illuppur_Kunnandarkoil</v>
      </c>
      <c r="V507" s="3">
        <f>IF(_xlfn.XLOOKUP($U507,GCA!$H$3:$H$593,GCA!E$3:E$593,"",0,1)="","",_xlfn.XLOOKUP($U507,GCA!$H$3:$H$593,GCA!E$3:E$593,"",0,1))</f>
        <v>530.41499999999996</v>
      </c>
      <c r="W507" s="3">
        <f>IF(_xlfn.XLOOKUP($U507,GCA!$H$3:$H$593,GCA!F$3:F$593,"",0,1)="","",_xlfn.XLOOKUP($U507,GCA!$H$3:$H$593,GCA!F$3:F$593,"",0,1))</f>
        <v>506.12</v>
      </c>
      <c r="X507" s="3">
        <f>IF(_xlfn.XLOOKUP($U507,GCA!$H$3:$H$593,GCA!G$3:G$593,"",0,1)="","",_xlfn.XLOOKUP($U507,GCA!$H$3:$H$593,GCA!G$3:G$593,"",0,1))</f>
        <v>473.85</v>
      </c>
    </row>
    <row r="508" spans="1:24" ht="13.2">
      <c r="A508" s="49"/>
      <c r="B508" s="49"/>
      <c r="C508" s="48"/>
      <c r="D508" s="49"/>
      <c r="E508" s="50"/>
      <c r="F508" s="26" t="s">
        <v>718</v>
      </c>
      <c r="G508" s="26" t="s">
        <v>721</v>
      </c>
      <c r="H508" s="27">
        <f t="shared" si="246"/>
        <v>1318.28</v>
      </c>
      <c r="I508" s="27">
        <f t="shared" si="246"/>
        <v>1362.635</v>
      </c>
      <c r="J508" s="27">
        <f t="shared" si="246"/>
        <v>1495.9549999999999</v>
      </c>
      <c r="K508" s="27">
        <f t="shared" si="247"/>
        <v>1392.29</v>
      </c>
      <c r="L508" s="65"/>
      <c r="M508" s="67">
        <f t="shared" si="248"/>
        <v>0</v>
      </c>
      <c r="N508" s="65" t="str">
        <f t="shared" si="249"/>
        <v/>
      </c>
      <c r="O508" s="65" t="str">
        <f t="shared" si="250"/>
        <v/>
      </c>
      <c r="P508" s="65" t="str">
        <f t="shared" si="250"/>
        <v/>
      </c>
      <c r="Q508" s="38"/>
      <c r="R508" s="3" t="str">
        <f t="shared" si="252"/>
        <v>Pudukkottai</v>
      </c>
      <c r="S508" s="3" t="str">
        <f t="shared" si="233"/>
        <v>Illuppur</v>
      </c>
      <c r="T508" s="3" t="str">
        <f t="shared" si="233"/>
        <v>Viralimalai</v>
      </c>
      <c r="U508" s="3" t="str">
        <f t="shared" si="253"/>
        <v>Pudukkottai_Illuppur_Viralimalai</v>
      </c>
      <c r="V508" s="3">
        <f>IF(_xlfn.XLOOKUP($U508,GCA!$H$3:$H$593,GCA!E$3:E$593,"",0,1)="","",_xlfn.XLOOKUP($U508,GCA!$H$3:$H$593,GCA!E$3:E$593,"",0,1))</f>
        <v>1318.28</v>
      </c>
      <c r="W508" s="3">
        <f>IF(_xlfn.XLOOKUP($U508,GCA!$H$3:$H$593,GCA!F$3:F$593,"",0,1)="","",_xlfn.XLOOKUP($U508,GCA!$H$3:$H$593,GCA!F$3:F$593,"",0,1))</f>
        <v>1362.635</v>
      </c>
      <c r="X508" s="3">
        <f>IF(_xlfn.XLOOKUP($U508,GCA!$H$3:$H$593,GCA!G$3:G$593,"",0,1)="","",_xlfn.XLOOKUP($U508,GCA!$H$3:$H$593,GCA!G$3:G$593,"",0,1))</f>
        <v>1495.9549999999999</v>
      </c>
    </row>
    <row r="509" spans="1:24" ht="13.2">
      <c r="A509" s="49"/>
      <c r="B509" s="49"/>
      <c r="C509" s="48"/>
      <c r="D509" s="49"/>
      <c r="E509" s="50"/>
      <c r="F509" s="26" t="s">
        <v>722</v>
      </c>
      <c r="G509" s="26" t="s">
        <v>722</v>
      </c>
      <c r="H509" s="27">
        <f t="shared" si="246"/>
        <v>16047.39</v>
      </c>
      <c r="I509" s="27">
        <f t="shared" si="246"/>
        <v>16671.169999999998</v>
      </c>
      <c r="J509" s="27">
        <f t="shared" si="246"/>
        <v>15996.91</v>
      </c>
      <c r="K509" s="27">
        <f t="shared" si="247"/>
        <v>16238.49</v>
      </c>
      <c r="L509" s="65"/>
      <c r="M509" s="67">
        <f t="shared" si="248"/>
        <v>0</v>
      </c>
      <c r="N509" s="65" t="str">
        <f t="shared" si="249"/>
        <v/>
      </c>
      <c r="O509" s="65" t="str">
        <f t="shared" si="250"/>
        <v/>
      </c>
      <c r="P509" s="65" t="str">
        <f t="shared" si="250"/>
        <v/>
      </c>
      <c r="Q509" s="38"/>
      <c r="R509" s="3" t="str">
        <f t="shared" si="252"/>
        <v>Pudukkottai</v>
      </c>
      <c r="S509" s="3" t="str">
        <f t="shared" si="233"/>
        <v>Karambakudi</v>
      </c>
      <c r="T509" s="3" t="str">
        <f t="shared" si="233"/>
        <v>Karambakudi</v>
      </c>
      <c r="U509" s="3" t="str">
        <f t="shared" si="253"/>
        <v>Pudukkottai_Karambakudi_Karambakudi</v>
      </c>
      <c r="V509" s="3">
        <f>IF(_xlfn.XLOOKUP($U509,GCA!$H$3:$H$593,GCA!E$3:E$593,"",0,1)="","",_xlfn.XLOOKUP($U509,GCA!$H$3:$H$593,GCA!E$3:E$593,"",0,1))</f>
        <v>16047.39</v>
      </c>
      <c r="W509" s="3">
        <f>IF(_xlfn.XLOOKUP($U509,GCA!$H$3:$H$593,GCA!F$3:F$593,"",0,1)="","",_xlfn.XLOOKUP($U509,GCA!$H$3:$H$593,GCA!F$3:F$593,"",0,1))</f>
        <v>16671.169999999998</v>
      </c>
      <c r="X509" s="3">
        <f>IF(_xlfn.XLOOKUP($U509,GCA!$H$3:$H$593,GCA!G$3:G$593,"",0,1)="","",_xlfn.XLOOKUP($U509,GCA!$H$3:$H$593,GCA!G$3:G$593,"",0,1))</f>
        <v>15996.91</v>
      </c>
    </row>
    <row r="510" spans="1:24" ht="13.2">
      <c r="A510" s="49"/>
      <c r="B510" s="49"/>
      <c r="C510" s="48"/>
      <c r="D510" s="49"/>
      <c r="E510" s="50"/>
      <c r="F510" s="26" t="s">
        <v>723</v>
      </c>
      <c r="G510" s="26" t="s">
        <v>719</v>
      </c>
      <c r="H510" s="27">
        <f t="shared" si="246"/>
        <v>1497.4949999999999</v>
      </c>
      <c r="I510" s="27">
        <f t="shared" si="246"/>
        <v>1575.1849999999999</v>
      </c>
      <c r="J510" s="27">
        <f t="shared" si="246"/>
        <v>1749.2650000000001</v>
      </c>
      <c r="K510" s="27">
        <f t="shared" si="247"/>
        <v>1607.3149999999998</v>
      </c>
      <c r="L510" s="65"/>
      <c r="M510" s="67">
        <f t="shared" si="248"/>
        <v>0</v>
      </c>
      <c r="N510" s="65" t="str">
        <f t="shared" si="249"/>
        <v/>
      </c>
      <c r="O510" s="65" t="str">
        <f t="shared" si="250"/>
        <v/>
      </c>
      <c r="P510" s="65" t="str">
        <f t="shared" si="250"/>
        <v/>
      </c>
      <c r="Q510" s="38"/>
      <c r="R510" s="3" t="str">
        <f t="shared" si="252"/>
        <v>Pudukkottai</v>
      </c>
      <c r="S510" s="3" t="str">
        <f t="shared" si="233"/>
        <v>Kulathur</v>
      </c>
      <c r="T510" s="3" t="str">
        <f t="shared" si="233"/>
        <v>Annavasal</v>
      </c>
      <c r="U510" s="3" t="str">
        <f t="shared" si="253"/>
        <v>Pudukkottai_Kulathur_Annavasal</v>
      </c>
      <c r="V510" s="3">
        <f>IF(_xlfn.XLOOKUP($U510,GCA!$H$3:$H$593,GCA!E$3:E$593,"",0,1)="","",_xlfn.XLOOKUP($U510,GCA!$H$3:$H$593,GCA!E$3:E$593,"",0,1))</f>
        <v>1497.4949999999999</v>
      </c>
      <c r="W510" s="3">
        <f>IF(_xlfn.XLOOKUP($U510,GCA!$H$3:$H$593,GCA!F$3:F$593,"",0,1)="","",_xlfn.XLOOKUP($U510,GCA!$H$3:$H$593,GCA!F$3:F$593,"",0,1))</f>
        <v>1575.1849999999999</v>
      </c>
      <c r="X510" s="3">
        <f>IF(_xlfn.XLOOKUP($U510,GCA!$H$3:$H$593,GCA!G$3:G$593,"",0,1)="","",_xlfn.XLOOKUP($U510,GCA!$H$3:$H$593,GCA!G$3:G$593,"",0,1))</f>
        <v>1749.2650000000001</v>
      </c>
    </row>
    <row r="511" spans="1:24" ht="13.2">
      <c r="A511" s="49"/>
      <c r="B511" s="49"/>
      <c r="C511" s="48"/>
      <c r="D511" s="49"/>
      <c r="E511" s="50"/>
      <c r="F511" s="26" t="s">
        <v>723</v>
      </c>
      <c r="G511" s="26" t="s">
        <v>720</v>
      </c>
      <c r="H511" s="27">
        <f t="shared" si="246"/>
        <v>8665.5650000000005</v>
      </c>
      <c r="I511" s="27">
        <f t="shared" si="246"/>
        <v>9500.2849999999999</v>
      </c>
      <c r="J511" s="27">
        <f t="shared" si="246"/>
        <v>10382.495000000001</v>
      </c>
      <c r="K511" s="27">
        <f t="shared" si="247"/>
        <v>9516.1149999999998</v>
      </c>
      <c r="L511" s="65"/>
      <c r="M511" s="67">
        <f t="shared" si="248"/>
        <v>0</v>
      </c>
      <c r="N511" s="65" t="str">
        <f t="shared" si="249"/>
        <v/>
      </c>
      <c r="O511" s="65" t="str">
        <f t="shared" si="250"/>
        <v/>
      </c>
      <c r="P511" s="65" t="str">
        <f t="shared" si="250"/>
        <v/>
      </c>
      <c r="Q511" s="38"/>
      <c r="R511" s="3" t="str">
        <f t="shared" si="252"/>
        <v>Pudukkottai</v>
      </c>
      <c r="S511" s="3" t="str">
        <f t="shared" si="233"/>
        <v>Kulathur</v>
      </c>
      <c r="T511" s="3" t="str">
        <f t="shared" si="233"/>
        <v>Kunnandarkoil</v>
      </c>
      <c r="U511" s="3" t="str">
        <f t="shared" si="253"/>
        <v>Pudukkottai_Kulathur_Kunnandarkoil</v>
      </c>
      <c r="V511" s="3">
        <f>IF(_xlfn.XLOOKUP($U511,GCA!$H$3:$H$593,GCA!E$3:E$593,"",0,1)="","",_xlfn.XLOOKUP($U511,GCA!$H$3:$H$593,GCA!E$3:E$593,"",0,1))</f>
        <v>8665.5650000000005</v>
      </c>
      <c r="W511" s="3">
        <f>IF(_xlfn.XLOOKUP($U511,GCA!$H$3:$H$593,GCA!F$3:F$593,"",0,1)="","",_xlfn.XLOOKUP($U511,GCA!$H$3:$H$593,GCA!F$3:F$593,"",0,1))</f>
        <v>9500.2849999999999</v>
      </c>
      <c r="X511" s="3">
        <f>IF(_xlfn.XLOOKUP($U511,GCA!$H$3:$H$593,GCA!G$3:G$593,"",0,1)="","",_xlfn.XLOOKUP($U511,GCA!$H$3:$H$593,GCA!G$3:G$593,"",0,1))</f>
        <v>10382.495000000001</v>
      </c>
    </row>
    <row r="512" spans="1:24" ht="13.2">
      <c r="A512" s="49"/>
      <c r="B512" s="49"/>
      <c r="C512" s="48"/>
      <c r="D512" s="49"/>
      <c r="E512" s="50"/>
      <c r="F512" s="26" t="s">
        <v>723</v>
      </c>
      <c r="G512" s="26" t="s">
        <v>721</v>
      </c>
      <c r="H512" s="27">
        <f t="shared" si="246"/>
        <v>2615.9949999999999</v>
      </c>
      <c r="I512" s="27">
        <f t="shared" si="246"/>
        <v>2751.2249999999999</v>
      </c>
      <c r="J512" s="27">
        <f t="shared" si="246"/>
        <v>2750.58</v>
      </c>
      <c r="K512" s="27">
        <f t="shared" si="247"/>
        <v>2705.9333333333329</v>
      </c>
      <c r="L512" s="65"/>
      <c r="M512" s="67">
        <f t="shared" si="248"/>
        <v>0</v>
      </c>
      <c r="N512" s="65" t="str">
        <f t="shared" si="249"/>
        <v/>
      </c>
      <c r="O512" s="65" t="str">
        <f t="shared" si="250"/>
        <v/>
      </c>
      <c r="P512" s="65" t="str">
        <f t="shared" si="250"/>
        <v/>
      </c>
      <c r="Q512" s="38"/>
      <c r="R512" s="3" t="str">
        <f t="shared" si="252"/>
        <v>Pudukkottai</v>
      </c>
      <c r="S512" s="3" t="str">
        <f t="shared" si="233"/>
        <v>Kulathur</v>
      </c>
      <c r="T512" s="3" t="str">
        <f t="shared" si="233"/>
        <v>Viralimalai</v>
      </c>
      <c r="U512" s="3" t="str">
        <f t="shared" si="253"/>
        <v>Pudukkottai_Kulathur_Viralimalai</v>
      </c>
      <c r="V512" s="3">
        <f>IF(_xlfn.XLOOKUP($U512,GCA!$H$3:$H$593,GCA!E$3:E$593,"",0,1)="","",_xlfn.XLOOKUP($U512,GCA!$H$3:$H$593,GCA!E$3:E$593,"",0,1))</f>
        <v>2615.9949999999999</v>
      </c>
      <c r="W512" s="3">
        <f>IF(_xlfn.XLOOKUP($U512,GCA!$H$3:$H$593,GCA!F$3:F$593,"",0,1)="","",_xlfn.XLOOKUP($U512,GCA!$H$3:$H$593,GCA!F$3:F$593,"",0,1))</f>
        <v>2751.2249999999999</v>
      </c>
      <c r="X512" s="3">
        <f>IF(_xlfn.XLOOKUP($U512,GCA!$H$3:$H$593,GCA!G$3:G$593,"",0,1)="","",_xlfn.XLOOKUP($U512,GCA!$H$3:$H$593,GCA!G$3:G$593,"",0,1))</f>
        <v>2750.58</v>
      </c>
    </row>
    <row r="513" spans="1:24" ht="13.2">
      <c r="A513" s="49"/>
      <c r="B513" s="49"/>
      <c r="C513" s="48"/>
      <c r="D513" s="49"/>
      <c r="E513" s="50">
        <v>3</v>
      </c>
      <c r="F513" s="26" t="s">
        <v>724</v>
      </c>
      <c r="G513" s="26" t="s">
        <v>724</v>
      </c>
      <c r="H513" s="27">
        <f t="shared" si="246"/>
        <v>11441.848</v>
      </c>
      <c r="I513" s="27">
        <f t="shared" si="246"/>
        <v>11532.173000000001</v>
      </c>
      <c r="J513" s="27">
        <f t="shared" si="246"/>
        <v>11915.710999999999</v>
      </c>
      <c r="K513" s="27">
        <f t="shared" si="247"/>
        <v>11629.910666666668</v>
      </c>
      <c r="L513" s="65">
        <f>SUM(K513:K519)</f>
        <v>40818.251333333334</v>
      </c>
      <c r="M513" s="67">
        <f t="shared" si="248"/>
        <v>1.7133067305778027</v>
      </c>
      <c r="N513" s="65">
        <f t="shared" si="249"/>
        <v>2</v>
      </c>
      <c r="O513" s="65">
        <f t="shared" si="250"/>
        <v>2</v>
      </c>
      <c r="P513" s="65">
        <f t="shared" si="250"/>
        <v>2</v>
      </c>
      <c r="Q513" s="38"/>
      <c r="R513" s="3" t="str">
        <f t="shared" si="252"/>
        <v>Pudukkottai</v>
      </c>
      <c r="S513" s="3" t="str">
        <f t="shared" si="233"/>
        <v>Manamelkudy</v>
      </c>
      <c r="T513" s="3" t="str">
        <f t="shared" si="233"/>
        <v>Manamelkudy</v>
      </c>
      <c r="U513" s="3" t="str">
        <f t="shared" si="253"/>
        <v>Pudukkottai_Manamelkudy_Manamelkudy</v>
      </c>
      <c r="V513" s="3">
        <f>IF(_xlfn.XLOOKUP($U513,GCA!$H$3:$H$593,GCA!E$3:E$593,"",0,1)="","",_xlfn.XLOOKUP($U513,GCA!$H$3:$H$593,GCA!E$3:E$593,"",0,1))</f>
        <v>11441.848</v>
      </c>
      <c r="W513" s="3">
        <f>IF(_xlfn.XLOOKUP($U513,GCA!$H$3:$H$593,GCA!F$3:F$593,"",0,1)="","",_xlfn.XLOOKUP($U513,GCA!$H$3:$H$593,GCA!F$3:F$593,"",0,1))</f>
        <v>11532.173000000001</v>
      </c>
      <c r="X513" s="3">
        <f>IF(_xlfn.XLOOKUP($U513,GCA!$H$3:$H$593,GCA!G$3:G$593,"",0,1)="","",_xlfn.XLOOKUP($U513,GCA!$H$3:$H$593,GCA!G$3:G$593,"",0,1))</f>
        <v>11915.710999999999</v>
      </c>
    </row>
    <row r="514" spans="1:24" ht="13.2">
      <c r="A514" s="49"/>
      <c r="B514" s="49"/>
      <c r="C514" s="48"/>
      <c r="D514" s="49"/>
      <c r="E514" s="50"/>
      <c r="F514" s="26" t="s">
        <v>725</v>
      </c>
      <c r="G514" s="26" t="s">
        <v>725</v>
      </c>
      <c r="H514" s="27">
        <f t="shared" si="246"/>
        <v>6043.9120000000003</v>
      </c>
      <c r="I514" s="27">
        <f t="shared" si="246"/>
        <v>5140.7700000000004</v>
      </c>
      <c r="J514" s="27">
        <f t="shared" si="246"/>
        <v>6210.0950000000003</v>
      </c>
      <c r="K514" s="27">
        <f t="shared" si="247"/>
        <v>5798.2590000000009</v>
      </c>
      <c r="L514" s="65"/>
      <c r="M514" s="67">
        <f t="shared" si="248"/>
        <v>0</v>
      </c>
      <c r="N514" s="65" t="str">
        <f t="shared" si="249"/>
        <v/>
      </c>
      <c r="O514" s="65" t="str">
        <f t="shared" si="250"/>
        <v/>
      </c>
      <c r="P514" s="65" t="str">
        <f t="shared" si="250"/>
        <v/>
      </c>
      <c r="Q514" s="38"/>
      <c r="R514" s="3" t="str">
        <f t="shared" si="252"/>
        <v>Pudukkottai</v>
      </c>
      <c r="S514" s="3" t="str">
        <f t="shared" si="233"/>
        <v>Ponnamaravathy</v>
      </c>
      <c r="T514" s="3" t="str">
        <f t="shared" si="233"/>
        <v>Ponnamaravathy</v>
      </c>
      <c r="U514" s="3" t="str">
        <f t="shared" si="253"/>
        <v>Pudukkottai_Ponnamaravathy_Ponnamaravathy</v>
      </c>
      <c r="V514" s="3">
        <f>IF(_xlfn.XLOOKUP($U514,GCA!$H$3:$H$593,GCA!E$3:E$593,"",0,1)="","",_xlfn.XLOOKUP($U514,GCA!$H$3:$H$593,GCA!E$3:E$593,"",0,1))</f>
        <v>6043.9120000000003</v>
      </c>
      <c r="W514" s="3">
        <f>IF(_xlfn.XLOOKUP($U514,GCA!$H$3:$H$593,GCA!F$3:F$593,"",0,1)="","",_xlfn.XLOOKUP($U514,GCA!$H$3:$H$593,GCA!F$3:F$593,"",0,1))</f>
        <v>5140.7700000000004</v>
      </c>
      <c r="X514" s="3">
        <f>IF(_xlfn.XLOOKUP($U514,GCA!$H$3:$H$593,GCA!G$3:G$593,"",0,1)="","",_xlfn.XLOOKUP($U514,GCA!$H$3:$H$593,GCA!G$3:G$593,"",0,1))</f>
        <v>6210.0950000000003</v>
      </c>
    </row>
    <row r="515" spans="1:24" ht="13.2">
      <c r="A515" s="49"/>
      <c r="B515" s="49"/>
      <c r="C515" s="48"/>
      <c r="D515" s="49"/>
      <c r="E515" s="50"/>
      <c r="F515" s="26" t="s">
        <v>235</v>
      </c>
      <c r="G515" s="26" t="s">
        <v>719</v>
      </c>
      <c r="H515" s="27">
        <f t="shared" si="246"/>
        <v>17.704999999999998</v>
      </c>
      <c r="I515" s="27">
        <f t="shared" si="246"/>
        <v>20.2</v>
      </c>
      <c r="J515" s="27">
        <f t="shared" si="246"/>
        <v>14.85</v>
      </c>
      <c r="K515" s="27">
        <f t="shared" si="247"/>
        <v>17.585000000000001</v>
      </c>
      <c r="L515" s="65"/>
      <c r="M515" s="67">
        <f t="shared" si="248"/>
        <v>0</v>
      </c>
      <c r="N515" s="65" t="str">
        <f t="shared" si="249"/>
        <v/>
      </c>
      <c r="O515" s="65" t="str">
        <f t="shared" si="250"/>
        <v/>
      </c>
      <c r="P515" s="65" t="str">
        <f t="shared" si="250"/>
        <v/>
      </c>
      <c r="Q515" s="38"/>
      <c r="R515" s="3" t="str">
        <f t="shared" si="252"/>
        <v>Pudukkottai</v>
      </c>
      <c r="S515" s="3" t="str">
        <f t="shared" si="233"/>
        <v>Pudukkottai</v>
      </c>
      <c r="T515" s="3" t="str">
        <f t="shared" si="233"/>
        <v>Annavasal</v>
      </c>
      <c r="U515" s="3" t="str">
        <f t="shared" si="253"/>
        <v>Pudukkottai_Pudukkottai_Annavasal</v>
      </c>
      <c r="V515" s="3">
        <f>IF(_xlfn.XLOOKUP($U515,GCA!$H$3:$H$593,GCA!E$3:E$593,"",0,1)="","",_xlfn.XLOOKUP($U515,GCA!$H$3:$H$593,GCA!E$3:E$593,"",0,1))</f>
        <v>17.704999999999998</v>
      </c>
      <c r="W515" s="3">
        <f>IF(_xlfn.XLOOKUP($U515,GCA!$H$3:$H$593,GCA!F$3:F$593,"",0,1)="","",_xlfn.XLOOKUP($U515,GCA!$H$3:$H$593,GCA!F$3:F$593,"",0,1))</f>
        <v>20.2</v>
      </c>
      <c r="X515" s="3">
        <f>IF(_xlfn.XLOOKUP($U515,GCA!$H$3:$H$593,GCA!G$3:G$593,"",0,1)="","",_xlfn.XLOOKUP($U515,GCA!$H$3:$H$593,GCA!G$3:G$593,"",0,1))</f>
        <v>14.85</v>
      </c>
    </row>
    <row r="516" spans="1:24" ht="13.2">
      <c r="A516" s="49"/>
      <c r="B516" s="49"/>
      <c r="C516" s="48"/>
      <c r="D516" s="49"/>
      <c r="E516" s="50"/>
      <c r="F516" s="26" t="s">
        <v>235</v>
      </c>
      <c r="G516" s="26" t="s">
        <v>235</v>
      </c>
      <c r="H516" s="27">
        <f t="shared" si="246"/>
        <v>6605.39</v>
      </c>
      <c r="I516" s="27">
        <f t="shared" si="246"/>
        <v>6407.915</v>
      </c>
      <c r="J516" s="27">
        <f t="shared" si="246"/>
        <v>7376.21</v>
      </c>
      <c r="K516" s="27">
        <f t="shared" si="247"/>
        <v>6796.5050000000001</v>
      </c>
      <c r="L516" s="65"/>
      <c r="M516" s="67">
        <f t="shared" si="248"/>
        <v>0</v>
      </c>
      <c r="N516" s="65" t="str">
        <f t="shared" si="249"/>
        <v/>
      </c>
      <c r="O516" s="65" t="str">
        <f t="shared" si="250"/>
        <v/>
      </c>
      <c r="P516" s="65" t="str">
        <f t="shared" si="250"/>
        <v/>
      </c>
      <c r="Q516" s="38"/>
      <c r="R516" s="3" t="str">
        <f t="shared" si="252"/>
        <v>Pudukkottai</v>
      </c>
      <c r="S516" s="3" t="str">
        <f t="shared" si="233"/>
        <v>Pudukkottai</v>
      </c>
      <c r="T516" s="3" t="str">
        <f t="shared" si="233"/>
        <v>Pudukkottai</v>
      </c>
      <c r="U516" s="3" t="str">
        <f t="shared" si="253"/>
        <v>Pudukkottai_Pudukkottai_Pudukkottai</v>
      </c>
      <c r="V516" s="3">
        <f>IF(_xlfn.XLOOKUP($U516,GCA!$H$3:$H$593,GCA!E$3:E$593,"",0,1)="","",_xlfn.XLOOKUP($U516,GCA!$H$3:$H$593,GCA!E$3:E$593,"",0,1))</f>
        <v>6605.39</v>
      </c>
      <c r="W516" s="3">
        <f>IF(_xlfn.XLOOKUP($U516,GCA!$H$3:$H$593,GCA!F$3:F$593,"",0,1)="","",_xlfn.XLOOKUP($U516,GCA!$H$3:$H$593,GCA!F$3:F$593,"",0,1))</f>
        <v>6407.915</v>
      </c>
      <c r="X516" s="3">
        <f>IF(_xlfn.XLOOKUP($U516,GCA!$H$3:$H$593,GCA!G$3:G$593,"",0,1)="","",_xlfn.XLOOKUP($U516,GCA!$H$3:$H$593,GCA!G$3:G$593,"",0,1))</f>
        <v>7376.21</v>
      </c>
    </row>
    <row r="517" spans="1:24" ht="13.2">
      <c r="A517" s="49"/>
      <c r="B517" s="49"/>
      <c r="C517" s="48"/>
      <c r="D517" s="49"/>
      <c r="E517" s="50"/>
      <c r="F517" s="26" t="s">
        <v>726</v>
      </c>
      <c r="G517" s="26" t="s">
        <v>716</v>
      </c>
      <c r="H517" s="27">
        <f t="shared" si="246"/>
        <v>6394.56</v>
      </c>
      <c r="I517" s="27">
        <f t="shared" si="246"/>
        <v>6329.73</v>
      </c>
      <c r="J517" s="27">
        <f t="shared" si="246"/>
        <v>5954.13</v>
      </c>
      <c r="K517" s="27">
        <f t="shared" si="247"/>
        <v>6226.14</v>
      </c>
      <c r="L517" s="65"/>
      <c r="M517" s="67">
        <f t="shared" si="248"/>
        <v>0</v>
      </c>
      <c r="N517" s="65" t="str">
        <f t="shared" si="249"/>
        <v/>
      </c>
      <c r="O517" s="65" t="str">
        <f t="shared" si="250"/>
        <v/>
      </c>
      <c r="P517" s="65" t="str">
        <f t="shared" si="250"/>
        <v/>
      </c>
      <c r="Q517" s="38"/>
      <c r="R517" s="3" t="str">
        <f t="shared" si="252"/>
        <v>Pudukkottai</v>
      </c>
      <c r="S517" s="3" t="str">
        <f t="shared" si="233"/>
        <v>Thirumayam</v>
      </c>
      <c r="T517" s="3" t="str">
        <f t="shared" si="233"/>
        <v>Arimalam</v>
      </c>
      <c r="U517" s="3" t="str">
        <f t="shared" si="253"/>
        <v>Pudukkottai_Thirumayam_Arimalam</v>
      </c>
      <c r="V517" s="3">
        <f>IF(_xlfn.XLOOKUP($U517,GCA!$H$3:$H$593,GCA!E$3:E$593,"",0,1)="","",_xlfn.XLOOKUP($U517,GCA!$H$3:$H$593,GCA!E$3:E$593,"",0,1))</f>
        <v>6394.56</v>
      </c>
      <c r="W517" s="3">
        <f>IF(_xlfn.XLOOKUP($U517,GCA!$H$3:$H$593,GCA!F$3:F$593,"",0,1)="","",_xlfn.XLOOKUP($U517,GCA!$H$3:$H$593,GCA!F$3:F$593,"",0,1))</f>
        <v>6329.73</v>
      </c>
      <c r="X517" s="3">
        <f>IF(_xlfn.XLOOKUP($U517,GCA!$H$3:$H$593,GCA!G$3:G$593,"",0,1)="","",_xlfn.XLOOKUP($U517,GCA!$H$3:$H$593,GCA!G$3:G$593,"",0,1))</f>
        <v>5954.13</v>
      </c>
    </row>
    <row r="518" spans="1:24" ht="13.2">
      <c r="A518" s="49"/>
      <c r="B518" s="49"/>
      <c r="C518" s="48"/>
      <c r="D518" s="49"/>
      <c r="E518" s="50"/>
      <c r="F518" s="26" t="s">
        <v>726</v>
      </c>
      <c r="G518" s="26" t="s">
        <v>726</v>
      </c>
      <c r="H518" s="27">
        <f t="shared" si="246"/>
        <v>4091.41</v>
      </c>
      <c r="I518" s="27">
        <f t="shared" si="246"/>
        <v>3323.2249999999999</v>
      </c>
      <c r="J518" s="27">
        <f t="shared" si="246"/>
        <v>3968.51</v>
      </c>
      <c r="K518" s="27">
        <f t="shared" si="247"/>
        <v>3794.3816666666667</v>
      </c>
      <c r="L518" s="65"/>
      <c r="M518" s="67">
        <f t="shared" si="248"/>
        <v>0</v>
      </c>
      <c r="N518" s="65" t="str">
        <f t="shared" si="249"/>
        <v/>
      </c>
      <c r="O518" s="65" t="str">
        <f t="shared" si="250"/>
        <v/>
      </c>
      <c r="P518" s="65" t="str">
        <f t="shared" si="250"/>
        <v/>
      </c>
      <c r="Q518" s="38"/>
      <c r="R518" s="3" t="str">
        <f t="shared" si="252"/>
        <v>Pudukkottai</v>
      </c>
      <c r="S518" s="3" t="str">
        <f t="shared" si="233"/>
        <v>Thirumayam</v>
      </c>
      <c r="T518" s="3" t="str">
        <f t="shared" si="233"/>
        <v>Thirumayam</v>
      </c>
      <c r="U518" s="3" t="str">
        <f t="shared" si="253"/>
        <v>Pudukkottai_Thirumayam_Thirumayam</v>
      </c>
      <c r="V518" s="3">
        <f>IF(_xlfn.XLOOKUP($U518,GCA!$H$3:$H$593,GCA!E$3:E$593,"",0,1)="","",_xlfn.XLOOKUP($U518,GCA!$H$3:$H$593,GCA!E$3:E$593,"",0,1))</f>
        <v>4091.41</v>
      </c>
      <c r="W518" s="3">
        <f>IF(_xlfn.XLOOKUP($U518,GCA!$H$3:$H$593,GCA!F$3:F$593,"",0,1)="","",_xlfn.XLOOKUP($U518,GCA!$H$3:$H$593,GCA!F$3:F$593,"",0,1))</f>
        <v>3323.2249999999999</v>
      </c>
      <c r="X518" s="3">
        <f>IF(_xlfn.XLOOKUP($U518,GCA!$H$3:$H$593,GCA!G$3:G$593,"",0,1)="","",_xlfn.XLOOKUP($U518,GCA!$H$3:$H$593,GCA!G$3:G$593,"",0,1))</f>
        <v>3968.51</v>
      </c>
    </row>
    <row r="519" spans="1:24" ht="13.2">
      <c r="A519" s="49"/>
      <c r="B519" s="49"/>
      <c r="C519" s="48"/>
      <c r="D519" s="49"/>
      <c r="E519" s="50"/>
      <c r="F519" s="26" t="s">
        <v>721</v>
      </c>
      <c r="G519" s="26" t="s">
        <v>721</v>
      </c>
      <c r="H519" s="27">
        <f t="shared" si="246"/>
        <v>6895.86</v>
      </c>
      <c r="I519" s="27">
        <f t="shared" si="246"/>
        <v>6415.0950000000003</v>
      </c>
      <c r="J519" s="27">
        <f t="shared" si="246"/>
        <v>6355.4549999999999</v>
      </c>
      <c r="K519" s="27">
        <f t="shared" si="247"/>
        <v>6555.47</v>
      </c>
      <c r="L519" s="65"/>
      <c r="M519" s="67">
        <f t="shared" si="248"/>
        <v>0</v>
      </c>
      <c r="N519" s="65" t="str">
        <f t="shared" si="249"/>
        <v/>
      </c>
      <c r="O519" s="65" t="str">
        <f t="shared" si="250"/>
        <v/>
      </c>
      <c r="P519" s="65" t="str">
        <f t="shared" si="250"/>
        <v/>
      </c>
      <c r="Q519" s="38"/>
      <c r="R519" s="3" t="str">
        <f t="shared" si="252"/>
        <v>Pudukkottai</v>
      </c>
      <c r="S519" s="3" t="str">
        <f t="shared" si="233"/>
        <v>Viralimalai</v>
      </c>
      <c r="T519" s="3" t="str">
        <f t="shared" si="233"/>
        <v>Viralimalai</v>
      </c>
      <c r="U519" s="3" t="str">
        <f t="shared" si="253"/>
        <v>Pudukkottai_Viralimalai_Viralimalai</v>
      </c>
      <c r="V519" s="3">
        <f>IF(_xlfn.XLOOKUP($U519,GCA!$H$3:$H$593,GCA!E$3:E$593,"",0,1)="","",_xlfn.XLOOKUP($U519,GCA!$H$3:$H$593,GCA!E$3:E$593,"",0,1))</f>
        <v>6895.86</v>
      </c>
      <c r="W519" s="3">
        <f>IF(_xlfn.XLOOKUP($U519,GCA!$H$3:$H$593,GCA!F$3:F$593,"",0,1)="","",_xlfn.XLOOKUP($U519,GCA!$H$3:$H$593,GCA!F$3:F$593,"",0,1))</f>
        <v>6415.0950000000003</v>
      </c>
      <c r="X519" s="3">
        <f>IF(_xlfn.XLOOKUP($U519,GCA!$H$3:$H$593,GCA!G$3:G$593,"",0,1)="","",_xlfn.XLOOKUP($U519,GCA!$H$3:$H$593,GCA!G$3:G$593,"",0,1))</f>
        <v>6355.4549999999999</v>
      </c>
    </row>
    <row r="520" spans="1:24" ht="13.2">
      <c r="A520" s="49"/>
      <c r="B520" s="49"/>
      <c r="C520" s="48"/>
      <c r="D520" s="49"/>
      <c r="E520" s="47" t="s">
        <v>564</v>
      </c>
      <c r="F520" s="47"/>
      <c r="G520" s="47"/>
      <c r="H520" s="29">
        <f t="shared" ref="H520:P520" si="254">SUM(H499:H519)</f>
        <v>146439.82799999995</v>
      </c>
      <c r="I520" s="29">
        <f t="shared" si="254"/>
        <v>145103.57400000002</v>
      </c>
      <c r="J520" s="29">
        <f t="shared" si="254"/>
        <v>151863.55100000001</v>
      </c>
      <c r="K520" s="29">
        <f t="shared" si="254"/>
        <v>147802.3176666667</v>
      </c>
      <c r="L520" s="29">
        <f t="shared" si="254"/>
        <v>147802.31766666667</v>
      </c>
      <c r="M520" s="30">
        <f t="shared" si="254"/>
        <v>6.2038597289566679</v>
      </c>
      <c r="N520" s="31">
        <f t="shared" si="254"/>
        <v>6</v>
      </c>
      <c r="O520" s="31">
        <f t="shared" si="254"/>
        <v>6</v>
      </c>
      <c r="P520" s="31">
        <f t="shared" si="254"/>
        <v>6</v>
      </c>
      <c r="Q520" s="38"/>
      <c r="R520" s="3" t="str">
        <f t="shared" si="252"/>
        <v>Pudukkottai</v>
      </c>
      <c r="S520" s="3">
        <f t="shared" si="233"/>
        <v>0</v>
      </c>
      <c r="T520" s="3">
        <f t="shared" si="233"/>
        <v>0</v>
      </c>
      <c r="U520" s="3" t="str">
        <f t="shared" si="253"/>
        <v>Pudukkottai_0_0</v>
      </c>
      <c r="V520" s="3" t="str">
        <f>IF(_xlfn.XLOOKUP($U520,GCA!$H$3:$H$593,GCA!E$3:E$593,"",0,1)="","",_xlfn.XLOOKUP($U520,GCA!$H$3:$H$593,GCA!E$3:E$593,"",0,1))</f>
        <v/>
      </c>
      <c r="W520" s="3" t="str">
        <f>IF(_xlfn.XLOOKUP($U520,GCA!$H$3:$H$593,GCA!F$3:F$593,"",0,1)="","",_xlfn.XLOOKUP($U520,GCA!$H$3:$H$593,GCA!F$3:F$593,"",0,1))</f>
        <v/>
      </c>
      <c r="X520" s="3" t="str">
        <f>IF(_xlfn.XLOOKUP($U520,GCA!$H$3:$H$593,GCA!G$3:G$593,"",0,1)="","",_xlfn.XLOOKUP($U520,GCA!$H$3:$H$593,GCA!G$3:G$593,"",0,1))</f>
        <v/>
      </c>
    </row>
    <row r="521" spans="1:24" ht="13.2">
      <c r="A521" s="49"/>
      <c r="B521" s="49"/>
      <c r="C521" s="54" t="s">
        <v>521</v>
      </c>
      <c r="D521" s="54"/>
      <c r="E521" s="54"/>
      <c r="F521" s="54"/>
      <c r="G521" s="54"/>
      <c r="H521" s="32">
        <f>SUM(H520,H498,H475,H452)</f>
        <v>821256.21600000001</v>
      </c>
      <c r="I521" s="32">
        <f t="shared" ref="I521:P521" si="255">SUM(I520,I498,I475,I452)</f>
        <v>876241.11800000002</v>
      </c>
      <c r="J521" s="32">
        <f t="shared" si="255"/>
        <v>938279.89099999983</v>
      </c>
      <c r="K521" s="32">
        <f t="shared" si="255"/>
        <v>878592.40833333333</v>
      </c>
      <c r="L521" s="32">
        <f t="shared" si="255"/>
        <v>878592.40833333333</v>
      </c>
      <c r="M521" s="46">
        <f t="shared" si="255"/>
        <v>36.878068938803167</v>
      </c>
      <c r="N521" s="32">
        <f t="shared" si="255"/>
        <v>36</v>
      </c>
      <c r="O521" s="32">
        <f t="shared" si="255"/>
        <v>36</v>
      </c>
      <c r="P521" s="32">
        <f t="shared" si="255"/>
        <v>36</v>
      </c>
      <c r="Q521" s="38"/>
      <c r="R521" s="3" t="str">
        <f t="shared" si="239"/>
        <v>SRO TOTAL</v>
      </c>
      <c r="S521" s="3">
        <f t="shared" si="233"/>
        <v>0</v>
      </c>
      <c r="T521" s="3">
        <f t="shared" si="233"/>
        <v>0</v>
      </c>
      <c r="U521" s="3" t="str">
        <f t="shared" si="253"/>
        <v>SRO TOTAL_0_0</v>
      </c>
      <c r="V521" s="3" t="str">
        <f>IF(_xlfn.XLOOKUP($U521,GCA!$H$3:$H$593,GCA!E$3:E$593,"",0,1)="","",_xlfn.XLOOKUP($U521,GCA!$H$3:$H$593,GCA!E$3:E$593,"",0,1))</f>
        <v/>
      </c>
      <c r="W521" s="3" t="str">
        <f>IF(_xlfn.XLOOKUP($U521,GCA!$H$3:$H$593,GCA!F$3:F$593,"",0,1)="","",_xlfn.XLOOKUP($U521,GCA!$H$3:$H$593,GCA!F$3:F$593,"",0,1))</f>
        <v/>
      </c>
      <c r="X521" s="3" t="str">
        <f>IF(_xlfn.XLOOKUP($U521,GCA!$H$3:$H$593,GCA!G$3:G$593,"",0,1)="","",_xlfn.XLOOKUP($U521,GCA!$H$3:$H$593,GCA!G$3:G$593,"",0,1))</f>
        <v/>
      </c>
    </row>
    <row r="522" spans="1:24" ht="13.2">
      <c r="A522" s="49"/>
      <c r="B522" s="49" t="s">
        <v>245</v>
      </c>
      <c r="C522" s="48" t="s">
        <v>244</v>
      </c>
      <c r="D522" s="49" t="s">
        <v>556</v>
      </c>
      <c r="E522" s="50">
        <v>1</v>
      </c>
      <c r="F522" s="26" t="s">
        <v>918</v>
      </c>
      <c r="G522" s="26" t="s">
        <v>919</v>
      </c>
      <c r="H522" s="27">
        <f t="shared" ref="H522:J543" si="256">V522</f>
        <v>4676.9250000000002</v>
      </c>
      <c r="I522" s="27">
        <f t="shared" si="256"/>
        <v>5789.7</v>
      </c>
      <c r="J522" s="27">
        <f t="shared" si="256"/>
        <v>5316.2349999999997</v>
      </c>
      <c r="K522" s="27">
        <f t="shared" ref="K522:K543" si="257">IFERROR(AVERAGE(H522:J522),"")</f>
        <v>5260.9533333333338</v>
      </c>
      <c r="L522" s="65">
        <f>SUM(K522:K529)</f>
        <v>70040.702999999994</v>
      </c>
      <c r="M522" s="67">
        <f t="shared" ref="M522:M543" si="258">L522*$L$643/$L$642</f>
        <v>2.939890954277713</v>
      </c>
      <c r="N522" s="65">
        <f t="shared" si="241"/>
        <v>3</v>
      </c>
      <c r="O522" s="65">
        <f t="shared" ref="O522:P537" si="259">N522</f>
        <v>3</v>
      </c>
      <c r="P522" s="65">
        <f t="shared" si="259"/>
        <v>3</v>
      </c>
      <c r="Q522" s="38"/>
      <c r="R522" s="3" t="str">
        <f t="shared" si="239"/>
        <v>Thoothukudi</v>
      </c>
      <c r="S522" s="3" t="str">
        <f t="shared" si="233"/>
        <v>Eral</v>
      </c>
      <c r="T522" s="3" t="str">
        <f t="shared" si="233"/>
        <v>Alwarthirunagari</v>
      </c>
      <c r="U522" s="3" t="str">
        <f t="shared" si="253"/>
        <v>Thoothukudi_Eral_Alwarthirunagari</v>
      </c>
      <c r="V522" s="3">
        <f>IF(_xlfn.XLOOKUP($U522,GCA!$H$3:$H$593,GCA!E$3:E$593,"",0,1)="","",_xlfn.XLOOKUP($U522,GCA!$H$3:$H$593,GCA!E$3:E$593,"",0,1))</f>
        <v>4676.9250000000002</v>
      </c>
      <c r="W522" s="3">
        <f>IF(_xlfn.XLOOKUP($U522,GCA!$H$3:$H$593,GCA!F$3:F$593,"",0,1)="","",_xlfn.XLOOKUP($U522,GCA!$H$3:$H$593,GCA!F$3:F$593,"",0,1))</f>
        <v>5789.7</v>
      </c>
      <c r="X522" s="3">
        <f>IF(_xlfn.XLOOKUP($U522,GCA!$H$3:$H$593,GCA!G$3:G$593,"",0,1)="","",_xlfn.XLOOKUP($U522,GCA!$H$3:$H$593,GCA!G$3:G$593,"",0,1))</f>
        <v>5316.2349999999997</v>
      </c>
    </row>
    <row r="523" spans="1:24" ht="13.2">
      <c r="A523" s="49"/>
      <c r="B523" s="49"/>
      <c r="C523" s="48"/>
      <c r="D523" s="49"/>
      <c r="E523" s="50"/>
      <c r="F523" s="26" t="s">
        <v>918</v>
      </c>
      <c r="G523" s="26" t="s">
        <v>920</v>
      </c>
      <c r="H523" s="27">
        <f t="shared" si="256"/>
        <v>4437.33</v>
      </c>
      <c r="I523" s="27">
        <f t="shared" si="256"/>
        <v>4621.9750000000004</v>
      </c>
      <c r="J523" s="27">
        <f t="shared" si="256"/>
        <v>4330.125</v>
      </c>
      <c r="K523" s="27">
        <f t="shared" si="257"/>
        <v>4463.1433333333334</v>
      </c>
      <c r="L523" s="65"/>
      <c r="M523" s="67">
        <f t="shared" si="258"/>
        <v>0</v>
      </c>
      <c r="N523" s="65" t="str">
        <f t="shared" si="241"/>
        <v/>
      </c>
      <c r="O523" s="65" t="str">
        <f t="shared" si="259"/>
        <v/>
      </c>
      <c r="P523" s="65" t="str">
        <f t="shared" si="259"/>
        <v/>
      </c>
      <c r="Q523" s="38"/>
      <c r="R523" s="3" t="str">
        <f t="shared" ref="R523:R544" si="260">R522</f>
        <v>Thoothukudi</v>
      </c>
      <c r="S523" s="3" t="str">
        <f t="shared" si="233"/>
        <v>Eral</v>
      </c>
      <c r="T523" s="3" t="str">
        <f t="shared" si="233"/>
        <v>Srivaikundam</v>
      </c>
      <c r="U523" s="3" t="str">
        <f t="shared" si="253"/>
        <v>Thoothukudi_Eral_Srivaikundam</v>
      </c>
      <c r="V523" s="3">
        <f>IF(_xlfn.XLOOKUP($U523,GCA!$H$3:$H$593,GCA!E$3:E$593,"",0,1)="","",_xlfn.XLOOKUP($U523,GCA!$H$3:$H$593,GCA!E$3:E$593,"",0,1))</f>
        <v>4437.33</v>
      </c>
      <c r="W523" s="3">
        <f>IF(_xlfn.XLOOKUP($U523,GCA!$H$3:$H$593,GCA!F$3:F$593,"",0,1)="","",_xlfn.XLOOKUP($U523,GCA!$H$3:$H$593,GCA!F$3:F$593,"",0,1))</f>
        <v>4621.9750000000004</v>
      </c>
      <c r="X523" s="3">
        <f>IF(_xlfn.XLOOKUP($U523,GCA!$H$3:$H$593,GCA!G$3:G$593,"",0,1)="","",_xlfn.XLOOKUP($U523,GCA!$H$3:$H$593,GCA!G$3:G$593,"",0,1))</f>
        <v>4330.125</v>
      </c>
    </row>
    <row r="524" spans="1:24" ht="13.2">
      <c r="A524" s="49"/>
      <c r="B524" s="49"/>
      <c r="C524" s="48"/>
      <c r="D524" s="49"/>
      <c r="E524" s="50"/>
      <c r="F524" s="26" t="s">
        <v>921</v>
      </c>
      <c r="G524" s="26" t="s">
        <v>922</v>
      </c>
      <c r="H524" s="27">
        <f t="shared" si="256"/>
        <v>1532.0250000000001</v>
      </c>
      <c r="I524" s="27">
        <f t="shared" si="256"/>
        <v>1546.5150000000001</v>
      </c>
      <c r="J524" s="27">
        <f t="shared" si="256"/>
        <v>1639.1949999999999</v>
      </c>
      <c r="K524" s="27">
        <f t="shared" si="257"/>
        <v>1572.5783333333331</v>
      </c>
      <c r="L524" s="65"/>
      <c r="M524" s="67">
        <f t="shared" si="258"/>
        <v>0</v>
      </c>
      <c r="N524" s="65" t="str">
        <f t="shared" si="241"/>
        <v/>
      </c>
      <c r="O524" s="65" t="str">
        <f t="shared" si="259"/>
        <v/>
      </c>
      <c r="P524" s="65" t="str">
        <f t="shared" si="259"/>
        <v/>
      </c>
      <c r="Q524" s="38"/>
      <c r="R524" s="3" t="str">
        <f t="shared" si="260"/>
        <v>Thoothukudi</v>
      </c>
      <c r="S524" s="3" t="str">
        <f t="shared" si="233"/>
        <v>Ettayapuram</v>
      </c>
      <c r="T524" s="3" t="str">
        <f t="shared" si="233"/>
        <v>Kayathar</v>
      </c>
      <c r="U524" s="3" t="str">
        <f t="shared" si="253"/>
        <v>Thoothukudi_Ettayapuram_Kayathar</v>
      </c>
      <c r="V524" s="3">
        <f>IF(_xlfn.XLOOKUP($U524,GCA!$H$3:$H$593,GCA!E$3:E$593,"",0,1)="","",_xlfn.XLOOKUP($U524,GCA!$H$3:$H$593,GCA!E$3:E$593,"",0,1))</f>
        <v>1532.0250000000001</v>
      </c>
      <c r="W524" s="3">
        <f>IF(_xlfn.XLOOKUP($U524,GCA!$H$3:$H$593,GCA!F$3:F$593,"",0,1)="","",_xlfn.XLOOKUP($U524,GCA!$H$3:$H$593,GCA!F$3:F$593,"",0,1))</f>
        <v>1546.5150000000001</v>
      </c>
      <c r="X524" s="3">
        <f>IF(_xlfn.XLOOKUP($U524,GCA!$H$3:$H$593,GCA!G$3:G$593,"",0,1)="","",_xlfn.XLOOKUP($U524,GCA!$H$3:$H$593,GCA!G$3:G$593,"",0,1))</f>
        <v>1639.1949999999999</v>
      </c>
    </row>
    <row r="525" spans="1:24" ht="13.2">
      <c r="A525" s="49"/>
      <c r="B525" s="49"/>
      <c r="C525" s="48"/>
      <c r="D525" s="49"/>
      <c r="E525" s="50"/>
      <c r="F525" s="26" t="s">
        <v>921</v>
      </c>
      <c r="G525" s="26" t="s">
        <v>923</v>
      </c>
      <c r="H525" s="27">
        <f t="shared" si="256"/>
        <v>12218.373</v>
      </c>
      <c r="I525" s="27">
        <f t="shared" si="256"/>
        <v>12143.82</v>
      </c>
      <c r="J525" s="27">
        <f t="shared" si="256"/>
        <v>12223.64</v>
      </c>
      <c r="K525" s="27">
        <f t="shared" si="257"/>
        <v>12195.277666666667</v>
      </c>
      <c r="L525" s="65"/>
      <c r="M525" s="67">
        <f t="shared" si="258"/>
        <v>0</v>
      </c>
      <c r="N525" s="65" t="str">
        <f t="shared" si="241"/>
        <v/>
      </c>
      <c r="O525" s="65" t="str">
        <f t="shared" si="259"/>
        <v/>
      </c>
      <c r="P525" s="65" t="str">
        <f t="shared" si="259"/>
        <v/>
      </c>
      <c r="Q525" s="38"/>
      <c r="R525" s="3" t="str">
        <f t="shared" si="260"/>
        <v>Thoothukudi</v>
      </c>
      <c r="S525" s="3" t="str">
        <f t="shared" si="233"/>
        <v>Ettayapuram</v>
      </c>
      <c r="T525" s="3" t="str">
        <f t="shared" si="233"/>
        <v>Kovilpatti</v>
      </c>
      <c r="U525" s="3" t="str">
        <f t="shared" si="253"/>
        <v>Thoothukudi_Ettayapuram_Kovilpatti</v>
      </c>
      <c r="V525" s="3">
        <f>IF(_xlfn.XLOOKUP($U525,GCA!$H$3:$H$593,GCA!E$3:E$593,"",0,1)="","",_xlfn.XLOOKUP($U525,GCA!$H$3:$H$593,GCA!E$3:E$593,"",0,1))</f>
        <v>12218.373</v>
      </c>
      <c r="W525" s="3">
        <f>IF(_xlfn.XLOOKUP($U525,GCA!$H$3:$H$593,GCA!F$3:F$593,"",0,1)="","",_xlfn.XLOOKUP($U525,GCA!$H$3:$H$593,GCA!F$3:F$593,"",0,1))</f>
        <v>12143.82</v>
      </c>
      <c r="X525" s="3">
        <f>IF(_xlfn.XLOOKUP($U525,GCA!$H$3:$H$593,GCA!G$3:G$593,"",0,1)="","",_xlfn.XLOOKUP($U525,GCA!$H$3:$H$593,GCA!G$3:G$593,"",0,1))</f>
        <v>12223.64</v>
      </c>
    </row>
    <row r="526" spans="1:24" ht="13.2">
      <c r="A526" s="49"/>
      <c r="B526" s="49"/>
      <c r="C526" s="48"/>
      <c r="D526" s="49"/>
      <c r="E526" s="50"/>
      <c r="F526" s="26" t="s">
        <v>921</v>
      </c>
      <c r="G526" s="26" t="s">
        <v>924</v>
      </c>
      <c r="H526" s="27">
        <f t="shared" si="256"/>
        <v>8291.6049999999996</v>
      </c>
      <c r="I526" s="27">
        <f t="shared" si="256"/>
        <v>8175.96</v>
      </c>
      <c r="J526" s="27">
        <f t="shared" si="256"/>
        <v>8495.4449999999997</v>
      </c>
      <c r="K526" s="27">
        <f t="shared" si="257"/>
        <v>8321.0033333333322</v>
      </c>
      <c r="L526" s="65"/>
      <c r="M526" s="67">
        <f t="shared" si="258"/>
        <v>0</v>
      </c>
      <c r="N526" s="65" t="str">
        <f t="shared" si="241"/>
        <v/>
      </c>
      <c r="O526" s="65" t="str">
        <f t="shared" si="259"/>
        <v/>
      </c>
      <c r="P526" s="65" t="str">
        <f t="shared" si="259"/>
        <v/>
      </c>
      <c r="Q526" s="38"/>
      <c r="R526" s="3" t="str">
        <f t="shared" si="260"/>
        <v>Thoothukudi</v>
      </c>
      <c r="S526" s="3" t="str">
        <f t="shared" si="233"/>
        <v>Ettayapuram</v>
      </c>
      <c r="T526" s="3" t="str">
        <f t="shared" si="233"/>
        <v>Pudur</v>
      </c>
      <c r="U526" s="3" t="str">
        <f t="shared" si="253"/>
        <v>Thoothukudi_Ettayapuram_Pudur</v>
      </c>
      <c r="V526" s="3">
        <f>IF(_xlfn.XLOOKUP($U526,GCA!$H$3:$H$593,GCA!E$3:E$593,"",0,1)="","",_xlfn.XLOOKUP($U526,GCA!$H$3:$H$593,GCA!E$3:E$593,"",0,1))</f>
        <v>8291.6049999999996</v>
      </c>
      <c r="W526" s="3">
        <f>IF(_xlfn.XLOOKUP($U526,GCA!$H$3:$H$593,GCA!F$3:F$593,"",0,1)="","",_xlfn.XLOOKUP($U526,GCA!$H$3:$H$593,GCA!F$3:F$593,"",0,1))</f>
        <v>8175.96</v>
      </c>
      <c r="X526" s="3">
        <f>IF(_xlfn.XLOOKUP($U526,GCA!$H$3:$H$593,GCA!G$3:G$593,"",0,1)="","",_xlfn.XLOOKUP($U526,GCA!$H$3:$H$593,GCA!G$3:G$593,"",0,1))</f>
        <v>8495.4449999999997</v>
      </c>
    </row>
    <row r="527" spans="1:24" ht="13.2">
      <c r="A527" s="49"/>
      <c r="B527" s="49"/>
      <c r="C527" s="48"/>
      <c r="D527" s="49"/>
      <c r="E527" s="50"/>
      <c r="F527" s="26" t="s">
        <v>921</v>
      </c>
      <c r="G527" s="26" t="s">
        <v>925</v>
      </c>
      <c r="H527" s="27">
        <f t="shared" si="256"/>
        <v>5368.2910000000002</v>
      </c>
      <c r="I527" s="27">
        <f t="shared" si="256"/>
        <v>5478.53</v>
      </c>
      <c r="J527" s="27">
        <f t="shared" si="256"/>
        <v>5479.0950000000003</v>
      </c>
      <c r="K527" s="27">
        <f t="shared" si="257"/>
        <v>5441.9720000000007</v>
      </c>
      <c r="L527" s="65"/>
      <c r="M527" s="67">
        <f t="shared" si="258"/>
        <v>0</v>
      </c>
      <c r="N527" s="65" t="str">
        <f t="shared" si="241"/>
        <v/>
      </c>
      <c r="O527" s="65" t="str">
        <f t="shared" si="259"/>
        <v/>
      </c>
      <c r="P527" s="65" t="str">
        <f t="shared" si="259"/>
        <v/>
      </c>
      <c r="Q527" s="38"/>
      <c r="R527" s="3" t="str">
        <f t="shared" si="260"/>
        <v>Thoothukudi</v>
      </c>
      <c r="S527" s="3" t="str">
        <f t="shared" si="233"/>
        <v>Ettayapuram</v>
      </c>
      <c r="T527" s="3" t="str">
        <f t="shared" si="233"/>
        <v>Vilathikulam</v>
      </c>
      <c r="U527" s="3" t="str">
        <f t="shared" si="253"/>
        <v>Thoothukudi_Ettayapuram_Vilathikulam</v>
      </c>
      <c r="V527" s="3">
        <f>IF(_xlfn.XLOOKUP($U527,GCA!$H$3:$H$593,GCA!E$3:E$593,"",0,1)="","",_xlfn.XLOOKUP($U527,GCA!$H$3:$H$593,GCA!E$3:E$593,"",0,1))</f>
        <v>5368.2910000000002</v>
      </c>
      <c r="W527" s="3">
        <f>IF(_xlfn.XLOOKUP($U527,GCA!$H$3:$H$593,GCA!F$3:F$593,"",0,1)="","",_xlfn.XLOOKUP($U527,GCA!$H$3:$H$593,GCA!F$3:F$593,"",0,1))</f>
        <v>5478.53</v>
      </c>
      <c r="X527" s="3">
        <f>IF(_xlfn.XLOOKUP($U527,GCA!$H$3:$H$593,GCA!G$3:G$593,"",0,1)="","",_xlfn.XLOOKUP($U527,GCA!$H$3:$H$593,GCA!G$3:G$593,"",0,1))</f>
        <v>5479.0950000000003</v>
      </c>
    </row>
    <row r="528" spans="1:24" ht="13.2">
      <c r="A528" s="49"/>
      <c r="B528" s="49"/>
      <c r="C528" s="48"/>
      <c r="D528" s="49"/>
      <c r="E528" s="50"/>
      <c r="F528" s="26" t="s">
        <v>922</v>
      </c>
      <c r="G528" s="26" t="s">
        <v>922</v>
      </c>
      <c r="H528" s="27">
        <f t="shared" si="256"/>
        <v>26665.415000000001</v>
      </c>
      <c r="I528" s="27">
        <f t="shared" si="256"/>
        <v>27535.82</v>
      </c>
      <c r="J528" s="27">
        <f t="shared" si="256"/>
        <v>28306.85</v>
      </c>
      <c r="K528" s="27">
        <f t="shared" si="257"/>
        <v>27502.694999999996</v>
      </c>
      <c r="L528" s="65"/>
      <c r="M528" s="67">
        <f t="shared" si="258"/>
        <v>0</v>
      </c>
      <c r="N528" s="65" t="str">
        <f t="shared" si="241"/>
        <v/>
      </c>
      <c r="O528" s="65" t="str">
        <f t="shared" si="259"/>
        <v/>
      </c>
      <c r="P528" s="65" t="str">
        <f t="shared" si="259"/>
        <v/>
      </c>
      <c r="Q528" s="38"/>
      <c r="R528" s="3" t="str">
        <f t="shared" si="260"/>
        <v>Thoothukudi</v>
      </c>
      <c r="S528" s="3" t="str">
        <f t="shared" si="233"/>
        <v>Kayathar</v>
      </c>
      <c r="T528" s="3" t="str">
        <f t="shared" si="233"/>
        <v>Kayathar</v>
      </c>
      <c r="U528" s="3" t="str">
        <f t="shared" si="253"/>
        <v>Thoothukudi_Kayathar_Kayathar</v>
      </c>
      <c r="V528" s="3">
        <f>IF(_xlfn.XLOOKUP($U528,GCA!$H$3:$H$593,GCA!E$3:E$593,"",0,1)="","",_xlfn.XLOOKUP($U528,GCA!$H$3:$H$593,GCA!E$3:E$593,"",0,1))</f>
        <v>26665.415000000001</v>
      </c>
      <c r="W528" s="3">
        <f>IF(_xlfn.XLOOKUP($U528,GCA!$H$3:$H$593,GCA!F$3:F$593,"",0,1)="","",_xlfn.XLOOKUP($U528,GCA!$H$3:$H$593,GCA!F$3:F$593,"",0,1))</f>
        <v>27535.82</v>
      </c>
      <c r="X528" s="3">
        <f>IF(_xlfn.XLOOKUP($U528,GCA!$H$3:$H$593,GCA!G$3:G$593,"",0,1)="","",_xlfn.XLOOKUP($U528,GCA!$H$3:$H$593,GCA!G$3:G$593,"",0,1))</f>
        <v>28306.85</v>
      </c>
    </row>
    <row r="529" spans="1:24" ht="13.2">
      <c r="A529" s="49"/>
      <c r="B529" s="49"/>
      <c r="C529" s="48"/>
      <c r="D529" s="49"/>
      <c r="E529" s="50"/>
      <c r="F529" s="26" t="s">
        <v>922</v>
      </c>
      <c r="G529" s="26" t="s">
        <v>926</v>
      </c>
      <c r="H529" s="27">
        <f t="shared" si="256"/>
        <v>5024.415</v>
      </c>
      <c r="I529" s="27">
        <f t="shared" si="256"/>
        <v>5090.38</v>
      </c>
      <c r="J529" s="27">
        <f t="shared" si="256"/>
        <v>5734.4449999999997</v>
      </c>
      <c r="K529" s="27">
        <f t="shared" si="257"/>
        <v>5283.08</v>
      </c>
      <c r="L529" s="65"/>
      <c r="M529" s="67">
        <f t="shared" si="258"/>
        <v>0</v>
      </c>
      <c r="N529" s="65" t="str">
        <f t="shared" si="241"/>
        <v/>
      </c>
      <c r="O529" s="65" t="str">
        <f t="shared" si="259"/>
        <v/>
      </c>
      <c r="P529" s="65" t="str">
        <f t="shared" si="259"/>
        <v/>
      </c>
      <c r="Q529" s="38"/>
      <c r="R529" s="3" t="str">
        <f t="shared" si="260"/>
        <v>Thoothukudi</v>
      </c>
      <c r="S529" s="3" t="str">
        <f t="shared" si="233"/>
        <v>Kayathar</v>
      </c>
      <c r="T529" s="3" t="str">
        <f t="shared" si="233"/>
        <v>Ottapidaram</v>
      </c>
      <c r="U529" s="3" t="str">
        <f t="shared" si="253"/>
        <v>Thoothukudi_Kayathar_Ottapidaram</v>
      </c>
      <c r="V529" s="3">
        <f>IF(_xlfn.XLOOKUP($U529,GCA!$H$3:$H$593,GCA!E$3:E$593,"",0,1)="","",_xlfn.XLOOKUP($U529,GCA!$H$3:$H$593,GCA!E$3:E$593,"",0,1))</f>
        <v>5024.415</v>
      </c>
      <c r="W529" s="3">
        <f>IF(_xlfn.XLOOKUP($U529,GCA!$H$3:$H$593,GCA!F$3:F$593,"",0,1)="","",_xlfn.XLOOKUP($U529,GCA!$H$3:$H$593,GCA!F$3:F$593,"",0,1))</f>
        <v>5090.38</v>
      </c>
      <c r="X529" s="3">
        <f>IF(_xlfn.XLOOKUP($U529,GCA!$H$3:$H$593,GCA!G$3:G$593,"",0,1)="","",_xlfn.XLOOKUP($U529,GCA!$H$3:$H$593,GCA!G$3:G$593,"",0,1))</f>
        <v>5734.4449999999997</v>
      </c>
    </row>
    <row r="530" spans="1:24" ht="13.2">
      <c r="A530" s="49"/>
      <c r="B530" s="49"/>
      <c r="C530" s="48"/>
      <c r="D530" s="49"/>
      <c r="E530" s="50">
        <v>2</v>
      </c>
      <c r="F530" s="26" t="s">
        <v>923</v>
      </c>
      <c r="G530" s="26" t="s">
        <v>922</v>
      </c>
      <c r="H530" s="27">
        <f t="shared" si="256"/>
        <v>2414.4050000000002</v>
      </c>
      <c r="I530" s="27">
        <f t="shared" si="256"/>
        <v>2494.1</v>
      </c>
      <c r="J530" s="27">
        <f t="shared" si="256"/>
        <v>2512.25</v>
      </c>
      <c r="K530" s="27">
        <f t="shared" si="257"/>
        <v>2473.585</v>
      </c>
      <c r="L530" s="65">
        <f>SUM(K530:K533)</f>
        <v>50061.506000000008</v>
      </c>
      <c r="M530" s="67">
        <f t="shared" si="258"/>
        <v>2.1012834301066268</v>
      </c>
      <c r="N530" s="65">
        <f t="shared" si="241"/>
        <v>2</v>
      </c>
      <c r="O530" s="65">
        <f t="shared" si="259"/>
        <v>2</v>
      </c>
      <c r="P530" s="65">
        <f t="shared" si="259"/>
        <v>2</v>
      </c>
      <c r="Q530" s="38"/>
      <c r="R530" s="3" t="str">
        <f t="shared" si="260"/>
        <v>Thoothukudi</v>
      </c>
      <c r="S530" s="3" t="str">
        <f t="shared" si="233"/>
        <v>Kovilpatti</v>
      </c>
      <c r="T530" s="3" t="str">
        <f t="shared" si="233"/>
        <v>Kayathar</v>
      </c>
      <c r="U530" s="3" t="str">
        <f t="shared" si="253"/>
        <v>Thoothukudi_Kovilpatti_Kayathar</v>
      </c>
      <c r="V530" s="3">
        <f>IF(_xlfn.XLOOKUP($U530,GCA!$H$3:$H$593,GCA!E$3:E$593,"",0,1)="","",_xlfn.XLOOKUP($U530,GCA!$H$3:$H$593,GCA!E$3:E$593,"",0,1))</f>
        <v>2414.4050000000002</v>
      </c>
      <c r="W530" s="3">
        <f>IF(_xlfn.XLOOKUP($U530,GCA!$H$3:$H$593,GCA!F$3:F$593,"",0,1)="","",_xlfn.XLOOKUP($U530,GCA!$H$3:$H$593,GCA!F$3:F$593,"",0,1))</f>
        <v>2494.1</v>
      </c>
      <c r="X530" s="3">
        <f>IF(_xlfn.XLOOKUP($U530,GCA!$H$3:$H$593,GCA!G$3:G$593,"",0,1)="","",_xlfn.XLOOKUP($U530,GCA!$H$3:$H$593,GCA!G$3:G$593,"",0,1))</f>
        <v>2512.25</v>
      </c>
    </row>
    <row r="531" spans="1:24" ht="13.2">
      <c r="A531" s="49"/>
      <c r="B531" s="49"/>
      <c r="C531" s="48"/>
      <c r="D531" s="49"/>
      <c r="E531" s="50"/>
      <c r="F531" s="26" t="s">
        <v>923</v>
      </c>
      <c r="G531" s="26" t="s">
        <v>923</v>
      </c>
      <c r="H531" s="27">
        <f t="shared" si="256"/>
        <v>16012.01</v>
      </c>
      <c r="I531" s="27">
        <f t="shared" si="256"/>
        <v>16258.18</v>
      </c>
      <c r="J531" s="27">
        <f t="shared" si="256"/>
        <v>16179.12</v>
      </c>
      <c r="K531" s="27">
        <f t="shared" si="257"/>
        <v>16149.770000000002</v>
      </c>
      <c r="L531" s="65"/>
      <c r="M531" s="67">
        <f t="shared" si="258"/>
        <v>0</v>
      </c>
      <c r="N531" s="65" t="str">
        <f t="shared" si="241"/>
        <v/>
      </c>
      <c r="O531" s="65" t="str">
        <f t="shared" si="259"/>
        <v/>
      </c>
      <c r="P531" s="65" t="str">
        <f t="shared" si="259"/>
        <v/>
      </c>
      <c r="Q531" s="38"/>
      <c r="R531" s="3" t="str">
        <f t="shared" si="260"/>
        <v>Thoothukudi</v>
      </c>
      <c r="S531" s="3" t="str">
        <f t="shared" si="233"/>
        <v>Kovilpatti</v>
      </c>
      <c r="T531" s="3" t="str">
        <f t="shared" si="233"/>
        <v>Kovilpatti</v>
      </c>
      <c r="U531" s="3" t="str">
        <f t="shared" si="253"/>
        <v>Thoothukudi_Kovilpatti_Kovilpatti</v>
      </c>
      <c r="V531" s="3">
        <f>IF(_xlfn.XLOOKUP($U531,GCA!$H$3:$H$593,GCA!E$3:E$593,"",0,1)="","",_xlfn.XLOOKUP($U531,GCA!$H$3:$H$593,GCA!E$3:E$593,"",0,1))</f>
        <v>16012.01</v>
      </c>
      <c r="W531" s="3">
        <f>IF(_xlfn.XLOOKUP($U531,GCA!$H$3:$H$593,GCA!F$3:F$593,"",0,1)="","",_xlfn.XLOOKUP($U531,GCA!$H$3:$H$593,GCA!F$3:F$593,"",0,1))</f>
        <v>16258.18</v>
      </c>
      <c r="X531" s="3">
        <f>IF(_xlfn.XLOOKUP($U531,GCA!$H$3:$H$593,GCA!G$3:G$593,"",0,1)="","",_xlfn.XLOOKUP($U531,GCA!$H$3:$H$593,GCA!G$3:G$593,"",0,1))</f>
        <v>16179.12</v>
      </c>
    </row>
    <row r="532" spans="1:24" ht="13.2">
      <c r="A532" s="49"/>
      <c r="B532" s="49"/>
      <c r="C532" s="48"/>
      <c r="D532" s="49"/>
      <c r="E532" s="50"/>
      <c r="F532" s="26" t="s">
        <v>926</v>
      </c>
      <c r="G532" s="26" t="s">
        <v>922</v>
      </c>
      <c r="H532" s="27">
        <f t="shared" si="256"/>
        <v>118.14</v>
      </c>
      <c r="I532" s="27">
        <f t="shared" si="256"/>
        <v>134.30000000000001</v>
      </c>
      <c r="J532" s="27">
        <f t="shared" si="256"/>
        <v>140.125</v>
      </c>
      <c r="K532" s="27">
        <f t="shared" si="257"/>
        <v>130.85499999999999</v>
      </c>
      <c r="L532" s="65"/>
      <c r="M532" s="67">
        <f t="shared" si="258"/>
        <v>0</v>
      </c>
      <c r="N532" s="65" t="str">
        <f t="shared" si="241"/>
        <v/>
      </c>
      <c r="O532" s="65" t="str">
        <f t="shared" si="259"/>
        <v/>
      </c>
      <c r="P532" s="65" t="str">
        <f t="shared" si="259"/>
        <v/>
      </c>
      <c r="Q532" s="38"/>
      <c r="R532" s="3" t="str">
        <f t="shared" si="260"/>
        <v>Thoothukudi</v>
      </c>
      <c r="S532" s="3" t="str">
        <f t="shared" si="233"/>
        <v>Ottapidaram</v>
      </c>
      <c r="T532" s="3" t="str">
        <f t="shared" si="233"/>
        <v>Kayathar</v>
      </c>
      <c r="U532" s="3" t="str">
        <f t="shared" si="253"/>
        <v>Thoothukudi_Ottapidaram_Kayathar</v>
      </c>
      <c r="V532" s="3">
        <f>IF(_xlfn.XLOOKUP($U532,GCA!$H$3:$H$593,GCA!E$3:E$593,"",0,1)="","",_xlfn.XLOOKUP($U532,GCA!$H$3:$H$593,GCA!E$3:E$593,"",0,1))</f>
        <v>118.14</v>
      </c>
      <c r="W532" s="3">
        <f>IF(_xlfn.XLOOKUP($U532,GCA!$H$3:$H$593,GCA!F$3:F$593,"",0,1)="","",_xlfn.XLOOKUP($U532,GCA!$H$3:$H$593,GCA!F$3:F$593,"",0,1))</f>
        <v>134.30000000000001</v>
      </c>
      <c r="X532" s="3">
        <f>IF(_xlfn.XLOOKUP($U532,GCA!$H$3:$H$593,GCA!G$3:G$593,"",0,1)="","",_xlfn.XLOOKUP($U532,GCA!$H$3:$H$593,GCA!G$3:G$593,"",0,1))</f>
        <v>140.125</v>
      </c>
    </row>
    <row r="533" spans="1:24" ht="13.2">
      <c r="A533" s="49"/>
      <c r="B533" s="49"/>
      <c r="C533" s="48"/>
      <c r="D533" s="49"/>
      <c r="E533" s="50"/>
      <c r="F533" s="26" t="s">
        <v>926</v>
      </c>
      <c r="G533" s="26" t="s">
        <v>926</v>
      </c>
      <c r="H533" s="27">
        <f t="shared" si="256"/>
        <v>31443.692999999999</v>
      </c>
      <c r="I533" s="27">
        <f t="shared" si="256"/>
        <v>31235.78</v>
      </c>
      <c r="J533" s="27">
        <f t="shared" si="256"/>
        <v>31242.415000000001</v>
      </c>
      <c r="K533" s="27">
        <f t="shared" si="257"/>
        <v>31307.296000000002</v>
      </c>
      <c r="L533" s="65"/>
      <c r="M533" s="67">
        <f t="shared" si="258"/>
        <v>0</v>
      </c>
      <c r="N533" s="65" t="str">
        <f t="shared" si="241"/>
        <v/>
      </c>
      <c r="O533" s="65" t="str">
        <f t="shared" si="259"/>
        <v/>
      </c>
      <c r="P533" s="65" t="str">
        <f t="shared" si="259"/>
        <v/>
      </c>
      <c r="Q533" s="38"/>
      <c r="R533" s="3" t="str">
        <f t="shared" si="260"/>
        <v>Thoothukudi</v>
      </c>
      <c r="S533" s="3" t="str">
        <f t="shared" si="233"/>
        <v>Ottapidaram</v>
      </c>
      <c r="T533" s="3" t="str">
        <f t="shared" si="233"/>
        <v>Ottapidaram</v>
      </c>
      <c r="U533" s="3" t="str">
        <f t="shared" si="253"/>
        <v>Thoothukudi_Ottapidaram_Ottapidaram</v>
      </c>
      <c r="V533" s="3">
        <f>IF(_xlfn.XLOOKUP($U533,GCA!$H$3:$H$593,GCA!E$3:E$593,"",0,1)="","",_xlfn.XLOOKUP($U533,GCA!$H$3:$H$593,GCA!E$3:E$593,"",0,1))</f>
        <v>31443.692999999999</v>
      </c>
      <c r="W533" s="3">
        <f>IF(_xlfn.XLOOKUP($U533,GCA!$H$3:$H$593,GCA!F$3:F$593,"",0,1)="","",_xlfn.XLOOKUP($U533,GCA!$H$3:$H$593,GCA!F$3:F$593,"",0,1))</f>
        <v>31235.78</v>
      </c>
      <c r="X533" s="3">
        <f>IF(_xlfn.XLOOKUP($U533,GCA!$H$3:$H$593,GCA!G$3:G$593,"",0,1)="","",_xlfn.XLOOKUP($U533,GCA!$H$3:$H$593,GCA!G$3:G$593,"",0,1))</f>
        <v>31242.415000000001</v>
      </c>
    </row>
    <row r="534" spans="1:24" ht="13.2">
      <c r="A534" s="49"/>
      <c r="B534" s="49"/>
      <c r="C534" s="48"/>
      <c r="D534" s="49"/>
      <c r="E534" s="50">
        <v>3</v>
      </c>
      <c r="F534" s="26" t="s">
        <v>927</v>
      </c>
      <c r="G534" s="26" t="s">
        <v>919</v>
      </c>
      <c r="H534" s="27">
        <f t="shared" si="256"/>
        <v>919.2</v>
      </c>
      <c r="I534" s="27">
        <f t="shared" si="256"/>
        <v>785.39</v>
      </c>
      <c r="J534" s="27">
        <f t="shared" si="256"/>
        <v>885.74</v>
      </c>
      <c r="K534" s="27">
        <f t="shared" si="257"/>
        <v>863.44333333333327</v>
      </c>
      <c r="L534" s="65">
        <f>SUM(K534:K541)</f>
        <v>35136.178666666667</v>
      </c>
      <c r="M534" s="67">
        <f t="shared" si="258"/>
        <v>1.4748072107445709</v>
      </c>
      <c r="N534" s="65">
        <f t="shared" si="241"/>
        <v>2</v>
      </c>
      <c r="O534" s="65">
        <f t="shared" si="259"/>
        <v>2</v>
      </c>
      <c r="P534" s="65">
        <f t="shared" si="259"/>
        <v>2</v>
      </c>
      <c r="Q534" s="38"/>
      <c r="R534" s="3" t="str">
        <f t="shared" si="260"/>
        <v>Thoothukudi</v>
      </c>
      <c r="S534" s="3" t="str">
        <f t="shared" si="233"/>
        <v>Sattankulam</v>
      </c>
      <c r="T534" s="3" t="str">
        <f t="shared" si="233"/>
        <v>Alwarthirunagari</v>
      </c>
      <c r="U534" s="3" t="str">
        <f t="shared" si="253"/>
        <v>Thoothukudi_Sattankulam_Alwarthirunagari</v>
      </c>
      <c r="V534" s="3">
        <f>IF(_xlfn.XLOOKUP($U534,GCA!$H$3:$H$593,GCA!E$3:E$593,"",0,1)="","",_xlfn.XLOOKUP($U534,GCA!$H$3:$H$593,GCA!E$3:E$593,"",0,1))</f>
        <v>919.2</v>
      </c>
      <c r="W534" s="3">
        <f>IF(_xlfn.XLOOKUP($U534,GCA!$H$3:$H$593,GCA!F$3:F$593,"",0,1)="","",_xlfn.XLOOKUP($U534,GCA!$H$3:$H$593,GCA!F$3:F$593,"",0,1))</f>
        <v>785.39</v>
      </c>
      <c r="X534" s="3">
        <f>IF(_xlfn.XLOOKUP($U534,GCA!$H$3:$H$593,GCA!G$3:G$593,"",0,1)="","",_xlfn.XLOOKUP($U534,GCA!$H$3:$H$593,GCA!G$3:G$593,"",0,1))</f>
        <v>885.74</v>
      </c>
    </row>
    <row r="535" spans="1:24" ht="13.2">
      <c r="A535" s="49"/>
      <c r="B535" s="49"/>
      <c r="C535" s="48"/>
      <c r="D535" s="49"/>
      <c r="E535" s="50"/>
      <c r="F535" s="26" t="s">
        <v>927</v>
      </c>
      <c r="G535" s="26" t="s">
        <v>927</v>
      </c>
      <c r="H535" s="27">
        <f t="shared" si="256"/>
        <v>5919.96</v>
      </c>
      <c r="I535" s="27">
        <f t="shared" si="256"/>
        <v>5906.0050000000001</v>
      </c>
      <c r="J535" s="27">
        <f t="shared" si="256"/>
        <v>5506.9650000000001</v>
      </c>
      <c r="K535" s="27">
        <f t="shared" si="257"/>
        <v>5777.6433333333334</v>
      </c>
      <c r="L535" s="65"/>
      <c r="M535" s="67">
        <f t="shared" si="258"/>
        <v>0</v>
      </c>
      <c r="N535" s="65" t="str">
        <f t="shared" si="241"/>
        <v/>
      </c>
      <c r="O535" s="65" t="str">
        <f t="shared" si="259"/>
        <v/>
      </c>
      <c r="P535" s="65" t="str">
        <f t="shared" si="259"/>
        <v/>
      </c>
      <c r="Q535" s="38"/>
      <c r="R535" s="3" t="str">
        <f t="shared" si="260"/>
        <v>Thoothukudi</v>
      </c>
      <c r="S535" s="3" t="str">
        <f t="shared" si="233"/>
        <v>Sattankulam</v>
      </c>
      <c r="T535" s="3" t="str">
        <f t="shared" si="233"/>
        <v>Sattankulam</v>
      </c>
      <c r="U535" s="3" t="str">
        <f t="shared" si="253"/>
        <v>Thoothukudi_Sattankulam_Sattankulam</v>
      </c>
      <c r="V535" s="3">
        <f>IF(_xlfn.XLOOKUP($U535,GCA!$H$3:$H$593,GCA!E$3:E$593,"",0,1)="","",_xlfn.XLOOKUP($U535,GCA!$H$3:$H$593,GCA!E$3:E$593,"",0,1))</f>
        <v>5919.96</v>
      </c>
      <c r="W535" s="3">
        <f>IF(_xlfn.XLOOKUP($U535,GCA!$H$3:$H$593,GCA!F$3:F$593,"",0,1)="","",_xlfn.XLOOKUP($U535,GCA!$H$3:$H$593,GCA!F$3:F$593,"",0,1))</f>
        <v>5906.0050000000001</v>
      </c>
      <c r="X535" s="3">
        <f>IF(_xlfn.XLOOKUP($U535,GCA!$H$3:$H$593,GCA!G$3:G$593,"",0,1)="","",_xlfn.XLOOKUP($U535,GCA!$H$3:$H$593,GCA!G$3:G$593,"",0,1))</f>
        <v>5506.9650000000001</v>
      </c>
    </row>
    <row r="536" spans="1:24" ht="13.2">
      <c r="A536" s="49"/>
      <c r="B536" s="49"/>
      <c r="C536" s="48"/>
      <c r="D536" s="49"/>
      <c r="E536" s="50"/>
      <c r="F536" s="26" t="s">
        <v>928</v>
      </c>
      <c r="G536" s="26" t="s">
        <v>929</v>
      </c>
      <c r="H536" s="27">
        <f t="shared" si="256"/>
        <v>11971.749</v>
      </c>
      <c r="I536" s="27">
        <f t="shared" si="256"/>
        <v>12401.95</v>
      </c>
      <c r="J536" s="27">
        <f t="shared" si="256"/>
        <v>11592.465</v>
      </c>
      <c r="K536" s="27">
        <f t="shared" si="257"/>
        <v>11988.721333333335</v>
      </c>
      <c r="L536" s="65"/>
      <c r="M536" s="67">
        <f t="shared" si="258"/>
        <v>0</v>
      </c>
      <c r="N536" s="65" t="str">
        <f t="shared" si="241"/>
        <v/>
      </c>
      <c r="O536" s="65" t="str">
        <f t="shared" si="259"/>
        <v/>
      </c>
      <c r="P536" s="65" t="str">
        <f t="shared" si="259"/>
        <v/>
      </c>
      <c r="Q536" s="38"/>
      <c r="R536" s="3" t="str">
        <f t="shared" si="260"/>
        <v>Thoothukudi</v>
      </c>
      <c r="S536" s="3" t="str">
        <f t="shared" si="233"/>
        <v>Srivaikuntam</v>
      </c>
      <c r="T536" s="3" t="str">
        <f t="shared" si="233"/>
        <v>Karungulam</v>
      </c>
      <c r="U536" s="3" t="str">
        <f t="shared" si="253"/>
        <v>Thoothukudi_Srivaikuntam_Karungulam</v>
      </c>
      <c r="V536" s="3">
        <f>IF(_xlfn.XLOOKUP($U536,GCA!$H$3:$H$593,GCA!E$3:E$593,"",0,1)="","",_xlfn.XLOOKUP($U536,GCA!$H$3:$H$593,GCA!E$3:E$593,"",0,1))</f>
        <v>11971.749</v>
      </c>
      <c r="W536" s="3">
        <f>IF(_xlfn.XLOOKUP($U536,GCA!$H$3:$H$593,GCA!F$3:F$593,"",0,1)="","",_xlfn.XLOOKUP($U536,GCA!$H$3:$H$593,GCA!F$3:F$593,"",0,1))</f>
        <v>12401.95</v>
      </c>
      <c r="X536" s="3">
        <f>IF(_xlfn.XLOOKUP($U536,GCA!$H$3:$H$593,GCA!G$3:G$593,"",0,1)="","",_xlfn.XLOOKUP($U536,GCA!$H$3:$H$593,GCA!G$3:G$593,"",0,1))</f>
        <v>11592.465</v>
      </c>
    </row>
    <row r="537" spans="1:24" ht="13.2">
      <c r="A537" s="49"/>
      <c r="B537" s="49"/>
      <c r="C537" s="48"/>
      <c r="D537" s="49"/>
      <c r="E537" s="50"/>
      <c r="F537" s="26" t="s">
        <v>928</v>
      </c>
      <c r="G537" s="26" t="s">
        <v>920</v>
      </c>
      <c r="H537" s="27">
        <f t="shared" si="256"/>
        <v>2364.3649999999998</v>
      </c>
      <c r="I537" s="27">
        <f t="shared" si="256"/>
        <v>2933.3249999999998</v>
      </c>
      <c r="J537" s="27">
        <f t="shared" si="256"/>
        <v>2552.8850000000002</v>
      </c>
      <c r="K537" s="27">
        <f t="shared" si="257"/>
        <v>2616.8583333333331</v>
      </c>
      <c r="L537" s="65"/>
      <c r="M537" s="67">
        <f t="shared" si="258"/>
        <v>0</v>
      </c>
      <c r="N537" s="65" t="str">
        <f t="shared" si="241"/>
        <v/>
      </c>
      <c r="O537" s="65" t="str">
        <f t="shared" si="259"/>
        <v/>
      </c>
      <c r="P537" s="65" t="str">
        <f t="shared" si="259"/>
        <v/>
      </c>
      <c r="Q537" s="38"/>
      <c r="R537" s="3" t="str">
        <f t="shared" si="260"/>
        <v>Thoothukudi</v>
      </c>
      <c r="S537" s="3" t="str">
        <f t="shared" si="233"/>
        <v>Srivaikuntam</v>
      </c>
      <c r="T537" s="3" t="str">
        <f t="shared" si="233"/>
        <v>Srivaikundam</v>
      </c>
      <c r="U537" s="3" t="str">
        <f t="shared" si="253"/>
        <v>Thoothukudi_Srivaikuntam_Srivaikundam</v>
      </c>
      <c r="V537" s="3">
        <f>IF(_xlfn.XLOOKUP($U537,GCA!$H$3:$H$593,GCA!E$3:E$593,"",0,1)="","",_xlfn.XLOOKUP($U537,GCA!$H$3:$H$593,GCA!E$3:E$593,"",0,1))</f>
        <v>2364.3649999999998</v>
      </c>
      <c r="W537" s="3">
        <f>IF(_xlfn.XLOOKUP($U537,GCA!$H$3:$H$593,GCA!F$3:F$593,"",0,1)="","",_xlfn.XLOOKUP($U537,GCA!$H$3:$H$593,GCA!F$3:F$593,"",0,1))</f>
        <v>2933.3249999999998</v>
      </c>
      <c r="X537" s="3">
        <f>IF(_xlfn.XLOOKUP($U537,GCA!$H$3:$H$593,GCA!G$3:G$593,"",0,1)="","",_xlfn.XLOOKUP($U537,GCA!$H$3:$H$593,GCA!G$3:G$593,"",0,1))</f>
        <v>2552.8850000000002</v>
      </c>
    </row>
    <row r="538" spans="1:24" ht="13.2">
      <c r="A538" s="49"/>
      <c r="B538" s="49"/>
      <c r="C538" s="48"/>
      <c r="D538" s="49"/>
      <c r="E538" s="50"/>
      <c r="F538" s="26" t="s">
        <v>244</v>
      </c>
      <c r="G538" s="26" t="s">
        <v>244</v>
      </c>
      <c r="H538" s="27">
        <f t="shared" si="256"/>
        <v>4721.9470000000001</v>
      </c>
      <c r="I538" s="27">
        <f t="shared" si="256"/>
        <v>5163.0349999999999</v>
      </c>
      <c r="J538" s="27">
        <f t="shared" si="256"/>
        <v>5032.6000000000004</v>
      </c>
      <c r="K538" s="27">
        <f t="shared" si="257"/>
        <v>4972.5273333333334</v>
      </c>
      <c r="L538" s="65"/>
      <c r="M538" s="67">
        <f t="shared" si="258"/>
        <v>0</v>
      </c>
      <c r="N538" s="65" t="str">
        <f t="shared" si="241"/>
        <v/>
      </c>
      <c r="O538" s="65" t="str">
        <f t="shared" ref="O538:P543" si="261">N538</f>
        <v/>
      </c>
      <c r="P538" s="65" t="str">
        <f t="shared" si="261"/>
        <v/>
      </c>
      <c r="Q538" s="38"/>
      <c r="R538" s="3" t="str">
        <f t="shared" si="260"/>
        <v>Thoothukudi</v>
      </c>
      <c r="S538" s="3" t="str">
        <f t="shared" si="233"/>
        <v>Thoothukudi</v>
      </c>
      <c r="T538" s="3" t="str">
        <f t="shared" si="233"/>
        <v>Thoothukudi</v>
      </c>
      <c r="U538" s="3" t="str">
        <f t="shared" si="253"/>
        <v>Thoothukudi_Thoothukudi_Thoothukudi</v>
      </c>
      <c r="V538" s="3">
        <f>IF(_xlfn.XLOOKUP($U538,GCA!$H$3:$H$593,GCA!E$3:E$593,"",0,1)="","",_xlfn.XLOOKUP($U538,GCA!$H$3:$H$593,GCA!E$3:E$593,"",0,1))</f>
        <v>4721.9470000000001</v>
      </c>
      <c r="W538" s="3">
        <f>IF(_xlfn.XLOOKUP($U538,GCA!$H$3:$H$593,GCA!F$3:F$593,"",0,1)="","",_xlfn.XLOOKUP($U538,GCA!$H$3:$H$593,GCA!F$3:F$593,"",0,1))</f>
        <v>5163.0349999999999</v>
      </c>
      <c r="X538" s="3">
        <f>IF(_xlfn.XLOOKUP($U538,GCA!$H$3:$H$593,GCA!G$3:G$593,"",0,1)="","",_xlfn.XLOOKUP($U538,GCA!$H$3:$H$593,GCA!G$3:G$593,"",0,1))</f>
        <v>5032.6000000000004</v>
      </c>
    </row>
    <row r="539" spans="1:24" ht="13.2">
      <c r="A539" s="49"/>
      <c r="B539" s="49"/>
      <c r="C539" s="48"/>
      <c r="D539" s="49"/>
      <c r="E539" s="50"/>
      <c r="F539" s="26" t="s">
        <v>930</v>
      </c>
      <c r="G539" s="26" t="s">
        <v>919</v>
      </c>
      <c r="H539" s="27">
        <f t="shared" si="256"/>
        <v>1193.7950000000001</v>
      </c>
      <c r="I539" s="27">
        <f t="shared" si="256"/>
        <v>961.99</v>
      </c>
      <c r="J539" s="27">
        <f t="shared" si="256"/>
        <v>1141.885</v>
      </c>
      <c r="K539" s="27">
        <f t="shared" si="257"/>
        <v>1099.2233333333334</v>
      </c>
      <c r="L539" s="65"/>
      <c r="M539" s="67">
        <f t="shared" si="258"/>
        <v>0</v>
      </c>
      <c r="N539" s="65" t="str">
        <f t="shared" si="241"/>
        <v/>
      </c>
      <c r="O539" s="65" t="str">
        <f t="shared" si="261"/>
        <v/>
      </c>
      <c r="P539" s="65" t="str">
        <f t="shared" si="261"/>
        <v/>
      </c>
      <c r="Q539" s="38"/>
      <c r="R539" s="3" t="str">
        <f t="shared" si="260"/>
        <v>Thoothukudi</v>
      </c>
      <c r="S539" s="3" t="str">
        <f t="shared" si="233"/>
        <v>Tiruchendur</v>
      </c>
      <c r="T539" s="3" t="str">
        <f t="shared" si="233"/>
        <v>Alwarthirunagari</v>
      </c>
      <c r="U539" s="3" t="str">
        <f t="shared" si="253"/>
        <v>Thoothukudi_Tiruchendur_Alwarthirunagari</v>
      </c>
      <c r="V539" s="3">
        <f>IF(_xlfn.XLOOKUP($U539,GCA!$H$3:$H$593,GCA!E$3:E$593,"",0,1)="","",_xlfn.XLOOKUP($U539,GCA!$H$3:$H$593,GCA!E$3:E$593,"",0,1))</f>
        <v>1193.7950000000001</v>
      </c>
      <c r="W539" s="3">
        <f>IF(_xlfn.XLOOKUP($U539,GCA!$H$3:$H$593,GCA!F$3:F$593,"",0,1)="","",_xlfn.XLOOKUP($U539,GCA!$H$3:$H$593,GCA!F$3:F$593,"",0,1))</f>
        <v>961.99</v>
      </c>
      <c r="X539" s="3">
        <f>IF(_xlfn.XLOOKUP($U539,GCA!$H$3:$H$593,GCA!G$3:G$593,"",0,1)="","",_xlfn.XLOOKUP($U539,GCA!$H$3:$H$593,GCA!G$3:G$593,"",0,1))</f>
        <v>1141.885</v>
      </c>
    </row>
    <row r="540" spans="1:24" ht="13.2">
      <c r="A540" s="49"/>
      <c r="B540" s="49"/>
      <c r="C540" s="48"/>
      <c r="D540" s="49"/>
      <c r="E540" s="50"/>
      <c r="F540" s="26" t="s">
        <v>930</v>
      </c>
      <c r="G540" s="26" t="s">
        <v>930</v>
      </c>
      <c r="H540" s="27">
        <f t="shared" si="256"/>
        <v>3843.36</v>
      </c>
      <c r="I540" s="27">
        <f t="shared" si="256"/>
        <v>3814.55</v>
      </c>
      <c r="J540" s="27">
        <f t="shared" si="256"/>
        <v>3889.2950000000001</v>
      </c>
      <c r="K540" s="27">
        <f t="shared" si="257"/>
        <v>3849.0683333333332</v>
      </c>
      <c r="L540" s="65"/>
      <c r="M540" s="67">
        <f t="shared" si="258"/>
        <v>0</v>
      </c>
      <c r="N540" s="65" t="str">
        <f t="shared" si="241"/>
        <v/>
      </c>
      <c r="O540" s="65" t="str">
        <f t="shared" si="261"/>
        <v/>
      </c>
      <c r="P540" s="65" t="str">
        <f t="shared" si="261"/>
        <v/>
      </c>
      <c r="Q540" s="38"/>
      <c r="R540" s="3" t="str">
        <f t="shared" si="260"/>
        <v>Thoothukudi</v>
      </c>
      <c r="S540" s="3" t="str">
        <f t="shared" si="233"/>
        <v>Tiruchendur</v>
      </c>
      <c r="T540" s="3" t="str">
        <f t="shared" si="233"/>
        <v>Tiruchendur</v>
      </c>
      <c r="U540" s="3" t="str">
        <f t="shared" si="253"/>
        <v>Thoothukudi_Tiruchendur_Tiruchendur</v>
      </c>
      <c r="V540" s="3">
        <f>IF(_xlfn.XLOOKUP($U540,GCA!$H$3:$H$593,GCA!E$3:E$593,"",0,1)="","",_xlfn.XLOOKUP($U540,GCA!$H$3:$H$593,GCA!E$3:E$593,"",0,1))</f>
        <v>3843.36</v>
      </c>
      <c r="W540" s="3">
        <f>IF(_xlfn.XLOOKUP($U540,GCA!$H$3:$H$593,GCA!F$3:F$593,"",0,1)="","",_xlfn.XLOOKUP($U540,GCA!$H$3:$H$593,GCA!F$3:F$593,"",0,1))</f>
        <v>3814.55</v>
      </c>
      <c r="X540" s="3">
        <f>IF(_xlfn.XLOOKUP($U540,GCA!$H$3:$H$593,GCA!G$3:G$593,"",0,1)="","",_xlfn.XLOOKUP($U540,GCA!$H$3:$H$593,GCA!G$3:G$593,"",0,1))</f>
        <v>3889.2950000000001</v>
      </c>
    </row>
    <row r="541" spans="1:24" ht="13.2">
      <c r="A541" s="49"/>
      <c r="B541" s="49"/>
      <c r="C541" s="48"/>
      <c r="D541" s="49"/>
      <c r="E541" s="50"/>
      <c r="F541" s="26" t="s">
        <v>930</v>
      </c>
      <c r="G541" s="26" t="s">
        <v>931</v>
      </c>
      <c r="H541" s="27">
        <f t="shared" si="256"/>
        <v>3923.43</v>
      </c>
      <c r="I541" s="27">
        <f t="shared" si="256"/>
        <v>3979.36</v>
      </c>
      <c r="J541" s="27">
        <f t="shared" si="256"/>
        <v>4003.29</v>
      </c>
      <c r="K541" s="27">
        <f t="shared" si="257"/>
        <v>3968.6933333333332</v>
      </c>
      <c r="L541" s="65"/>
      <c r="M541" s="67">
        <f t="shared" si="258"/>
        <v>0</v>
      </c>
      <c r="N541" s="65" t="str">
        <f t="shared" si="241"/>
        <v/>
      </c>
      <c r="O541" s="65" t="str">
        <f t="shared" si="261"/>
        <v/>
      </c>
      <c r="P541" s="65" t="str">
        <f t="shared" si="261"/>
        <v/>
      </c>
      <c r="Q541" s="38"/>
      <c r="R541" s="3" t="str">
        <f t="shared" si="260"/>
        <v>Thoothukudi</v>
      </c>
      <c r="S541" s="3" t="str">
        <f t="shared" si="233"/>
        <v>Tiruchendur</v>
      </c>
      <c r="T541" s="3" t="str">
        <f t="shared" si="233"/>
        <v>Udangudi</v>
      </c>
      <c r="U541" s="3" t="str">
        <f t="shared" si="253"/>
        <v>Thoothukudi_Tiruchendur_Udangudi</v>
      </c>
      <c r="V541" s="3">
        <f>IF(_xlfn.XLOOKUP($U541,GCA!$H$3:$H$593,GCA!E$3:E$593,"",0,1)="","",_xlfn.XLOOKUP($U541,GCA!$H$3:$H$593,GCA!E$3:E$593,"",0,1))</f>
        <v>3923.43</v>
      </c>
      <c r="W541" s="3">
        <f>IF(_xlfn.XLOOKUP($U541,GCA!$H$3:$H$593,GCA!F$3:F$593,"",0,1)="","",_xlfn.XLOOKUP($U541,GCA!$H$3:$H$593,GCA!F$3:F$593,"",0,1))</f>
        <v>3979.36</v>
      </c>
      <c r="X541" s="3">
        <f>IF(_xlfn.XLOOKUP($U541,GCA!$H$3:$H$593,GCA!G$3:G$593,"",0,1)="","",_xlfn.XLOOKUP($U541,GCA!$H$3:$H$593,GCA!G$3:G$593,"",0,1))</f>
        <v>4003.29</v>
      </c>
    </row>
    <row r="542" spans="1:24" ht="13.2">
      <c r="A542" s="49"/>
      <c r="B542" s="49"/>
      <c r="C542" s="48"/>
      <c r="D542" s="49"/>
      <c r="E542" s="50">
        <v>4</v>
      </c>
      <c r="F542" s="26" t="s">
        <v>925</v>
      </c>
      <c r="G542" s="26" t="s">
        <v>924</v>
      </c>
      <c r="H542" s="27">
        <f t="shared" si="256"/>
        <v>25981.456999999999</v>
      </c>
      <c r="I542" s="27">
        <f t="shared" si="256"/>
        <v>25696.14</v>
      </c>
      <c r="J542" s="27">
        <f t="shared" si="256"/>
        <v>25550.235000000001</v>
      </c>
      <c r="K542" s="27">
        <f t="shared" si="257"/>
        <v>25742.610666666664</v>
      </c>
      <c r="L542" s="65">
        <f>SUM(K542:K543)</f>
        <v>58412.329666666665</v>
      </c>
      <c r="M542" s="67">
        <f t="shared" si="258"/>
        <v>2.4518011991587385</v>
      </c>
      <c r="N542" s="65">
        <f t="shared" si="241"/>
        <v>2</v>
      </c>
      <c r="O542" s="65">
        <f t="shared" si="261"/>
        <v>2</v>
      </c>
      <c r="P542" s="65">
        <f t="shared" si="261"/>
        <v>2</v>
      </c>
      <c r="Q542" s="38"/>
      <c r="R542" s="3" t="str">
        <f t="shared" si="260"/>
        <v>Thoothukudi</v>
      </c>
      <c r="S542" s="3" t="str">
        <f t="shared" si="233"/>
        <v>Vilathikulam</v>
      </c>
      <c r="T542" s="3" t="str">
        <f t="shared" si="233"/>
        <v>Pudur</v>
      </c>
      <c r="U542" s="3" t="str">
        <f t="shared" si="253"/>
        <v>Thoothukudi_Vilathikulam_Pudur</v>
      </c>
      <c r="V542" s="3">
        <f>IF(_xlfn.XLOOKUP($U542,GCA!$H$3:$H$593,GCA!E$3:E$593,"",0,1)="","",_xlfn.XLOOKUP($U542,GCA!$H$3:$H$593,GCA!E$3:E$593,"",0,1))</f>
        <v>25981.456999999999</v>
      </c>
      <c r="W542" s="3">
        <f>IF(_xlfn.XLOOKUP($U542,GCA!$H$3:$H$593,GCA!F$3:F$593,"",0,1)="","",_xlfn.XLOOKUP($U542,GCA!$H$3:$H$593,GCA!F$3:F$593,"",0,1))</f>
        <v>25696.14</v>
      </c>
      <c r="X542" s="3">
        <f>IF(_xlfn.XLOOKUP($U542,GCA!$H$3:$H$593,GCA!G$3:G$593,"",0,1)="","",_xlfn.XLOOKUP($U542,GCA!$H$3:$H$593,GCA!G$3:G$593,"",0,1))</f>
        <v>25550.235000000001</v>
      </c>
    </row>
    <row r="543" spans="1:24" ht="13.2">
      <c r="A543" s="49"/>
      <c r="B543" s="49"/>
      <c r="C543" s="48"/>
      <c r="D543" s="49"/>
      <c r="E543" s="50"/>
      <c r="F543" s="26" t="s">
        <v>925</v>
      </c>
      <c r="G543" s="26" t="s">
        <v>925</v>
      </c>
      <c r="H543" s="27">
        <f t="shared" si="256"/>
        <v>33157.792000000001</v>
      </c>
      <c r="I543" s="27">
        <f t="shared" si="256"/>
        <v>32693.775000000001</v>
      </c>
      <c r="J543" s="27">
        <f t="shared" si="256"/>
        <v>32157.59</v>
      </c>
      <c r="K543" s="27">
        <f t="shared" si="257"/>
        <v>32669.719000000001</v>
      </c>
      <c r="L543" s="65"/>
      <c r="M543" s="67">
        <f t="shared" si="258"/>
        <v>0</v>
      </c>
      <c r="N543" s="65" t="str">
        <f t="shared" si="241"/>
        <v/>
      </c>
      <c r="O543" s="65" t="str">
        <f t="shared" si="261"/>
        <v/>
      </c>
      <c r="P543" s="65" t="str">
        <f t="shared" si="261"/>
        <v/>
      </c>
      <c r="Q543" s="38"/>
      <c r="R543" s="3" t="str">
        <f t="shared" si="260"/>
        <v>Thoothukudi</v>
      </c>
      <c r="S543" s="3" t="str">
        <f t="shared" si="233"/>
        <v>Vilathikulam</v>
      </c>
      <c r="T543" s="3" t="str">
        <f t="shared" si="233"/>
        <v>Vilathikulam</v>
      </c>
      <c r="U543" s="3" t="str">
        <f t="shared" si="253"/>
        <v>Thoothukudi_Vilathikulam_Vilathikulam</v>
      </c>
      <c r="V543" s="3">
        <f>IF(_xlfn.XLOOKUP($U543,GCA!$H$3:$H$593,GCA!E$3:E$593,"",0,1)="","",_xlfn.XLOOKUP($U543,GCA!$H$3:$H$593,GCA!E$3:E$593,"",0,1))</f>
        <v>33157.792000000001</v>
      </c>
      <c r="W543" s="3">
        <f>IF(_xlfn.XLOOKUP($U543,GCA!$H$3:$H$593,GCA!F$3:F$593,"",0,1)="","",_xlfn.XLOOKUP($U543,GCA!$H$3:$H$593,GCA!F$3:F$593,"",0,1))</f>
        <v>32693.775000000001</v>
      </c>
      <c r="X543" s="3">
        <f>IF(_xlfn.XLOOKUP($U543,GCA!$H$3:$H$593,GCA!G$3:G$593,"",0,1)="","",_xlfn.XLOOKUP($U543,GCA!$H$3:$H$593,GCA!G$3:G$593,"",0,1))</f>
        <v>32157.59</v>
      </c>
    </row>
    <row r="544" spans="1:24" ht="13.2">
      <c r="A544" s="49"/>
      <c r="B544" s="49"/>
      <c r="C544" s="48"/>
      <c r="D544" s="49"/>
      <c r="E544" s="47" t="s">
        <v>564</v>
      </c>
      <c r="F544" s="47"/>
      <c r="G544" s="47"/>
      <c r="H544" s="29">
        <f t="shared" ref="H544:P544" si="262">SUM(H522:H543)</f>
        <v>212199.68199999997</v>
      </c>
      <c r="I544" s="29">
        <f t="shared" si="262"/>
        <v>214840.58</v>
      </c>
      <c r="J544" s="29">
        <f t="shared" si="262"/>
        <v>213911.89000000004</v>
      </c>
      <c r="K544" s="29">
        <f t="shared" si="262"/>
        <v>213650.71733333333</v>
      </c>
      <c r="L544" s="29">
        <f t="shared" si="262"/>
        <v>213650.71733333333</v>
      </c>
      <c r="M544" s="30">
        <f t="shared" si="262"/>
        <v>8.9677827942876487</v>
      </c>
      <c r="N544" s="31">
        <f t="shared" si="262"/>
        <v>9</v>
      </c>
      <c r="O544" s="31">
        <f t="shared" si="262"/>
        <v>9</v>
      </c>
      <c r="P544" s="31">
        <f t="shared" si="262"/>
        <v>9</v>
      </c>
      <c r="Q544" s="38"/>
      <c r="R544" s="3" t="str">
        <f t="shared" si="260"/>
        <v>Thoothukudi</v>
      </c>
      <c r="S544" s="3">
        <f t="shared" si="233"/>
        <v>0</v>
      </c>
      <c r="T544" s="3">
        <f t="shared" si="233"/>
        <v>0</v>
      </c>
      <c r="U544" s="3" t="str">
        <f t="shared" si="253"/>
        <v>Thoothukudi_0_0</v>
      </c>
      <c r="V544" s="3" t="str">
        <f>IF(_xlfn.XLOOKUP($U544,GCA!$H$3:$H$593,GCA!E$3:E$593,"",0,1)="","",_xlfn.XLOOKUP($U544,GCA!$H$3:$H$593,GCA!E$3:E$593,"",0,1))</f>
        <v/>
      </c>
      <c r="W544" s="3" t="str">
        <f>IF(_xlfn.XLOOKUP($U544,GCA!$H$3:$H$593,GCA!F$3:F$593,"",0,1)="","",_xlfn.XLOOKUP($U544,GCA!$H$3:$H$593,GCA!F$3:F$593,"",0,1))</f>
        <v/>
      </c>
      <c r="X544" s="3" t="str">
        <f>IF(_xlfn.XLOOKUP($U544,GCA!$H$3:$H$593,GCA!G$3:G$593,"",0,1)="","",_xlfn.XLOOKUP($U544,GCA!$H$3:$H$593,GCA!G$3:G$593,"",0,1))</f>
        <v/>
      </c>
    </row>
    <row r="545" spans="1:24" ht="13.2">
      <c r="A545" s="49"/>
      <c r="B545" s="49"/>
      <c r="C545" s="48" t="s">
        <v>245</v>
      </c>
      <c r="D545" s="49" t="s">
        <v>557</v>
      </c>
      <c r="E545" s="50">
        <v>1</v>
      </c>
      <c r="F545" s="26" t="s">
        <v>932</v>
      </c>
      <c r="G545" s="26" t="s">
        <v>932</v>
      </c>
      <c r="H545" s="27">
        <f t="shared" ref="H545:J561" si="263">V545</f>
        <v>8655.1849999999995</v>
      </c>
      <c r="I545" s="27">
        <f t="shared" si="263"/>
        <v>6438.3549999999996</v>
      </c>
      <c r="J545" s="27">
        <f t="shared" si="263"/>
        <v>8488.1200000000008</v>
      </c>
      <c r="K545" s="27">
        <f t="shared" ref="K545:K561" si="264">IFERROR(AVERAGE(H545:J545),"")</f>
        <v>7860.5533333333333</v>
      </c>
      <c r="L545" s="65">
        <f>SUM(K545:K561)</f>
        <v>74322.701000000001</v>
      </c>
      <c r="M545" s="67">
        <f t="shared" ref="M545:M561" si="265">L545*$L$643/$L$642</f>
        <v>3.1196236903474137</v>
      </c>
      <c r="N545" s="65">
        <f t="shared" si="241"/>
        <v>3</v>
      </c>
      <c r="O545" s="65">
        <f t="shared" ref="O545:P560" si="266">N545</f>
        <v>3</v>
      </c>
      <c r="P545" s="65">
        <f t="shared" si="266"/>
        <v>3</v>
      </c>
      <c r="Q545" s="38"/>
      <c r="R545" s="3" t="str">
        <f t="shared" si="239"/>
        <v>Tirunelveli</v>
      </c>
      <c r="S545" s="3" t="str">
        <f t="shared" si="233"/>
        <v>Ambasamudram</v>
      </c>
      <c r="T545" s="3" t="str">
        <f t="shared" si="233"/>
        <v>Ambasamudram</v>
      </c>
      <c r="U545" s="3" t="str">
        <f t="shared" si="253"/>
        <v>Tirunelveli_Ambasamudram_Ambasamudram</v>
      </c>
      <c r="V545" s="3">
        <f>IF(_xlfn.XLOOKUP($U545,GCA!$H$3:$H$593,GCA!E$3:E$593,"",0,1)="","",_xlfn.XLOOKUP($U545,GCA!$H$3:$H$593,GCA!E$3:E$593,"",0,1))</f>
        <v>8655.1849999999995</v>
      </c>
      <c r="W545" s="3">
        <f>IF(_xlfn.XLOOKUP($U545,GCA!$H$3:$H$593,GCA!F$3:F$593,"",0,1)="","",_xlfn.XLOOKUP($U545,GCA!$H$3:$H$593,GCA!F$3:F$593,"",0,1))</f>
        <v>6438.3549999999996</v>
      </c>
      <c r="X545" s="3">
        <f>IF(_xlfn.XLOOKUP($U545,GCA!$H$3:$H$593,GCA!G$3:G$593,"",0,1)="","",_xlfn.XLOOKUP($U545,GCA!$H$3:$H$593,GCA!G$3:G$593,"",0,1))</f>
        <v>8488.1200000000008</v>
      </c>
    </row>
    <row r="546" spans="1:24" ht="13.2">
      <c r="A546" s="49"/>
      <c r="B546" s="49"/>
      <c r="C546" s="48"/>
      <c r="D546" s="49"/>
      <c r="E546" s="50"/>
      <c r="F546" s="26" t="s">
        <v>932</v>
      </c>
      <c r="G546" s="26" t="s">
        <v>933</v>
      </c>
      <c r="H546" s="27">
        <f t="shared" si="263"/>
        <v>1739.2249999999999</v>
      </c>
      <c r="I546" s="27">
        <f t="shared" si="263"/>
        <v>1279.3050000000001</v>
      </c>
      <c r="J546" s="27">
        <f t="shared" si="263"/>
        <v>1670.4449999999999</v>
      </c>
      <c r="K546" s="27">
        <f t="shared" si="264"/>
        <v>1562.9916666666666</v>
      </c>
      <c r="L546" s="65"/>
      <c r="M546" s="67">
        <f t="shared" si="265"/>
        <v>0</v>
      </c>
      <c r="N546" s="65" t="str">
        <f t="shared" si="241"/>
        <v/>
      </c>
      <c r="O546" s="65" t="str">
        <f t="shared" si="266"/>
        <v/>
      </c>
      <c r="P546" s="65" t="str">
        <f t="shared" si="266"/>
        <v/>
      </c>
      <c r="Q546" s="38"/>
      <c r="R546" s="3" t="str">
        <f t="shared" ref="R546:R562" si="267">R545</f>
        <v>Tirunelveli</v>
      </c>
      <c r="S546" s="3" t="str">
        <f t="shared" si="233"/>
        <v>Ambasamudram</v>
      </c>
      <c r="T546" s="3" t="str">
        <f t="shared" si="233"/>
        <v>Cheranmahadevi</v>
      </c>
      <c r="U546" s="3" t="str">
        <f t="shared" si="253"/>
        <v>Tirunelveli_Ambasamudram_Cheranmahadevi</v>
      </c>
      <c r="V546" s="3">
        <f>IF(_xlfn.XLOOKUP($U546,GCA!$H$3:$H$593,GCA!E$3:E$593,"",0,1)="","",_xlfn.XLOOKUP($U546,GCA!$H$3:$H$593,GCA!E$3:E$593,"",0,1))</f>
        <v>1739.2249999999999</v>
      </c>
      <c r="W546" s="3">
        <f>IF(_xlfn.XLOOKUP($U546,GCA!$H$3:$H$593,GCA!F$3:F$593,"",0,1)="","",_xlfn.XLOOKUP($U546,GCA!$H$3:$H$593,GCA!F$3:F$593,"",0,1))</f>
        <v>1279.3050000000001</v>
      </c>
      <c r="X546" s="3">
        <f>IF(_xlfn.XLOOKUP($U546,GCA!$H$3:$H$593,GCA!G$3:G$593,"",0,1)="","",_xlfn.XLOOKUP($U546,GCA!$H$3:$H$593,GCA!G$3:G$593,"",0,1))</f>
        <v>1670.4449999999999</v>
      </c>
    </row>
    <row r="547" spans="1:24" ht="13.2">
      <c r="A547" s="49"/>
      <c r="B547" s="49"/>
      <c r="C547" s="48"/>
      <c r="D547" s="49"/>
      <c r="E547" s="50"/>
      <c r="F547" s="26" t="s">
        <v>932</v>
      </c>
      <c r="G547" s="26" t="s">
        <v>934</v>
      </c>
      <c r="H547" s="27">
        <f t="shared" si="263"/>
        <v>1286.5650000000001</v>
      </c>
      <c r="I547" s="27">
        <f t="shared" si="263"/>
        <v>1406.4649999999999</v>
      </c>
      <c r="J547" s="27">
        <f t="shared" si="263"/>
        <v>1344.43</v>
      </c>
      <c r="K547" s="27">
        <f t="shared" si="264"/>
        <v>1345.82</v>
      </c>
      <c r="L547" s="65"/>
      <c r="M547" s="67">
        <f t="shared" si="265"/>
        <v>0</v>
      </c>
      <c r="N547" s="65" t="str">
        <f t="shared" si="241"/>
        <v/>
      </c>
      <c r="O547" s="65" t="str">
        <f t="shared" si="266"/>
        <v/>
      </c>
      <c r="P547" s="65" t="str">
        <f t="shared" si="266"/>
        <v/>
      </c>
      <c r="Q547" s="38"/>
      <c r="R547" s="3" t="str">
        <f t="shared" si="267"/>
        <v>Tirunelveli</v>
      </c>
      <c r="S547" s="3" t="str">
        <f t="shared" ref="S547:T598" si="268">F547</f>
        <v>Ambasamudram</v>
      </c>
      <c r="T547" s="3" t="str">
        <f t="shared" si="268"/>
        <v>Pappakudi</v>
      </c>
      <c r="U547" s="3" t="str">
        <f t="shared" si="253"/>
        <v>Tirunelveli_Ambasamudram_Pappakudi</v>
      </c>
      <c r="V547" s="3">
        <f>IF(_xlfn.XLOOKUP($U547,GCA!$H$3:$H$593,GCA!E$3:E$593,"",0,1)="","",_xlfn.XLOOKUP($U547,GCA!$H$3:$H$593,GCA!E$3:E$593,"",0,1))</f>
        <v>1286.5650000000001</v>
      </c>
      <c r="W547" s="3">
        <f>IF(_xlfn.XLOOKUP($U547,GCA!$H$3:$H$593,GCA!F$3:F$593,"",0,1)="","",_xlfn.XLOOKUP($U547,GCA!$H$3:$H$593,GCA!F$3:F$593,"",0,1))</f>
        <v>1406.4649999999999</v>
      </c>
      <c r="X547" s="3">
        <f>IF(_xlfn.XLOOKUP($U547,GCA!$H$3:$H$593,GCA!G$3:G$593,"",0,1)="","",_xlfn.XLOOKUP($U547,GCA!$H$3:$H$593,GCA!G$3:G$593,"",0,1))</f>
        <v>1344.43</v>
      </c>
    </row>
    <row r="548" spans="1:24" ht="13.2">
      <c r="A548" s="49"/>
      <c r="B548" s="49"/>
      <c r="C548" s="48"/>
      <c r="D548" s="49"/>
      <c r="E548" s="50"/>
      <c r="F548" s="26" t="s">
        <v>933</v>
      </c>
      <c r="G548" s="26" t="s">
        <v>933</v>
      </c>
      <c r="H548" s="27">
        <f t="shared" si="263"/>
        <v>8335.75</v>
      </c>
      <c r="I548" s="27">
        <f t="shared" si="263"/>
        <v>6737.7349999999997</v>
      </c>
      <c r="J548" s="27">
        <f t="shared" si="263"/>
        <v>7464.67</v>
      </c>
      <c r="K548" s="27">
        <f t="shared" si="264"/>
        <v>7512.7183333333332</v>
      </c>
      <c r="L548" s="65"/>
      <c r="M548" s="67">
        <f t="shared" si="265"/>
        <v>0</v>
      </c>
      <c r="N548" s="65" t="str">
        <f t="shared" si="241"/>
        <v/>
      </c>
      <c r="O548" s="65" t="str">
        <f t="shared" si="266"/>
        <v/>
      </c>
      <c r="P548" s="65" t="str">
        <f t="shared" si="266"/>
        <v/>
      </c>
      <c r="Q548" s="38"/>
      <c r="R548" s="3" t="str">
        <f t="shared" si="267"/>
        <v>Tirunelveli</v>
      </c>
      <c r="S548" s="3" t="str">
        <f t="shared" si="268"/>
        <v>Cheranmahadevi</v>
      </c>
      <c r="T548" s="3" t="str">
        <f t="shared" si="268"/>
        <v>Cheranmahadevi</v>
      </c>
      <c r="U548" s="3" t="str">
        <f t="shared" si="253"/>
        <v>Tirunelveli_Cheranmahadevi_Cheranmahadevi</v>
      </c>
      <c r="V548" s="3">
        <f>IF(_xlfn.XLOOKUP($U548,GCA!$H$3:$H$593,GCA!E$3:E$593,"",0,1)="","",_xlfn.XLOOKUP($U548,GCA!$H$3:$H$593,GCA!E$3:E$593,"",0,1))</f>
        <v>8335.75</v>
      </c>
      <c r="W548" s="3">
        <f>IF(_xlfn.XLOOKUP($U548,GCA!$H$3:$H$593,GCA!F$3:F$593,"",0,1)="","",_xlfn.XLOOKUP($U548,GCA!$H$3:$H$593,GCA!F$3:F$593,"",0,1))</f>
        <v>6737.7349999999997</v>
      </c>
      <c r="X548" s="3">
        <f>IF(_xlfn.XLOOKUP($U548,GCA!$H$3:$H$593,GCA!G$3:G$593,"",0,1)="","",_xlfn.XLOOKUP($U548,GCA!$H$3:$H$593,GCA!G$3:G$593,"",0,1))</f>
        <v>7464.67</v>
      </c>
    </row>
    <row r="549" spans="1:24" ht="13.2">
      <c r="A549" s="49"/>
      <c r="B549" s="49"/>
      <c r="C549" s="48"/>
      <c r="D549" s="49"/>
      <c r="E549" s="50"/>
      <c r="F549" s="26" t="s">
        <v>933</v>
      </c>
      <c r="G549" s="26" t="s">
        <v>934</v>
      </c>
      <c r="H549" s="27">
        <f t="shared" si="263"/>
        <v>3314.085</v>
      </c>
      <c r="I549" s="27">
        <f t="shared" si="263"/>
        <v>3301.24</v>
      </c>
      <c r="J549" s="27">
        <f t="shared" si="263"/>
        <v>3211.55</v>
      </c>
      <c r="K549" s="27">
        <f t="shared" si="264"/>
        <v>3275.625</v>
      </c>
      <c r="L549" s="65"/>
      <c r="M549" s="67">
        <f t="shared" si="265"/>
        <v>0</v>
      </c>
      <c r="N549" s="65" t="str">
        <f t="shared" si="241"/>
        <v/>
      </c>
      <c r="O549" s="65" t="str">
        <f t="shared" si="266"/>
        <v/>
      </c>
      <c r="P549" s="65" t="str">
        <f t="shared" si="266"/>
        <v/>
      </c>
      <c r="Q549" s="38"/>
      <c r="R549" s="3" t="str">
        <f t="shared" si="267"/>
        <v>Tirunelveli</v>
      </c>
      <c r="S549" s="3" t="str">
        <f t="shared" si="268"/>
        <v>Cheranmahadevi</v>
      </c>
      <c r="T549" s="3" t="str">
        <f t="shared" si="268"/>
        <v>Pappakudi</v>
      </c>
      <c r="U549" s="3" t="str">
        <f t="shared" si="253"/>
        <v>Tirunelveli_Cheranmahadevi_Pappakudi</v>
      </c>
      <c r="V549" s="3">
        <f>IF(_xlfn.XLOOKUP($U549,GCA!$H$3:$H$593,GCA!E$3:E$593,"",0,1)="","",_xlfn.XLOOKUP($U549,GCA!$H$3:$H$593,GCA!E$3:E$593,"",0,1))</f>
        <v>3314.085</v>
      </c>
      <c r="W549" s="3">
        <f>IF(_xlfn.XLOOKUP($U549,GCA!$H$3:$H$593,GCA!F$3:F$593,"",0,1)="","",_xlfn.XLOOKUP($U549,GCA!$H$3:$H$593,GCA!F$3:F$593,"",0,1))</f>
        <v>3301.24</v>
      </c>
      <c r="X549" s="3">
        <f>IF(_xlfn.XLOOKUP($U549,GCA!$H$3:$H$593,GCA!G$3:G$593,"",0,1)="","",_xlfn.XLOOKUP($U549,GCA!$H$3:$H$593,GCA!G$3:G$593,"",0,1))</f>
        <v>3211.55</v>
      </c>
    </row>
    <row r="550" spans="1:24" ht="13.2">
      <c r="A550" s="49"/>
      <c r="B550" s="49"/>
      <c r="C550" s="48"/>
      <c r="D550" s="49"/>
      <c r="E550" s="50"/>
      <c r="F550" s="26" t="s">
        <v>935</v>
      </c>
      <c r="G550" s="26" t="s">
        <v>935</v>
      </c>
      <c r="H550" s="27">
        <f t="shared" si="263"/>
        <v>13160.209000000001</v>
      </c>
      <c r="I550" s="27">
        <f t="shared" si="263"/>
        <v>12528.32</v>
      </c>
      <c r="J550" s="27">
        <f t="shared" si="263"/>
        <v>10784.948</v>
      </c>
      <c r="K550" s="27">
        <f t="shared" si="264"/>
        <v>12157.825666666666</v>
      </c>
      <c r="L550" s="65"/>
      <c r="M550" s="67">
        <f t="shared" si="265"/>
        <v>0</v>
      </c>
      <c r="N550" s="65" t="str">
        <f t="shared" si="241"/>
        <v/>
      </c>
      <c r="O550" s="65" t="str">
        <f t="shared" si="266"/>
        <v/>
      </c>
      <c r="P550" s="65" t="str">
        <f t="shared" si="266"/>
        <v/>
      </c>
      <c r="Q550" s="38"/>
      <c r="R550" s="3" t="str">
        <f t="shared" si="267"/>
        <v>Tirunelveli</v>
      </c>
      <c r="S550" s="3" t="str">
        <f t="shared" si="268"/>
        <v>Manur</v>
      </c>
      <c r="T550" s="3" t="str">
        <f t="shared" si="268"/>
        <v>Manur</v>
      </c>
      <c r="U550" s="3" t="str">
        <f t="shared" si="253"/>
        <v>Tirunelveli_Manur_Manur</v>
      </c>
      <c r="V550" s="3">
        <f>IF(_xlfn.XLOOKUP($U550,GCA!$H$3:$H$593,GCA!E$3:E$593,"",0,1)="","",_xlfn.XLOOKUP($U550,GCA!$H$3:$H$593,GCA!E$3:E$593,"",0,1))</f>
        <v>13160.209000000001</v>
      </c>
      <c r="W550" s="3">
        <f>IF(_xlfn.XLOOKUP($U550,GCA!$H$3:$H$593,GCA!F$3:F$593,"",0,1)="","",_xlfn.XLOOKUP($U550,GCA!$H$3:$H$593,GCA!F$3:F$593,"",0,1))</f>
        <v>12528.32</v>
      </c>
      <c r="X550" s="3">
        <f>IF(_xlfn.XLOOKUP($U550,GCA!$H$3:$H$593,GCA!G$3:G$593,"",0,1)="","",_xlfn.XLOOKUP($U550,GCA!$H$3:$H$593,GCA!G$3:G$593,"",0,1))</f>
        <v>10784.948</v>
      </c>
    </row>
    <row r="551" spans="1:24" ht="13.2">
      <c r="A551" s="49"/>
      <c r="B551" s="49"/>
      <c r="C551" s="48"/>
      <c r="D551" s="49"/>
      <c r="E551" s="50"/>
      <c r="F551" s="26" t="s">
        <v>936</v>
      </c>
      <c r="G551" s="26" t="s">
        <v>937</v>
      </c>
      <c r="H551" s="27">
        <f t="shared" si="263"/>
        <v>8527.8850000000002</v>
      </c>
      <c r="I551" s="27">
        <f t="shared" si="263"/>
        <v>7905.3770000000004</v>
      </c>
      <c r="J551" s="27">
        <f t="shared" si="263"/>
        <v>7409.55</v>
      </c>
      <c r="K551" s="27">
        <f t="shared" si="264"/>
        <v>7947.6040000000003</v>
      </c>
      <c r="L551" s="65"/>
      <c r="M551" s="67">
        <f t="shared" si="265"/>
        <v>0</v>
      </c>
      <c r="N551" s="65" t="str">
        <f t="shared" si="241"/>
        <v/>
      </c>
      <c r="O551" s="65" t="str">
        <f t="shared" si="266"/>
        <v/>
      </c>
      <c r="P551" s="65" t="str">
        <f t="shared" si="266"/>
        <v/>
      </c>
      <c r="Q551" s="38"/>
      <c r="R551" s="3" t="str">
        <f t="shared" si="267"/>
        <v>Tirunelveli</v>
      </c>
      <c r="S551" s="3" t="str">
        <f t="shared" si="268"/>
        <v>Nanguneri</v>
      </c>
      <c r="T551" s="3" t="str">
        <f t="shared" si="268"/>
        <v>Kalakad</v>
      </c>
      <c r="U551" s="3" t="str">
        <f t="shared" si="253"/>
        <v>Tirunelveli_Nanguneri_Kalakad</v>
      </c>
      <c r="V551" s="3">
        <f>IF(_xlfn.XLOOKUP($U551,GCA!$H$3:$H$593,GCA!E$3:E$593,"",0,1)="","",_xlfn.XLOOKUP($U551,GCA!$H$3:$H$593,GCA!E$3:E$593,"",0,1))</f>
        <v>8527.8850000000002</v>
      </c>
      <c r="W551" s="3">
        <f>IF(_xlfn.XLOOKUP($U551,GCA!$H$3:$H$593,GCA!F$3:F$593,"",0,1)="","",_xlfn.XLOOKUP($U551,GCA!$H$3:$H$593,GCA!F$3:F$593,"",0,1))</f>
        <v>7905.3770000000004</v>
      </c>
      <c r="X551" s="3">
        <f>IF(_xlfn.XLOOKUP($U551,GCA!$H$3:$H$593,GCA!G$3:G$593,"",0,1)="","",_xlfn.XLOOKUP($U551,GCA!$H$3:$H$593,GCA!G$3:G$593,"",0,1))</f>
        <v>7409.55</v>
      </c>
    </row>
    <row r="552" spans="1:24" ht="13.2">
      <c r="A552" s="49"/>
      <c r="B552" s="49"/>
      <c r="C552" s="48"/>
      <c r="D552" s="49"/>
      <c r="E552" s="50"/>
      <c r="F552" s="26" t="s">
        <v>936</v>
      </c>
      <c r="G552" s="26" t="s">
        <v>936</v>
      </c>
      <c r="H552" s="27">
        <f t="shared" si="263"/>
        <v>6275.6</v>
      </c>
      <c r="I552" s="27">
        <f t="shared" si="263"/>
        <v>7339.5349999999999</v>
      </c>
      <c r="J552" s="27">
        <f t="shared" si="263"/>
        <v>5114.2640000000001</v>
      </c>
      <c r="K552" s="27">
        <f t="shared" si="264"/>
        <v>6243.1330000000007</v>
      </c>
      <c r="L552" s="65"/>
      <c r="M552" s="67">
        <f t="shared" si="265"/>
        <v>0</v>
      </c>
      <c r="N552" s="65" t="str">
        <f t="shared" si="241"/>
        <v/>
      </c>
      <c r="O552" s="65" t="str">
        <f t="shared" si="266"/>
        <v/>
      </c>
      <c r="P552" s="65" t="str">
        <f t="shared" si="266"/>
        <v/>
      </c>
      <c r="Q552" s="38"/>
      <c r="R552" s="3" t="str">
        <f t="shared" si="267"/>
        <v>Tirunelveli</v>
      </c>
      <c r="S552" s="3" t="str">
        <f t="shared" si="268"/>
        <v>Nanguneri</v>
      </c>
      <c r="T552" s="3" t="str">
        <f t="shared" si="268"/>
        <v>Nanguneri</v>
      </c>
      <c r="U552" s="3" t="str">
        <f t="shared" si="253"/>
        <v>Tirunelveli_Nanguneri_Nanguneri</v>
      </c>
      <c r="V552" s="3">
        <f>IF(_xlfn.XLOOKUP($U552,GCA!$H$3:$H$593,GCA!E$3:E$593,"",0,1)="","",_xlfn.XLOOKUP($U552,GCA!$H$3:$H$593,GCA!E$3:E$593,"",0,1))</f>
        <v>6275.6</v>
      </c>
      <c r="W552" s="3">
        <f>IF(_xlfn.XLOOKUP($U552,GCA!$H$3:$H$593,GCA!F$3:F$593,"",0,1)="","",_xlfn.XLOOKUP($U552,GCA!$H$3:$H$593,GCA!F$3:F$593,"",0,1))</f>
        <v>7339.5349999999999</v>
      </c>
      <c r="X552" s="3">
        <f>IF(_xlfn.XLOOKUP($U552,GCA!$H$3:$H$593,GCA!G$3:G$593,"",0,1)="","",_xlfn.XLOOKUP($U552,GCA!$H$3:$H$593,GCA!G$3:G$593,"",0,1))</f>
        <v>5114.2640000000001</v>
      </c>
    </row>
    <row r="553" spans="1:24" ht="13.2">
      <c r="A553" s="49"/>
      <c r="B553" s="49"/>
      <c r="C553" s="48"/>
      <c r="D553" s="49"/>
      <c r="E553" s="50"/>
      <c r="F553" s="26" t="s">
        <v>938</v>
      </c>
      <c r="G553" s="26" t="s">
        <v>938</v>
      </c>
      <c r="H553" s="27">
        <f t="shared" si="263"/>
        <v>7389.14</v>
      </c>
      <c r="I553" s="27">
        <f t="shared" si="263"/>
        <v>6735.2920000000004</v>
      </c>
      <c r="J553" s="27">
        <f t="shared" si="263"/>
        <v>5343.9430000000002</v>
      </c>
      <c r="K553" s="27">
        <f t="shared" si="264"/>
        <v>6489.458333333333</v>
      </c>
      <c r="L553" s="65"/>
      <c r="M553" s="67">
        <f t="shared" si="265"/>
        <v>0</v>
      </c>
      <c r="N553" s="65" t="str">
        <f t="shared" si="241"/>
        <v/>
      </c>
      <c r="O553" s="65" t="str">
        <f t="shared" si="266"/>
        <v/>
      </c>
      <c r="P553" s="65" t="str">
        <f t="shared" si="266"/>
        <v/>
      </c>
      <c r="Q553" s="38"/>
      <c r="R553" s="3" t="str">
        <f t="shared" si="267"/>
        <v>Tirunelveli</v>
      </c>
      <c r="S553" s="3" t="str">
        <f t="shared" si="268"/>
        <v>Palayamkottai</v>
      </c>
      <c r="T553" s="3" t="str">
        <f t="shared" si="268"/>
        <v>Palayamkottai</v>
      </c>
      <c r="U553" s="3" t="str">
        <f t="shared" si="253"/>
        <v>Tirunelveli_Palayamkottai_Palayamkottai</v>
      </c>
      <c r="V553" s="3">
        <f>IF(_xlfn.XLOOKUP($U553,GCA!$H$3:$H$593,GCA!E$3:E$593,"",0,1)="","",_xlfn.XLOOKUP($U553,GCA!$H$3:$H$593,GCA!E$3:E$593,"",0,1))</f>
        <v>7389.14</v>
      </c>
      <c r="W553" s="3">
        <f>IF(_xlfn.XLOOKUP($U553,GCA!$H$3:$H$593,GCA!F$3:F$593,"",0,1)="","",_xlfn.XLOOKUP($U553,GCA!$H$3:$H$593,GCA!F$3:F$593,"",0,1))</f>
        <v>6735.2920000000004</v>
      </c>
      <c r="X553" s="3">
        <f>IF(_xlfn.XLOOKUP($U553,GCA!$H$3:$H$593,GCA!G$3:G$593,"",0,1)="","",_xlfn.XLOOKUP($U553,GCA!$H$3:$H$593,GCA!G$3:G$593,"",0,1))</f>
        <v>5343.9430000000002</v>
      </c>
    </row>
    <row r="554" spans="1:24" ht="13.2">
      <c r="A554" s="49"/>
      <c r="B554" s="49"/>
      <c r="C554" s="48"/>
      <c r="D554" s="49"/>
      <c r="E554" s="50"/>
      <c r="F554" s="26" t="s">
        <v>939</v>
      </c>
      <c r="G554" s="26" t="s">
        <v>939</v>
      </c>
      <c r="H554" s="27">
        <f t="shared" si="263"/>
        <v>1608.66</v>
      </c>
      <c r="I554" s="27">
        <f t="shared" si="263"/>
        <v>1865.02</v>
      </c>
      <c r="J554" s="27">
        <f t="shared" si="263"/>
        <v>1714.54</v>
      </c>
      <c r="K554" s="27">
        <f t="shared" si="264"/>
        <v>1729.4066666666668</v>
      </c>
      <c r="L554" s="65"/>
      <c r="M554" s="67">
        <f t="shared" si="265"/>
        <v>0</v>
      </c>
      <c r="N554" s="65" t="str">
        <f t="shared" si="241"/>
        <v/>
      </c>
      <c r="O554" s="65" t="str">
        <f t="shared" si="266"/>
        <v/>
      </c>
      <c r="P554" s="65" t="str">
        <f t="shared" si="266"/>
        <v/>
      </c>
      <c r="Q554" s="38"/>
      <c r="R554" s="3" t="str">
        <f t="shared" si="267"/>
        <v>Tirunelveli</v>
      </c>
      <c r="S554" s="3" t="str">
        <f t="shared" si="268"/>
        <v>Radhapuram</v>
      </c>
      <c r="T554" s="3" t="str">
        <f t="shared" si="268"/>
        <v>Radhapuram</v>
      </c>
      <c r="U554" s="3" t="str">
        <f t="shared" si="253"/>
        <v>Tirunelveli_Radhapuram_Radhapuram</v>
      </c>
      <c r="V554" s="3">
        <f>IF(_xlfn.XLOOKUP($U554,GCA!$H$3:$H$593,GCA!E$3:E$593,"",0,1)="","",_xlfn.XLOOKUP($U554,GCA!$H$3:$H$593,GCA!E$3:E$593,"",0,1))</f>
        <v>1608.66</v>
      </c>
      <c r="W554" s="3">
        <f>IF(_xlfn.XLOOKUP($U554,GCA!$H$3:$H$593,GCA!F$3:F$593,"",0,1)="","",_xlfn.XLOOKUP($U554,GCA!$H$3:$H$593,GCA!F$3:F$593,"",0,1))</f>
        <v>1865.02</v>
      </c>
      <c r="X554" s="3">
        <f>IF(_xlfn.XLOOKUP($U554,GCA!$H$3:$H$593,GCA!G$3:G$593,"",0,1)="","",_xlfn.XLOOKUP($U554,GCA!$H$3:$H$593,GCA!G$3:G$593,"",0,1))</f>
        <v>1714.54</v>
      </c>
    </row>
    <row r="555" spans="1:24" ht="13.2">
      <c r="A555" s="49"/>
      <c r="B555" s="49"/>
      <c r="C555" s="48"/>
      <c r="D555" s="49"/>
      <c r="E555" s="50"/>
      <c r="F555" s="26" t="s">
        <v>939</v>
      </c>
      <c r="G555" s="26" t="s">
        <v>940</v>
      </c>
      <c r="H555" s="27">
        <f t="shared" si="263"/>
        <v>4903.3779999999997</v>
      </c>
      <c r="I555" s="27">
        <f t="shared" si="263"/>
        <v>5083.0559999999996</v>
      </c>
      <c r="J555" s="27">
        <f t="shared" si="263"/>
        <v>4898.5050000000001</v>
      </c>
      <c r="K555" s="27">
        <f t="shared" si="264"/>
        <v>4961.6463333333331</v>
      </c>
      <c r="L555" s="65"/>
      <c r="M555" s="67">
        <f t="shared" si="265"/>
        <v>0</v>
      </c>
      <c r="N555" s="65" t="str">
        <f t="shared" si="241"/>
        <v/>
      </c>
      <c r="O555" s="65" t="str">
        <f t="shared" si="266"/>
        <v/>
      </c>
      <c r="P555" s="65" t="str">
        <f t="shared" si="266"/>
        <v/>
      </c>
      <c r="Q555" s="38"/>
      <c r="R555" s="3" t="str">
        <f t="shared" si="267"/>
        <v>Tirunelveli</v>
      </c>
      <c r="S555" s="3" t="str">
        <f t="shared" si="268"/>
        <v>Radhapuram</v>
      </c>
      <c r="T555" s="3" t="str">
        <f t="shared" si="268"/>
        <v>Valliyoor</v>
      </c>
      <c r="U555" s="3" t="str">
        <f t="shared" si="253"/>
        <v>Tirunelveli_Radhapuram_Valliyoor</v>
      </c>
      <c r="V555" s="3">
        <f>IF(_xlfn.XLOOKUP($U555,GCA!$H$3:$H$593,GCA!E$3:E$593,"",0,1)="","",_xlfn.XLOOKUP($U555,GCA!$H$3:$H$593,GCA!E$3:E$593,"",0,1))</f>
        <v>4903.3779999999997</v>
      </c>
      <c r="W555" s="3">
        <f>IF(_xlfn.XLOOKUP($U555,GCA!$H$3:$H$593,GCA!F$3:F$593,"",0,1)="","",_xlfn.XLOOKUP($U555,GCA!$H$3:$H$593,GCA!F$3:F$593,"",0,1))</f>
        <v>5083.0559999999996</v>
      </c>
      <c r="X555" s="3">
        <f>IF(_xlfn.XLOOKUP($U555,GCA!$H$3:$H$593,GCA!G$3:G$593,"",0,1)="","",_xlfn.XLOOKUP($U555,GCA!$H$3:$H$593,GCA!G$3:G$593,"",0,1))</f>
        <v>4898.5050000000001</v>
      </c>
    </row>
    <row r="556" spans="1:24" ht="13.2">
      <c r="A556" s="49"/>
      <c r="B556" s="49"/>
      <c r="C556" s="48"/>
      <c r="D556" s="49"/>
      <c r="E556" s="50"/>
      <c r="F556" s="26" t="s">
        <v>562</v>
      </c>
      <c r="G556" s="26" t="s">
        <v>935</v>
      </c>
      <c r="H556" s="27">
        <f t="shared" si="263"/>
        <v>4864.5219999999999</v>
      </c>
      <c r="I556" s="27">
        <f t="shared" si="263"/>
        <v>4186.3850000000002</v>
      </c>
      <c r="J556" s="27">
        <f t="shared" si="263"/>
        <v>3470.5030000000002</v>
      </c>
      <c r="K556" s="27">
        <f t="shared" si="264"/>
        <v>4173.8033333333333</v>
      </c>
      <c r="L556" s="65"/>
      <c r="M556" s="67">
        <f t="shared" si="265"/>
        <v>0</v>
      </c>
      <c r="N556" s="65" t="str">
        <f t="shared" si="241"/>
        <v/>
      </c>
      <c r="O556" s="65" t="str">
        <f t="shared" si="266"/>
        <v/>
      </c>
      <c r="P556" s="65" t="str">
        <f t="shared" si="266"/>
        <v/>
      </c>
      <c r="Q556" s="38"/>
      <c r="R556" s="3" t="str">
        <f t="shared" si="267"/>
        <v>Tirunelveli</v>
      </c>
      <c r="S556" s="3" t="str">
        <f t="shared" si="268"/>
        <v>Thirunelveli</v>
      </c>
      <c r="T556" s="3" t="str">
        <f t="shared" si="268"/>
        <v>Manur</v>
      </c>
      <c r="U556" s="3" t="str">
        <f t="shared" si="253"/>
        <v>Tirunelveli_Thirunelveli_Manur</v>
      </c>
      <c r="V556" s="3">
        <f>IF(_xlfn.XLOOKUP($U556,GCA!$H$3:$H$593,GCA!E$3:E$593,"",0,1)="","",_xlfn.XLOOKUP($U556,GCA!$H$3:$H$593,GCA!E$3:E$593,"",0,1))</f>
        <v>4864.5219999999999</v>
      </c>
      <c r="W556" s="3">
        <f>IF(_xlfn.XLOOKUP($U556,GCA!$H$3:$H$593,GCA!F$3:F$593,"",0,1)="","",_xlfn.XLOOKUP($U556,GCA!$H$3:$H$593,GCA!F$3:F$593,"",0,1))</f>
        <v>4186.3850000000002</v>
      </c>
      <c r="X556" s="3">
        <f>IF(_xlfn.XLOOKUP($U556,GCA!$H$3:$H$593,GCA!G$3:G$593,"",0,1)="","",_xlfn.XLOOKUP($U556,GCA!$H$3:$H$593,GCA!G$3:G$593,"",0,1))</f>
        <v>3470.5030000000002</v>
      </c>
    </row>
    <row r="557" spans="1:24" ht="13.2">
      <c r="A557" s="49"/>
      <c r="B557" s="49"/>
      <c r="C557" s="48"/>
      <c r="D557" s="49"/>
      <c r="E557" s="50"/>
      <c r="F557" s="26" t="s">
        <v>562</v>
      </c>
      <c r="G557" s="26" t="s">
        <v>938</v>
      </c>
      <c r="H557" s="27">
        <f t="shared" si="263"/>
        <v>1290.4949999999999</v>
      </c>
      <c r="I557" s="27">
        <f t="shared" si="263"/>
        <v>1286.5260000000001</v>
      </c>
      <c r="J557" s="27">
        <f t="shared" si="263"/>
        <v>1133.68</v>
      </c>
      <c r="K557" s="27">
        <f t="shared" si="264"/>
        <v>1236.9003333333333</v>
      </c>
      <c r="L557" s="65"/>
      <c r="M557" s="67">
        <f t="shared" si="265"/>
        <v>0</v>
      </c>
      <c r="N557" s="65" t="str">
        <f t="shared" ref="N557:N607" si="269">IF(M557&gt;=2, ROUND(M557,0), IF(M557&gt;1.1,2,""))</f>
        <v/>
      </c>
      <c r="O557" s="65" t="str">
        <f t="shared" si="266"/>
        <v/>
      </c>
      <c r="P557" s="65" t="str">
        <f t="shared" si="266"/>
        <v/>
      </c>
      <c r="Q557" s="38"/>
      <c r="R557" s="3" t="str">
        <f t="shared" si="267"/>
        <v>Tirunelveli</v>
      </c>
      <c r="S557" s="3" t="str">
        <f t="shared" si="268"/>
        <v>Thirunelveli</v>
      </c>
      <c r="T557" s="3" t="str">
        <f t="shared" si="268"/>
        <v>Palayamkottai</v>
      </c>
      <c r="U557" s="3" t="str">
        <f t="shared" si="253"/>
        <v>Tirunelveli_Thirunelveli_Palayamkottai</v>
      </c>
      <c r="V557" s="3">
        <f>IF(_xlfn.XLOOKUP($U557,GCA!$H$3:$H$593,GCA!E$3:E$593,"",0,1)="","",_xlfn.XLOOKUP($U557,GCA!$H$3:$H$593,GCA!E$3:E$593,"",0,1))</f>
        <v>1290.4949999999999</v>
      </c>
      <c r="W557" s="3">
        <f>IF(_xlfn.XLOOKUP($U557,GCA!$H$3:$H$593,GCA!F$3:F$593,"",0,1)="","",_xlfn.XLOOKUP($U557,GCA!$H$3:$H$593,GCA!F$3:F$593,"",0,1))</f>
        <v>1286.5260000000001</v>
      </c>
      <c r="X557" s="3">
        <f>IF(_xlfn.XLOOKUP($U557,GCA!$H$3:$H$593,GCA!G$3:G$593,"",0,1)="","",_xlfn.XLOOKUP($U557,GCA!$H$3:$H$593,GCA!G$3:G$593,"",0,1))</f>
        <v>1133.68</v>
      </c>
    </row>
    <row r="558" spans="1:24" ht="13.2">
      <c r="A558" s="49"/>
      <c r="B558" s="49"/>
      <c r="C558" s="48"/>
      <c r="D558" s="49"/>
      <c r="E558" s="50"/>
      <c r="F558" s="26" t="s">
        <v>562</v>
      </c>
      <c r="G558" s="26" t="s">
        <v>934</v>
      </c>
      <c r="H558" s="27">
        <f t="shared" si="263"/>
        <v>2279.42</v>
      </c>
      <c r="I558" s="27">
        <f t="shared" si="263"/>
        <v>1754.405</v>
      </c>
      <c r="J558" s="27">
        <f t="shared" si="263"/>
        <v>2175.2550000000001</v>
      </c>
      <c r="K558" s="27">
        <f t="shared" si="264"/>
        <v>2069.6933333333332</v>
      </c>
      <c r="L558" s="65"/>
      <c r="M558" s="67">
        <f t="shared" si="265"/>
        <v>0</v>
      </c>
      <c r="N558" s="65" t="str">
        <f t="shared" si="269"/>
        <v/>
      </c>
      <c r="O558" s="65" t="str">
        <f t="shared" si="266"/>
        <v/>
      </c>
      <c r="P558" s="65" t="str">
        <f t="shared" si="266"/>
        <v/>
      </c>
      <c r="Q558" s="38"/>
      <c r="R558" s="3" t="str">
        <f t="shared" si="267"/>
        <v>Tirunelveli</v>
      </c>
      <c r="S558" s="3" t="str">
        <f t="shared" si="268"/>
        <v>Thirunelveli</v>
      </c>
      <c r="T558" s="3" t="str">
        <f t="shared" si="268"/>
        <v>Pappakudi</v>
      </c>
      <c r="U558" s="3" t="str">
        <f t="shared" si="253"/>
        <v>Tirunelveli_Thirunelveli_Pappakudi</v>
      </c>
      <c r="V558" s="3">
        <f>IF(_xlfn.XLOOKUP($U558,GCA!$H$3:$H$593,GCA!E$3:E$593,"",0,1)="","",_xlfn.XLOOKUP($U558,GCA!$H$3:$H$593,GCA!E$3:E$593,"",0,1))</f>
        <v>2279.42</v>
      </c>
      <c r="W558" s="3">
        <f>IF(_xlfn.XLOOKUP($U558,GCA!$H$3:$H$593,GCA!F$3:F$593,"",0,1)="","",_xlfn.XLOOKUP($U558,GCA!$H$3:$H$593,GCA!F$3:F$593,"",0,1))</f>
        <v>1754.405</v>
      </c>
      <c r="X558" s="3">
        <f>IF(_xlfn.XLOOKUP($U558,GCA!$H$3:$H$593,GCA!G$3:G$593,"",0,1)="","",_xlfn.XLOOKUP($U558,GCA!$H$3:$H$593,GCA!G$3:G$593,"",0,1))</f>
        <v>2175.2550000000001</v>
      </c>
    </row>
    <row r="559" spans="1:24" ht="13.2">
      <c r="A559" s="49"/>
      <c r="B559" s="49"/>
      <c r="C559" s="48"/>
      <c r="D559" s="49"/>
      <c r="E559" s="50"/>
      <c r="F559" s="26" t="s">
        <v>941</v>
      </c>
      <c r="G559" s="26" t="s">
        <v>936</v>
      </c>
      <c r="H559" s="27">
        <f t="shared" si="263"/>
        <v>1462.7349999999999</v>
      </c>
      <c r="I559" s="27">
        <f t="shared" si="263"/>
        <v>1841.78</v>
      </c>
      <c r="J559" s="27">
        <f t="shared" si="263"/>
        <v>1779.655</v>
      </c>
      <c r="K559" s="27">
        <f t="shared" si="264"/>
        <v>1694.7233333333334</v>
      </c>
      <c r="L559" s="65"/>
      <c r="M559" s="67">
        <f t="shared" si="265"/>
        <v>0</v>
      </c>
      <c r="N559" s="65" t="str">
        <f t="shared" si="269"/>
        <v/>
      </c>
      <c r="O559" s="65" t="str">
        <f t="shared" si="266"/>
        <v/>
      </c>
      <c r="P559" s="65" t="str">
        <f t="shared" si="266"/>
        <v/>
      </c>
      <c r="Q559" s="38"/>
      <c r="R559" s="3" t="str">
        <f t="shared" si="267"/>
        <v>Tirunelveli</v>
      </c>
      <c r="S559" s="3" t="str">
        <f t="shared" si="268"/>
        <v>Tisayanvilai</v>
      </c>
      <c r="T559" s="3" t="str">
        <f t="shared" si="268"/>
        <v>Nanguneri</v>
      </c>
      <c r="U559" s="3" t="str">
        <f t="shared" si="253"/>
        <v>Tirunelveli_Tisayanvilai_Nanguneri</v>
      </c>
      <c r="V559" s="3">
        <f>IF(_xlfn.XLOOKUP($U559,GCA!$H$3:$H$593,GCA!E$3:E$593,"",0,1)="","",_xlfn.XLOOKUP($U559,GCA!$H$3:$H$593,GCA!E$3:E$593,"",0,1))</f>
        <v>1462.7349999999999</v>
      </c>
      <c r="W559" s="3">
        <f>IF(_xlfn.XLOOKUP($U559,GCA!$H$3:$H$593,GCA!F$3:F$593,"",0,1)="","",_xlfn.XLOOKUP($U559,GCA!$H$3:$H$593,GCA!F$3:F$593,"",0,1))</f>
        <v>1841.78</v>
      </c>
      <c r="X559" s="3">
        <f>IF(_xlfn.XLOOKUP($U559,GCA!$H$3:$H$593,GCA!G$3:G$593,"",0,1)="","",_xlfn.XLOOKUP($U559,GCA!$H$3:$H$593,GCA!G$3:G$593,"",0,1))</f>
        <v>1779.655</v>
      </c>
    </row>
    <row r="560" spans="1:24" ht="13.2">
      <c r="A560" s="49"/>
      <c r="B560" s="49"/>
      <c r="C560" s="48"/>
      <c r="D560" s="49"/>
      <c r="E560" s="50"/>
      <c r="F560" s="26" t="s">
        <v>941</v>
      </c>
      <c r="G560" s="26" t="s">
        <v>939</v>
      </c>
      <c r="H560" s="27">
        <f t="shared" si="263"/>
        <v>3549.085</v>
      </c>
      <c r="I560" s="27">
        <f t="shared" si="263"/>
        <v>3670.9549999999999</v>
      </c>
      <c r="J560" s="27">
        <f t="shared" si="263"/>
        <v>3348.4650000000001</v>
      </c>
      <c r="K560" s="27">
        <f t="shared" si="264"/>
        <v>3522.8350000000005</v>
      </c>
      <c r="L560" s="65"/>
      <c r="M560" s="67">
        <f t="shared" si="265"/>
        <v>0</v>
      </c>
      <c r="N560" s="65" t="str">
        <f t="shared" si="269"/>
        <v/>
      </c>
      <c r="O560" s="65" t="str">
        <f t="shared" si="266"/>
        <v/>
      </c>
      <c r="P560" s="65" t="str">
        <f t="shared" si="266"/>
        <v/>
      </c>
      <c r="Q560" s="38"/>
      <c r="R560" s="3" t="str">
        <f t="shared" si="267"/>
        <v>Tirunelveli</v>
      </c>
      <c r="S560" s="3" t="str">
        <f t="shared" si="268"/>
        <v>Tisayanvilai</v>
      </c>
      <c r="T560" s="3" t="str">
        <f t="shared" si="268"/>
        <v>Radhapuram</v>
      </c>
      <c r="U560" s="3" t="str">
        <f t="shared" si="253"/>
        <v>Tirunelveli_Tisayanvilai_Radhapuram</v>
      </c>
      <c r="V560" s="3">
        <f>IF(_xlfn.XLOOKUP($U560,GCA!$H$3:$H$593,GCA!E$3:E$593,"",0,1)="","",_xlfn.XLOOKUP($U560,GCA!$H$3:$H$593,GCA!E$3:E$593,"",0,1))</f>
        <v>3549.085</v>
      </c>
      <c r="W560" s="3">
        <f>IF(_xlfn.XLOOKUP($U560,GCA!$H$3:$H$593,GCA!F$3:F$593,"",0,1)="","",_xlfn.XLOOKUP($U560,GCA!$H$3:$H$593,GCA!F$3:F$593,"",0,1))</f>
        <v>3670.9549999999999</v>
      </c>
      <c r="X560" s="3">
        <f>IF(_xlfn.XLOOKUP($U560,GCA!$H$3:$H$593,GCA!G$3:G$593,"",0,1)="","",_xlfn.XLOOKUP($U560,GCA!$H$3:$H$593,GCA!G$3:G$593,"",0,1))</f>
        <v>3348.4650000000001</v>
      </c>
    </row>
    <row r="561" spans="1:24" ht="13.2">
      <c r="A561" s="49"/>
      <c r="B561" s="49"/>
      <c r="C561" s="48"/>
      <c r="D561" s="49"/>
      <c r="E561" s="50"/>
      <c r="F561" s="26" t="s">
        <v>941</v>
      </c>
      <c r="G561" s="26" t="s">
        <v>940</v>
      </c>
      <c r="H561" s="27">
        <f t="shared" si="263"/>
        <v>525.66</v>
      </c>
      <c r="I561" s="27">
        <f t="shared" si="263"/>
        <v>515.26499999999999</v>
      </c>
      <c r="J561" s="27">
        <f t="shared" si="263"/>
        <v>572.96500000000003</v>
      </c>
      <c r="K561" s="27">
        <f t="shared" si="264"/>
        <v>537.96333333333325</v>
      </c>
      <c r="L561" s="65"/>
      <c r="M561" s="67">
        <f t="shared" si="265"/>
        <v>0</v>
      </c>
      <c r="N561" s="65" t="str">
        <f t="shared" si="269"/>
        <v/>
      </c>
      <c r="O561" s="65" t="str">
        <f t="shared" ref="O561:P561" si="270">N561</f>
        <v/>
      </c>
      <c r="P561" s="65" t="str">
        <f t="shared" si="270"/>
        <v/>
      </c>
      <c r="Q561" s="38"/>
      <c r="R561" s="3" t="str">
        <f t="shared" si="267"/>
        <v>Tirunelveli</v>
      </c>
      <c r="S561" s="3" t="str">
        <f t="shared" si="268"/>
        <v>Tisayanvilai</v>
      </c>
      <c r="T561" s="3" t="str">
        <f t="shared" si="268"/>
        <v>Valliyoor</v>
      </c>
      <c r="U561" s="3" t="str">
        <f t="shared" si="253"/>
        <v>Tirunelveli_Tisayanvilai_Valliyoor</v>
      </c>
      <c r="V561" s="3">
        <f>IF(_xlfn.XLOOKUP($U561,GCA!$H$3:$H$593,GCA!E$3:E$593,"",0,1)="","",_xlfn.XLOOKUP($U561,GCA!$H$3:$H$593,GCA!E$3:E$593,"",0,1))</f>
        <v>525.66</v>
      </c>
      <c r="W561" s="3">
        <f>IF(_xlfn.XLOOKUP($U561,GCA!$H$3:$H$593,GCA!F$3:F$593,"",0,1)="","",_xlfn.XLOOKUP($U561,GCA!$H$3:$H$593,GCA!F$3:F$593,"",0,1))</f>
        <v>515.26499999999999</v>
      </c>
      <c r="X561" s="3">
        <f>IF(_xlfn.XLOOKUP($U561,GCA!$H$3:$H$593,GCA!G$3:G$593,"",0,1)="","",_xlfn.XLOOKUP($U561,GCA!$H$3:$H$593,GCA!G$3:G$593,"",0,1))</f>
        <v>572.96500000000003</v>
      </c>
    </row>
    <row r="562" spans="1:24" ht="13.2">
      <c r="A562" s="49"/>
      <c r="B562" s="49"/>
      <c r="C562" s="48"/>
      <c r="D562" s="49"/>
      <c r="E562" s="47" t="s">
        <v>564</v>
      </c>
      <c r="F562" s="47"/>
      <c r="G562" s="47"/>
      <c r="H562" s="29">
        <f t="shared" ref="H562:P562" si="271">SUM(H545:H561)</f>
        <v>79167.599000000002</v>
      </c>
      <c r="I562" s="29">
        <f t="shared" si="271"/>
        <v>73875.015999999989</v>
      </c>
      <c r="J562" s="29">
        <f t="shared" si="271"/>
        <v>69925.487999999998</v>
      </c>
      <c r="K562" s="29">
        <f t="shared" si="271"/>
        <v>74322.701000000001</v>
      </c>
      <c r="L562" s="29">
        <f t="shared" si="271"/>
        <v>74322.701000000001</v>
      </c>
      <c r="M562" s="30">
        <f t="shared" si="271"/>
        <v>3.1196236903474137</v>
      </c>
      <c r="N562" s="31">
        <f t="shared" si="271"/>
        <v>3</v>
      </c>
      <c r="O562" s="31">
        <f t="shared" si="271"/>
        <v>3</v>
      </c>
      <c r="P562" s="31">
        <f t="shared" si="271"/>
        <v>3</v>
      </c>
      <c r="Q562" s="38"/>
      <c r="R562" s="3" t="str">
        <f t="shared" si="267"/>
        <v>Tirunelveli</v>
      </c>
      <c r="S562" s="3">
        <f t="shared" si="268"/>
        <v>0</v>
      </c>
      <c r="T562" s="3">
        <f t="shared" si="268"/>
        <v>0</v>
      </c>
      <c r="U562" s="3" t="str">
        <f t="shared" si="253"/>
        <v>Tirunelveli_0_0</v>
      </c>
      <c r="V562" s="3" t="str">
        <f>IF(_xlfn.XLOOKUP($U562,GCA!$H$3:$H$593,GCA!E$3:E$593,"",0,1)="","",_xlfn.XLOOKUP($U562,GCA!$H$3:$H$593,GCA!E$3:E$593,"",0,1))</f>
        <v/>
      </c>
      <c r="W562" s="3" t="str">
        <f>IF(_xlfn.XLOOKUP($U562,GCA!$H$3:$H$593,GCA!F$3:F$593,"",0,1)="","",_xlfn.XLOOKUP($U562,GCA!$H$3:$H$593,GCA!F$3:F$593,"",0,1))</f>
        <v/>
      </c>
      <c r="X562" s="3" t="str">
        <f>IF(_xlfn.XLOOKUP($U562,GCA!$H$3:$H$593,GCA!G$3:G$593,"",0,1)="","",_xlfn.XLOOKUP($U562,GCA!$H$3:$H$593,GCA!G$3:G$593,"",0,1))</f>
        <v/>
      </c>
    </row>
    <row r="563" spans="1:24" ht="13.2">
      <c r="A563" s="49"/>
      <c r="B563" s="49"/>
      <c r="C563" s="48" t="s">
        <v>458</v>
      </c>
      <c r="D563" s="49" t="s">
        <v>558</v>
      </c>
      <c r="E563" s="50">
        <v>1</v>
      </c>
      <c r="F563" s="26" t="s">
        <v>942</v>
      </c>
      <c r="G563" s="26" t="s">
        <v>942</v>
      </c>
      <c r="H563" s="27">
        <f t="shared" ref="H563:J573" si="272">V563</f>
        <v>8646.6509999999998</v>
      </c>
      <c r="I563" s="27">
        <f t="shared" si="272"/>
        <v>8637.7099999999991</v>
      </c>
      <c r="J563" s="27">
        <f t="shared" si="272"/>
        <v>8635.6090000000004</v>
      </c>
      <c r="K563" s="27">
        <f t="shared" ref="K563:K573" si="273">IFERROR(AVERAGE(H563:J563),"")</f>
        <v>8639.99</v>
      </c>
      <c r="L563" s="65">
        <f>SUM(K563:K568)</f>
        <v>42801.267333333322</v>
      </c>
      <c r="M563" s="67">
        <f t="shared" ref="M563:M573" si="274">L563*$L$643/$L$642</f>
        <v>1.7965419145620058</v>
      </c>
      <c r="N563" s="65">
        <f t="shared" si="269"/>
        <v>2</v>
      </c>
      <c r="O563" s="65">
        <f t="shared" ref="O563:P573" si="275">N563</f>
        <v>2</v>
      </c>
      <c r="P563" s="65">
        <f t="shared" si="275"/>
        <v>2</v>
      </c>
      <c r="Q563" s="38"/>
      <c r="R563" s="3" t="str">
        <f t="shared" ref="R563:R622" si="276">C563</f>
        <v>Kanyakumari</v>
      </c>
      <c r="S563" s="3" t="str">
        <f t="shared" si="268"/>
        <v>Agastheeswaram</v>
      </c>
      <c r="T563" s="3" t="str">
        <f t="shared" si="268"/>
        <v>Agastheeswaram</v>
      </c>
      <c r="U563" s="3" t="str">
        <f t="shared" si="253"/>
        <v>Kanyakumari_Agastheeswaram_Agastheeswaram</v>
      </c>
      <c r="V563" s="3">
        <f>IF(_xlfn.XLOOKUP($U563,GCA!$H$3:$H$593,GCA!E$3:E$593,"",0,1)="","",_xlfn.XLOOKUP($U563,GCA!$H$3:$H$593,GCA!E$3:E$593,"",0,1))</f>
        <v>8646.6509999999998</v>
      </c>
      <c r="W563" s="3">
        <f>IF(_xlfn.XLOOKUP($U563,GCA!$H$3:$H$593,GCA!F$3:F$593,"",0,1)="","",_xlfn.XLOOKUP($U563,GCA!$H$3:$H$593,GCA!F$3:F$593,"",0,1))</f>
        <v>8637.7099999999991</v>
      </c>
      <c r="X563" s="3">
        <f>IF(_xlfn.XLOOKUP($U563,GCA!$H$3:$H$593,GCA!G$3:G$593,"",0,1)="","",_xlfn.XLOOKUP($U563,GCA!$H$3:$H$593,GCA!G$3:G$593,"",0,1))</f>
        <v>8635.6090000000004</v>
      </c>
    </row>
    <row r="564" spans="1:24" ht="13.2">
      <c r="A564" s="49"/>
      <c r="B564" s="49"/>
      <c r="C564" s="48"/>
      <c r="D564" s="49"/>
      <c r="E564" s="50"/>
      <c r="F564" s="26" t="s">
        <v>942</v>
      </c>
      <c r="G564" s="26" t="s">
        <v>943</v>
      </c>
      <c r="H564" s="27">
        <f t="shared" si="272"/>
        <v>8494.4419999999991</v>
      </c>
      <c r="I564" s="27">
        <f t="shared" si="272"/>
        <v>8490.4619999999995</v>
      </c>
      <c r="J564" s="27">
        <f t="shared" si="272"/>
        <v>8493.1810000000005</v>
      </c>
      <c r="K564" s="27">
        <f t="shared" si="273"/>
        <v>8492.6949999999997</v>
      </c>
      <c r="L564" s="65"/>
      <c r="M564" s="67">
        <f t="shared" si="274"/>
        <v>0</v>
      </c>
      <c r="N564" s="65" t="str">
        <f t="shared" si="269"/>
        <v/>
      </c>
      <c r="O564" s="65" t="str">
        <f t="shared" si="275"/>
        <v/>
      </c>
      <c r="P564" s="65" t="str">
        <f t="shared" si="275"/>
        <v/>
      </c>
      <c r="Q564" s="38"/>
      <c r="R564" s="3" t="str">
        <f t="shared" ref="R564:R574" si="277">R563</f>
        <v>Kanyakumari</v>
      </c>
      <c r="S564" s="3" t="str">
        <f t="shared" si="268"/>
        <v>Agastheeswaram</v>
      </c>
      <c r="T564" s="3" t="str">
        <f t="shared" si="268"/>
        <v>Rajakkamangalam</v>
      </c>
      <c r="U564" s="3" t="str">
        <f t="shared" si="253"/>
        <v>Kanyakumari_Agastheeswaram_Rajakkamangalam</v>
      </c>
      <c r="V564" s="3">
        <f>IF(_xlfn.XLOOKUP($U564,GCA!$H$3:$H$593,GCA!E$3:E$593,"",0,1)="","",_xlfn.XLOOKUP($U564,GCA!$H$3:$H$593,GCA!E$3:E$593,"",0,1))</f>
        <v>8494.4419999999991</v>
      </c>
      <c r="W564" s="3">
        <f>IF(_xlfn.XLOOKUP($U564,GCA!$H$3:$H$593,GCA!F$3:F$593,"",0,1)="","",_xlfn.XLOOKUP($U564,GCA!$H$3:$H$593,GCA!F$3:F$593,"",0,1))</f>
        <v>8490.4619999999995</v>
      </c>
      <c r="X564" s="3">
        <f>IF(_xlfn.XLOOKUP($U564,GCA!$H$3:$H$593,GCA!G$3:G$593,"",0,1)="","",_xlfn.XLOOKUP($U564,GCA!$H$3:$H$593,GCA!G$3:G$593,"",0,1))</f>
        <v>8493.1810000000005</v>
      </c>
    </row>
    <row r="565" spans="1:24" ht="13.2">
      <c r="A565" s="49"/>
      <c r="B565" s="49"/>
      <c r="C565" s="48"/>
      <c r="D565" s="49"/>
      <c r="E565" s="50"/>
      <c r="F565" s="26" t="s">
        <v>944</v>
      </c>
      <c r="G565" s="26" t="s">
        <v>945</v>
      </c>
      <c r="H565" s="27">
        <f t="shared" si="272"/>
        <v>7590.8739999999998</v>
      </c>
      <c r="I565" s="27">
        <f t="shared" si="272"/>
        <v>7427.1629999999996</v>
      </c>
      <c r="J565" s="27">
        <f t="shared" si="272"/>
        <v>7461.1589999999997</v>
      </c>
      <c r="K565" s="27">
        <f t="shared" si="273"/>
        <v>7493.065333333333</v>
      </c>
      <c r="L565" s="65"/>
      <c r="M565" s="67">
        <f t="shared" si="274"/>
        <v>0</v>
      </c>
      <c r="N565" s="65" t="str">
        <f t="shared" si="269"/>
        <v/>
      </c>
      <c r="O565" s="65" t="str">
        <f t="shared" si="275"/>
        <v/>
      </c>
      <c r="P565" s="65" t="str">
        <f t="shared" si="275"/>
        <v/>
      </c>
      <c r="Q565" s="38"/>
      <c r="R565" s="3" t="str">
        <f t="shared" si="277"/>
        <v>Kanyakumari</v>
      </c>
      <c r="S565" s="3" t="str">
        <f t="shared" si="268"/>
        <v>Kalkulam</v>
      </c>
      <c r="T565" s="3" t="str">
        <f t="shared" si="268"/>
        <v>Kurunthencode</v>
      </c>
      <c r="U565" s="3" t="str">
        <f t="shared" si="253"/>
        <v>Kanyakumari_Kalkulam_Kurunthencode</v>
      </c>
      <c r="V565" s="3">
        <f>IF(_xlfn.XLOOKUP($U565,GCA!$H$3:$H$593,GCA!E$3:E$593,"",0,1)="","",_xlfn.XLOOKUP($U565,GCA!$H$3:$H$593,GCA!E$3:E$593,"",0,1))</f>
        <v>7590.8739999999998</v>
      </c>
      <c r="W565" s="3">
        <f>IF(_xlfn.XLOOKUP($U565,GCA!$H$3:$H$593,GCA!F$3:F$593,"",0,1)="","",_xlfn.XLOOKUP($U565,GCA!$H$3:$H$593,GCA!F$3:F$593,"",0,1))</f>
        <v>7427.1629999999996</v>
      </c>
      <c r="X565" s="3">
        <f>IF(_xlfn.XLOOKUP($U565,GCA!$H$3:$H$593,GCA!G$3:G$593,"",0,1)="","",_xlfn.XLOOKUP($U565,GCA!$H$3:$H$593,GCA!G$3:G$593,"",0,1))</f>
        <v>7461.1589999999997</v>
      </c>
    </row>
    <row r="566" spans="1:24" ht="13.2">
      <c r="A566" s="49"/>
      <c r="B566" s="49"/>
      <c r="C566" s="48"/>
      <c r="D566" s="49"/>
      <c r="E566" s="50"/>
      <c r="F566" s="26" t="s">
        <v>944</v>
      </c>
      <c r="G566" s="26" t="s">
        <v>946</v>
      </c>
      <c r="H566" s="27">
        <f t="shared" si="272"/>
        <v>9485.5669999999991</v>
      </c>
      <c r="I566" s="27">
        <f t="shared" si="272"/>
        <v>9280.2379999999994</v>
      </c>
      <c r="J566" s="27">
        <f t="shared" si="272"/>
        <v>9492.1350000000002</v>
      </c>
      <c r="K566" s="27">
        <f t="shared" si="273"/>
        <v>9419.3133333333335</v>
      </c>
      <c r="L566" s="65"/>
      <c r="M566" s="67">
        <f t="shared" si="274"/>
        <v>0</v>
      </c>
      <c r="N566" s="65" t="str">
        <f t="shared" si="269"/>
        <v/>
      </c>
      <c r="O566" s="65" t="str">
        <f t="shared" si="275"/>
        <v/>
      </c>
      <c r="P566" s="65" t="str">
        <f t="shared" si="275"/>
        <v/>
      </c>
      <c r="Q566" s="38"/>
      <c r="R566" s="3" t="str">
        <f t="shared" si="277"/>
        <v>Kanyakumari</v>
      </c>
      <c r="S566" s="3" t="str">
        <f t="shared" si="268"/>
        <v>Kalkulam</v>
      </c>
      <c r="T566" s="3" t="str">
        <f t="shared" si="268"/>
        <v>Thuckalay</v>
      </c>
      <c r="U566" s="3" t="str">
        <f t="shared" si="253"/>
        <v>Kanyakumari_Kalkulam_Thuckalay</v>
      </c>
      <c r="V566" s="3">
        <f>IF(_xlfn.XLOOKUP($U566,GCA!$H$3:$H$593,GCA!E$3:E$593,"",0,1)="","",_xlfn.XLOOKUP($U566,GCA!$H$3:$H$593,GCA!E$3:E$593,"",0,1))</f>
        <v>9485.5669999999991</v>
      </c>
      <c r="W566" s="3">
        <f>IF(_xlfn.XLOOKUP($U566,GCA!$H$3:$H$593,GCA!F$3:F$593,"",0,1)="","",_xlfn.XLOOKUP($U566,GCA!$H$3:$H$593,GCA!F$3:F$593,"",0,1))</f>
        <v>9280.2379999999994</v>
      </c>
      <c r="X566" s="3">
        <f>IF(_xlfn.XLOOKUP($U566,GCA!$H$3:$H$593,GCA!G$3:G$593,"",0,1)="","",_xlfn.XLOOKUP($U566,GCA!$H$3:$H$593,GCA!G$3:G$593,"",0,1))</f>
        <v>9492.1350000000002</v>
      </c>
    </row>
    <row r="567" spans="1:24" ht="13.2">
      <c r="A567" s="49"/>
      <c r="B567" s="49"/>
      <c r="C567" s="48"/>
      <c r="D567" s="49"/>
      <c r="E567" s="50"/>
      <c r="F567" s="26" t="s">
        <v>947</v>
      </c>
      <c r="G567" s="26" t="s">
        <v>947</v>
      </c>
      <c r="H567" s="27">
        <f t="shared" si="272"/>
        <v>4368.5590000000002</v>
      </c>
      <c r="I567" s="27">
        <f t="shared" si="272"/>
        <v>4335.4949999999999</v>
      </c>
      <c r="J567" s="27">
        <f t="shared" si="272"/>
        <v>4184.8209999999999</v>
      </c>
      <c r="K567" s="27">
        <f t="shared" si="273"/>
        <v>4296.291666666667</v>
      </c>
      <c r="L567" s="65"/>
      <c r="M567" s="67">
        <f t="shared" si="274"/>
        <v>0</v>
      </c>
      <c r="N567" s="65" t="str">
        <f t="shared" si="269"/>
        <v/>
      </c>
      <c r="O567" s="65" t="str">
        <f t="shared" si="275"/>
        <v/>
      </c>
      <c r="P567" s="65" t="str">
        <f t="shared" si="275"/>
        <v/>
      </c>
      <c r="Q567" s="38"/>
      <c r="R567" s="3" t="str">
        <f t="shared" si="277"/>
        <v>Kanyakumari</v>
      </c>
      <c r="S567" s="3" t="str">
        <f t="shared" si="268"/>
        <v>Killiyoor</v>
      </c>
      <c r="T567" s="3" t="str">
        <f t="shared" si="268"/>
        <v>Killiyoor</v>
      </c>
      <c r="U567" s="3" t="str">
        <f t="shared" si="253"/>
        <v>Kanyakumari_Killiyoor_Killiyoor</v>
      </c>
      <c r="V567" s="3">
        <f>IF(_xlfn.XLOOKUP($U567,GCA!$H$3:$H$593,GCA!E$3:E$593,"",0,1)="","",_xlfn.XLOOKUP($U567,GCA!$H$3:$H$593,GCA!E$3:E$593,"",0,1))</f>
        <v>4368.5590000000002</v>
      </c>
      <c r="W567" s="3">
        <f>IF(_xlfn.XLOOKUP($U567,GCA!$H$3:$H$593,GCA!F$3:F$593,"",0,1)="","",_xlfn.XLOOKUP($U567,GCA!$H$3:$H$593,GCA!F$3:F$593,"",0,1))</f>
        <v>4335.4949999999999</v>
      </c>
      <c r="X567" s="3">
        <f>IF(_xlfn.XLOOKUP($U567,GCA!$H$3:$H$593,GCA!G$3:G$593,"",0,1)="","",_xlfn.XLOOKUP($U567,GCA!$H$3:$H$593,GCA!G$3:G$593,"",0,1))</f>
        <v>4184.8209999999999</v>
      </c>
    </row>
    <row r="568" spans="1:24" ht="13.2">
      <c r="A568" s="49"/>
      <c r="B568" s="49"/>
      <c r="C568" s="48"/>
      <c r="D568" s="49"/>
      <c r="E568" s="50"/>
      <c r="F568" s="26" t="s">
        <v>947</v>
      </c>
      <c r="G568" s="26" t="s">
        <v>948</v>
      </c>
      <c r="H568" s="27">
        <f t="shared" si="272"/>
        <v>4536.8239999999996</v>
      </c>
      <c r="I568" s="27">
        <f t="shared" si="272"/>
        <v>4519.3909999999996</v>
      </c>
      <c r="J568" s="27">
        <f t="shared" si="272"/>
        <v>4323.5209999999997</v>
      </c>
      <c r="K568" s="27">
        <f t="shared" si="273"/>
        <v>4459.9120000000003</v>
      </c>
      <c r="L568" s="65"/>
      <c r="M568" s="67">
        <f t="shared" si="274"/>
        <v>0</v>
      </c>
      <c r="N568" s="65" t="str">
        <f t="shared" si="269"/>
        <v/>
      </c>
      <c r="O568" s="65" t="str">
        <f t="shared" si="275"/>
        <v/>
      </c>
      <c r="P568" s="65" t="str">
        <f t="shared" si="275"/>
        <v/>
      </c>
      <c r="Q568" s="38"/>
      <c r="R568" s="3" t="str">
        <f t="shared" si="277"/>
        <v>Kanyakumari</v>
      </c>
      <c r="S568" s="3" t="str">
        <f t="shared" si="268"/>
        <v>Killiyoor</v>
      </c>
      <c r="T568" s="3" t="str">
        <f t="shared" si="268"/>
        <v>Munchirai</v>
      </c>
      <c r="U568" s="3" t="str">
        <f t="shared" si="253"/>
        <v>Kanyakumari_Killiyoor_Munchirai</v>
      </c>
      <c r="V568" s="3">
        <f>IF(_xlfn.XLOOKUP($U568,GCA!$H$3:$H$593,GCA!E$3:E$593,"",0,1)="","",_xlfn.XLOOKUP($U568,GCA!$H$3:$H$593,GCA!E$3:E$593,"",0,1))</f>
        <v>4536.8239999999996</v>
      </c>
      <c r="W568" s="3">
        <f>IF(_xlfn.XLOOKUP($U568,GCA!$H$3:$H$593,GCA!F$3:F$593,"",0,1)="","",_xlfn.XLOOKUP($U568,GCA!$H$3:$H$593,GCA!F$3:F$593,"",0,1))</f>
        <v>4519.3909999999996</v>
      </c>
      <c r="X568" s="3">
        <f>IF(_xlfn.XLOOKUP($U568,GCA!$H$3:$H$593,GCA!G$3:G$593,"",0,1)="","",_xlfn.XLOOKUP($U568,GCA!$H$3:$H$593,GCA!G$3:G$593,"",0,1))</f>
        <v>4323.5209999999997</v>
      </c>
    </row>
    <row r="569" spans="1:24" ht="13.2">
      <c r="A569" s="49"/>
      <c r="B569" s="49"/>
      <c r="C569" s="48"/>
      <c r="D569" s="49"/>
      <c r="E569" s="50">
        <v>2</v>
      </c>
      <c r="F569" s="26" t="s">
        <v>949</v>
      </c>
      <c r="G569" s="26" t="s">
        <v>949</v>
      </c>
      <c r="H569" s="27">
        <f t="shared" si="272"/>
        <v>12100.808999999999</v>
      </c>
      <c r="I569" s="27">
        <f t="shared" si="272"/>
        <v>12069.516</v>
      </c>
      <c r="J569" s="27">
        <f t="shared" si="272"/>
        <v>12145.991</v>
      </c>
      <c r="K569" s="27">
        <f t="shared" si="273"/>
        <v>12105.438666666667</v>
      </c>
      <c r="L569" s="65">
        <f>SUM(K569:K573)</f>
        <v>35982.951999999997</v>
      </c>
      <c r="M569" s="67">
        <f t="shared" si="274"/>
        <v>1.5103497046996965</v>
      </c>
      <c r="N569" s="65">
        <f t="shared" si="269"/>
        <v>2</v>
      </c>
      <c r="O569" s="65">
        <f t="shared" si="275"/>
        <v>2</v>
      </c>
      <c r="P569" s="65">
        <f t="shared" si="275"/>
        <v>2</v>
      </c>
      <c r="Q569" s="38"/>
      <c r="R569" s="3" t="str">
        <f t="shared" si="277"/>
        <v>Kanyakumari</v>
      </c>
      <c r="S569" s="3" t="str">
        <f t="shared" si="268"/>
        <v>Thiruvattar</v>
      </c>
      <c r="T569" s="3" t="str">
        <f t="shared" si="268"/>
        <v>Thiruvattar</v>
      </c>
      <c r="U569" s="3" t="str">
        <f t="shared" si="253"/>
        <v>Kanyakumari_Thiruvattar_Thiruvattar</v>
      </c>
      <c r="V569" s="3">
        <f>IF(_xlfn.XLOOKUP($U569,GCA!$H$3:$H$593,GCA!E$3:E$593,"",0,1)="","",_xlfn.XLOOKUP($U569,GCA!$H$3:$H$593,GCA!E$3:E$593,"",0,1))</f>
        <v>12100.808999999999</v>
      </c>
      <c r="W569" s="3">
        <f>IF(_xlfn.XLOOKUP($U569,GCA!$H$3:$H$593,GCA!F$3:F$593,"",0,1)="","",_xlfn.XLOOKUP($U569,GCA!$H$3:$H$593,GCA!F$3:F$593,"",0,1))</f>
        <v>12069.516</v>
      </c>
      <c r="X569" s="3">
        <f>IF(_xlfn.XLOOKUP($U569,GCA!$H$3:$H$593,GCA!G$3:G$593,"",0,1)="","",_xlfn.XLOOKUP($U569,GCA!$H$3:$H$593,GCA!G$3:G$593,"",0,1))</f>
        <v>12145.991</v>
      </c>
    </row>
    <row r="570" spans="1:24" ht="13.2">
      <c r="A570" s="49"/>
      <c r="B570" s="49"/>
      <c r="C570" s="48"/>
      <c r="D570" s="49"/>
      <c r="E570" s="50"/>
      <c r="F570" s="26" t="s">
        <v>950</v>
      </c>
      <c r="G570" s="26" t="s">
        <v>950</v>
      </c>
      <c r="H570" s="27">
        <f t="shared" si="272"/>
        <v>9677.4</v>
      </c>
      <c r="I570" s="27">
        <f t="shared" si="272"/>
        <v>9856.24</v>
      </c>
      <c r="J570" s="27">
        <f t="shared" si="272"/>
        <v>9796.3289999999997</v>
      </c>
      <c r="K570" s="27">
        <f t="shared" si="273"/>
        <v>9776.6563333333324</v>
      </c>
      <c r="L570" s="65"/>
      <c r="M570" s="67">
        <f t="shared" si="274"/>
        <v>0</v>
      </c>
      <c r="N570" s="65" t="str">
        <f t="shared" si="269"/>
        <v/>
      </c>
      <c r="O570" s="65" t="str">
        <f t="shared" si="275"/>
        <v/>
      </c>
      <c r="P570" s="65" t="str">
        <f t="shared" si="275"/>
        <v/>
      </c>
      <c r="Q570" s="38"/>
      <c r="R570" s="3" t="str">
        <f t="shared" si="277"/>
        <v>Kanyakumari</v>
      </c>
      <c r="S570" s="3" t="str">
        <f t="shared" si="268"/>
        <v>Thovalai</v>
      </c>
      <c r="T570" s="3" t="str">
        <f t="shared" si="268"/>
        <v>Thovalai</v>
      </c>
      <c r="U570" s="3" t="str">
        <f t="shared" si="253"/>
        <v>Kanyakumari_Thovalai_Thovalai</v>
      </c>
      <c r="V570" s="3">
        <f>IF(_xlfn.XLOOKUP($U570,GCA!$H$3:$H$593,GCA!E$3:E$593,"",0,1)="","",_xlfn.XLOOKUP($U570,GCA!$H$3:$H$593,GCA!E$3:E$593,"",0,1))</f>
        <v>9677.4</v>
      </c>
      <c r="W570" s="3">
        <f>IF(_xlfn.XLOOKUP($U570,GCA!$H$3:$H$593,GCA!F$3:F$593,"",0,1)="","",_xlfn.XLOOKUP($U570,GCA!$H$3:$H$593,GCA!F$3:F$593,"",0,1))</f>
        <v>9856.24</v>
      </c>
      <c r="X570" s="3">
        <f>IF(_xlfn.XLOOKUP($U570,GCA!$H$3:$H$593,GCA!G$3:G$593,"",0,1)="","",_xlfn.XLOOKUP($U570,GCA!$H$3:$H$593,GCA!G$3:G$593,"",0,1))</f>
        <v>9796.3289999999997</v>
      </c>
    </row>
    <row r="571" spans="1:24" ht="13.2">
      <c r="A571" s="49"/>
      <c r="B571" s="49"/>
      <c r="C571" s="48"/>
      <c r="D571" s="49"/>
      <c r="E571" s="50"/>
      <c r="F571" s="26" t="s">
        <v>951</v>
      </c>
      <c r="G571" s="26" t="s">
        <v>947</v>
      </c>
      <c r="H571" s="27">
        <f t="shared" si="272"/>
        <v>1782.4259999999999</v>
      </c>
      <c r="I571" s="27">
        <f t="shared" si="272"/>
        <v>1764.405</v>
      </c>
      <c r="J571" s="27">
        <f t="shared" si="272"/>
        <v>1730.4849999999999</v>
      </c>
      <c r="K571" s="27">
        <f t="shared" si="273"/>
        <v>1759.1053333333332</v>
      </c>
      <c r="L571" s="65"/>
      <c r="M571" s="67">
        <f t="shared" si="274"/>
        <v>0</v>
      </c>
      <c r="N571" s="65" t="str">
        <f t="shared" si="269"/>
        <v/>
      </c>
      <c r="O571" s="65" t="str">
        <f t="shared" si="275"/>
        <v/>
      </c>
      <c r="P571" s="65" t="str">
        <f t="shared" si="275"/>
        <v/>
      </c>
      <c r="Q571" s="38"/>
      <c r="R571" s="3" t="str">
        <f t="shared" si="277"/>
        <v>Kanyakumari</v>
      </c>
      <c r="S571" s="3" t="str">
        <f t="shared" si="268"/>
        <v>Vilavancode</v>
      </c>
      <c r="T571" s="3" t="str">
        <f t="shared" si="268"/>
        <v>Killiyoor</v>
      </c>
      <c r="U571" s="3" t="str">
        <f t="shared" si="253"/>
        <v>Kanyakumari_Vilavancode_Killiyoor</v>
      </c>
      <c r="V571" s="3">
        <f>IF(_xlfn.XLOOKUP($U571,GCA!$H$3:$H$593,GCA!E$3:E$593,"",0,1)="","",_xlfn.XLOOKUP($U571,GCA!$H$3:$H$593,GCA!E$3:E$593,"",0,1))</f>
        <v>1782.4259999999999</v>
      </c>
      <c r="W571" s="3">
        <f>IF(_xlfn.XLOOKUP($U571,GCA!$H$3:$H$593,GCA!F$3:F$593,"",0,1)="","",_xlfn.XLOOKUP($U571,GCA!$H$3:$H$593,GCA!F$3:F$593,"",0,1))</f>
        <v>1764.405</v>
      </c>
      <c r="X571" s="3">
        <f>IF(_xlfn.XLOOKUP($U571,GCA!$H$3:$H$593,GCA!G$3:G$593,"",0,1)="","",_xlfn.XLOOKUP($U571,GCA!$H$3:$H$593,GCA!G$3:G$593,"",0,1))</f>
        <v>1730.4849999999999</v>
      </c>
    </row>
    <row r="572" spans="1:24" ht="13.2">
      <c r="A572" s="49"/>
      <c r="B572" s="49"/>
      <c r="C572" s="48"/>
      <c r="D572" s="49"/>
      <c r="E572" s="50"/>
      <c r="F572" s="26" t="s">
        <v>951</v>
      </c>
      <c r="G572" s="26" t="s">
        <v>952</v>
      </c>
      <c r="H572" s="27">
        <f t="shared" si="272"/>
        <v>11771.23</v>
      </c>
      <c r="I572" s="27">
        <f t="shared" si="272"/>
        <v>11685.125</v>
      </c>
      <c r="J572" s="27">
        <f t="shared" si="272"/>
        <v>11623.025</v>
      </c>
      <c r="K572" s="27">
        <f t="shared" si="273"/>
        <v>11693.126666666665</v>
      </c>
      <c r="L572" s="65"/>
      <c r="M572" s="67">
        <f t="shared" si="274"/>
        <v>0</v>
      </c>
      <c r="N572" s="65" t="str">
        <f t="shared" si="269"/>
        <v/>
      </c>
      <c r="O572" s="65" t="str">
        <f t="shared" si="275"/>
        <v/>
      </c>
      <c r="P572" s="65" t="str">
        <f t="shared" si="275"/>
        <v/>
      </c>
      <c r="Q572" s="38"/>
      <c r="R572" s="3" t="str">
        <f t="shared" si="277"/>
        <v>Kanyakumari</v>
      </c>
      <c r="S572" s="3" t="str">
        <f t="shared" si="268"/>
        <v>Vilavancode</v>
      </c>
      <c r="T572" s="3" t="str">
        <f t="shared" si="268"/>
        <v>Melpuram</v>
      </c>
      <c r="U572" s="3" t="str">
        <f t="shared" si="253"/>
        <v>Kanyakumari_Vilavancode_Melpuram</v>
      </c>
      <c r="V572" s="3">
        <f>IF(_xlfn.XLOOKUP($U572,GCA!$H$3:$H$593,GCA!E$3:E$593,"",0,1)="","",_xlfn.XLOOKUP($U572,GCA!$H$3:$H$593,GCA!E$3:E$593,"",0,1))</f>
        <v>11771.23</v>
      </c>
      <c r="W572" s="3">
        <f>IF(_xlfn.XLOOKUP($U572,GCA!$H$3:$H$593,GCA!F$3:F$593,"",0,1)="","",_xlfn.XLOOKUP($U572,GCA!$H$3:$H$593,GCA!F$3:F$593,"",0,1))</f>
        <v>11685.125</v>
      </c>
      <c r="X572" s="3">
        <f>IF(_xlfn.XLOOKUP($U572,GCA!$H$3:$H$593,GCA!G$3:G$593,"",0,1)="","",_xlfn.XLOOKUP($U572,GCA!$H$3:$H$593,GCA!G$3:G$593,"",0,1))</f>
        <v>11623.025</v>
      </c>
    </row>
    <row r="573" spans="1:24" ht="13.2">
      <c r="A573" s="49"/>
      <c r="B573" s="49"/>
      <c r="C573" s="48"/>
      <c r="D573" s="49"/>
      <c r="E573" s="50"/>
      <c r="F573" s="26" t="s">
        <v>951</v>
      </c>
      <c r="G573" s="26" t="s">
        <v>948</v>
      </c>
      <c r="H573" s="27">
        <f t="shared" si="272"/>
        <v>664.79600000000005</v>
      </c>
      <c r="I573" s="27">
        <f t="shared" si="272"/>
        <v>657.84299999999996</v>
      </c>
      <c r="J573" s="27">
        <f t="shared" si="272"/>
        <v>623.23599999999999</v>
      </c>
      <c r="K573" s="27">
        <f t="shared" si="273"/>
        <v>648.625</v>
      </c>
      <c r="L573" s="65"/>
      <c r="M573" s="67">
        <f t="shared" si="274"/>
        <v>0</v>
      </c>
      <c r="N573" s="65" t="str">
        <f t="shared" si="269"/>
        <v/>
      </c>
      <c r="O573" s="65" t="str">
        <f t="shared" si="275"/>
        <v/>
      </c>
      <c r="P573" s="65" t="str">
        <f t="shared" si="275"/>
        <v/>
      </c>
      <c r="Q573" s="38"/>
      <c r="R573" s="3" t="str">
        <f t="shared" si="277"/>
        <v>Kanyakumari</v>
      </c>
      <c r="S573" s="3" t="str">
        <f t="shared" si="268"/>
        <v>Vilavancode</v>
      </c>
      <c r="T573" s="3" t="str">
        <f t="shared" si="268"/>
        <v>Munchirai</v>
      </c>
      <c r="U573" s="3" t="str">
        <f t="shared" si="253"/>
        <v>Kanyakumari_Vilavancode_Munchirai</v>
      </c>
      <c r="V573" s="3">
        <f>IF(_xlfn.XLOOKUP($U573,GCA!$H$3:$H$593,GCA!E$3:E$593,"",0,1)="","",_xlfn.XLOOKUP($U573,GCA!$H$3:$H$593,GCA!E$3:E$593,"",0,1))</f>
        <v>664.79600000000005</v>
      </c>
      <c r="W573" s="3">
        <f>IF(_xlfn.XLOOKUP($U573,GCA!$H$3:$H$593,GCA!F$3:F$593,"",0,1)="","",_xlfn.XLOOKUP($U573,GCA!$H$3:$H$593,GCA!F$3:F$593,"",0,1))</f>
        <v>657.84299999999996</v>
      </c>
      <c r="X573" s="3">
        <f>IF(_xlfn.XLOOKUP($U573,GCA!$H$3:$H$593,GCA!G$3:G$593,"",0,1)="","",_xlfn.XLOOKUP($U573,GCA!$H$3:$H$593,GCA!G$3:G$593,"",0,1))</f>
        <v>623.23599999999999</v>
      </c>
    </row>
    <row r="574" spans="1:24" ht="13.2">
      <c r="A574" s="49"/>
      <c r="B574" s="49"/>
      <c r="C574" s="48"/>
      <c r="D574" s="49"/>
      <c r="E574" s="47" t="s">
        <v>564</v>
      </c>
      <c r="F574" s="47"/>
      <c r="G574" s="47"/>
      <c r="H574" s="29">
        <f t="shared" ref="H574:P574" si="278">SUM(H563:H573)</f>
        <v>79119.578000000009</v>
      </c>
      <c r="I574" s="29">
        <f t="shared" si="278"/>
        <v>78723.588000000003</v>
      </c>
      <c r="J574" s="29">
        <f t="shared" si="278"/>
        <v>78509.491999999998</v>
      </c>
      <c r="K574" s="29">
        <f t="shared" si="278"/>
        <v>78784.219333333327</v>
      </c>
      <c r="L574" s="29">
        <f t="shared" si="278"/>
        <v>78784.219333333313</v>
      </c>
      <c r="M574" s="30">
        <f t="shared" si="278"/>
        <v>3.3068916192617026</v>
      </c>
      <c r="N574" s="31">
        <f t="shared" si="278"/>
        <v>4</v>
      </c>
      <c r="O574" s="31">
        <f t="shared" si="278"/>
        <v>4</v>
      </c>
      <c r="P574" s="31">
        <f t="shared" si="278"/>
        <v>4</v>
      </c>
      <c r="Q574" s="38"/>
      <c r="R574" s="3" t="str">
        <f t="shared" si="277"/>
        <v>Kanyakumari</v>
      </c>
      <c r="S574" s="3">
        <f t="shared" si="268"/>
        <v>0</v>
      </c>
      <c r="T574" s="3">
        <f t="shared" si="268"/>
        <v>0</v>
      </c>
      <c r="U574" s="3" t="str">
        <f t="shared" si="253"/>
        <v>Kanyakumari_0_0</v>
      </c>
      <c r="V574" s="3" t="str">
        <f>IF(_xlfn.XLOOKUP($U574,GCA!$H$3:$H$593,GCA!E$3:E$593,"",0,1)="","",_xlfn.XLOOKUP($U574,GCA!$H$3:$H$593,GCA!E$3:E$593,"",0,1))</f>
        <v/>
      </c>
      <c r="W574" s="3" t="str">
        <f>IF(_xlfn.XLOOKUP($U574,GCA!$H$3:$H$593,GCA!F$3:F$593,"",0,1)="","",_xlfn.XLOOKUP($U574,GCA!$H$3:$H$593,GCA!F$3:F$593,"",0,1))</f>
        <v/>
      </c>
      <c r="X574" s="3" t="str">
        <f>IF(_xlfn.XLOOKUP($U574,GCA!$H$3:$H$593,GCA!G$3:G$593,"",0,1)="","",_xlfn.XLOOKUP($U574,GCA!$H$3:$H$593,GCA!G$3:G$593,"",0,1))</f>
        <v/>
      </c>
    </row>
    <row r="575" spans="1:24" ht="13.2">
      <c r="A575" s="49"/>
      <c r="B575" s="49"/>
      <c r="C575" s="48" t="s">
        <v>246</v>
      </c>
      <c r="D575" s="49" t="s">
        <v>559</v>
      </c>
      <c r="E575" s="50">
        <v>1</v>
      </c>
      <c r="F575" s="26" t="s">
        <v>953</v>
      </c>
      <c r="G575" s="26" t="s">
        <v>953</v>
      </c>
      <c r="H575" s="27">
        <f t="shared" ref="H575:J596" si="279">V575</f>
        <v>6205.55</v>
      </c>
      <c r="I575" s="27">
        <f t="shared" si="279"/>
        <v>5965.01</v>
      </c>
      <c r="J575" s="27">
        <f t="shared" si="279"/>
        <v>4063.875</v>
      </c>
      <c r="K575" s="27">
        <f t="shared" ref="K575:K596" si="280">IFERROR(AVERAGE(H575:J575),"")</f>
        <v>5411.4783333333335</v>
      </c>
      <c r="L575" s="65">
        <f>SUM(K575:K584)</f>
        <v>50708.351000000002</v>
      </c>
      <c r="M575" s="67">
        <f t="shared" ref="M575:M596" si="281">L575*$L$643/$L$642</f>
        <v>2.1284341251006467</v>
      </c>
      <c r="N575" s="65">
        <f t="shared" si="269"/>
        <v>2</v>
      </c>
      <c r="O575" s="65">
        <f t="shared" ref="O575:P590" si="282">N575</f>
        <v>2</v>
      </c>
      <c r="P575" s="65">
        <f t="shared" si="282"/>
        <v>2</v>
      </c>
      <c r="Q575" s="38"/>
      <c r="R575" s="3" t="str">
        <f t="shared" si="276"/>
        <v>Tenkasi</v>
      </c>
      <c r="S575" s="3" t="str">
        <f t="shared" si="268"/>
        <v>Alankulam</v>
      </c>
      <c r="T575" s="3" t="str">
        <f t="shared" si="268"/>
        <v>Alankulam</v>
      </c>
      <c r="U575" s="3" t="str">
        <f t="shared" si="253"/>
        <v>Tenkasi_Alankulam_Alankulam</v>
      </c>
      <c r="V575" s="3">
        <f>IF(_xlfn.XLOOKUP($U575,GCA!$H$3:$H$593,GCA!E$3:E$593,"",0,1)="","",_xlfn.XLOOKUP($U575,GCA!$H$3:$H$593,GCA!E$3:E$593,"",0,1))</f>
        <v>6205.55</v>
      </c>
      <c r="W575" s="3">
        <f>IF(_xlfn.XLOOKUP($U575,GCA!$H$3:$H$593,GCA!F$3:F$593,"",0,1)="","",_xlfn.XLOOKUP($U575,GCA!$H$3:$H$593,GCA!F$3:F$593,"",0,1))</f>
        <v>5965.01</v>
      </c>
      <c r="X575" s="3">
        <f>IF(_xlfn.XLOOKUP($U575,GCA!$H$3:$H$593,GCA!G$3:G$593,"",0,1)="","",_xlfn.XLOOKUP($U575,GCA!$H$3:$H$593,GCA!G$3:G$593,"",0,1))</f>
        <v>4063.875</v>
      </c>
    </row>
    <row r="576" spans="1:24" ht="13.2">
      <c r="A576" s="49"/>
      <c r="B576" s="49"/>
      <c r="C576" s="48"/>
      <c r="D576" s="49"/>
      <c r="E576" s="50"/>
      <c r="F576" s="26" t="s">
        <v>953</v>
      </c>
      <c r="G576" s="26" t="s">
        <v>954</v>
      </c>
      <c r="H576" s="27">
        <f t="shared" si="279"/>
        <v>1786.6</v>
      </c>
      <c r="I576" s="27">
        <f t="shared" si="279"/>
        <v>1555.155</v>
      </c>
      <c r="J576" s="27">
        <f t="shared" si="279"/>
        <v>1182.1199999999999</v>
      </c>
      <c r="K576" s="27">
        <f t="shared" si="280"/>
        <v>1507.9583333333333</v>
      </c>
      <c r="L576" s="65"/>
      <c r="M576" s="67">
        <f t="shared" si="281"/>
        <v>0</v>
      </c>
      <c r="N576" s="65" t="str">
        <f t="shared" si="269"/>
        <v/>
      </c>
      <c r="O576" s="65" t="str">
        <f t="shared" si="282"/>
        <v/>
      </c>
      <c r="P576" s="65" t="str">
        <f t="shared" si="282"/>
        <v/>
      </c>
      <c r="Q576" s="38"/>
      <c r="R576" s="3" t="str">
        <f t="shared" ref="R576:R597" si="283">R575</f>
        <v>Tenkasi</v>
      </c>
      <c r="S576" s="3" t="str">
        <f t="shared" si="268"/>
        <v>Alankulam</v>
      </c>
      <c r="T576" s="3" t="str">
        <f t="shared" si="268"/>
        <v>Kadayam</v>
      </c>
      <c r="U576" s="3" t="str">
        <f t="shared" si="253"/>
        <v>Tenkasi_Alankulam_Kadayam</v>
      </c>
      <c r="V576" s="3">
        <f>IF(_xlfn.XLOOKUP($U576,GCA!$H$3:$H$593,GCA!E$3:E$593,"",0,1)="","",_xlfn.XLOOKUP($U576,GCA!$H$3:$H$593,GCA!E$3:E$593,"",0,1))</f>
        <v>1786.6</v>
      </c>
      <c r="W576" s="3">
        <f>IF(_xlfn.XLOOKUP($U576,GCA!$H$3:$H$593,GCA!F$3:F$593,"",0,1)="","",_xlfn.XLOOKUP($U576,GCA!$H$3:$H$593,GCA!F$3:F$593,"",0,1))</f>
        <v>1555.155</v>
      </c>
      <c r="X576" s="3">
        <f>IF(_xlfn.XLOOKUP($U576,GCA!$H$3:$H$593,GCA!G$3:G$593,"",0,1)="","",_xlfn.XLOOKUP($U576,GCA!$H$3:$H$593,GCA!G$3:G$593,"",0,1))</f>
        <v>1182.1199999999999</v>
      </c>
    </row>
    <row r="577" spans="1:24" ht="13.2">
      <c r="A577" s="49"/>
      <c r="B577" s="49"/>
      <c r="C577" s="48"/>
      <c r="D577" s="49"/>
      <c r="E577" s="50"/>
      <c r="F577" s="26" t="s">
        <v>953</v>
      </c>
      <c r="G577" s="26" t="s">
        <v>955</v>
      </c>
      <c r="H577" s="27">
        <f t="shared" si="279"/>
        <v>3260.23</v>
      </c>
      <c r="I577" s="27">
        <f t="shared" si="279"/>
        <v>3095.75</v>
      </c>
      <c r="J577" s="27">
        <f t="shared" si="279"/>
        <v>2307.41</v>
      </c>
      <c r="K577" s="27">
        <f t="shared" si="280"/>
        <v>2887.7966666666666</v>
      </c>
      <c r="L577" s="65"/>
      <c r="M577" s="67">
        <f t="shared" si="281"/>
        <v>0</v>
      </c>
      <c r="N577" s="65" t="str">
        <f t="shared" si="269"/>
        <v/>
      </c>
      <c r="O577" s="65" t="str">
        <f t="shared" si="282"/>
        <v/>
      </c>
      <c r="P577" s="65" t="str">
        <f t="shared" si="282"/>
        <v/>
      </c>
      <c r="Q577" s="38"/>
      <c r="R577" s="3" t="str">
        <f t="shared" si="283"/>
        <v>Tenkasi</v>
      </c>
      <c r="S577" s="3" t="str">
        <f t="shared" si="268"/>
        <v>Alankulam</v>
      </c>
      <c r="T577" s="3" t="str">
        <f t="shared" si="268"/>
        <v>Keelpavoor</v>
      </c>
      <c r="U577" s="3" t="str">
        <f t="shared" si="253"/>
        <v>Tenkasi_Alankulam_Keelpavoor</v>
      </c>
      <c r="V577" s="3">
        <f>IF(_xlfn.XLOOKUP($U577,GCA!$H$3:$H$593,GCA!E$3:E$593,"",0,1)="","",_xlfn.XLOOKUP($U577,GCA!$H$3:$H$593,GCA!E$3:E$593,"",0,1))</f>
        <v>3260.23</v>
      </c>
      <c r="W577" s="3">
        <f>IF(_xlfn.XLOOKUP($U577,GCA!$H$3:$H$593,GCA!F$3:F$593,"",0,1)="","",_xlfn.XLOOKUP($U577,GCA!$H$3:$H$593,GCA!F$3:F$593,"",0,1))</f>
        <v>3095.75</v>
      </c>
      <c r="X577" s="3">
        <f>IF(_xlfn.XLOOKUP($U577,GCA!$H$3:$H$593,GCA!G$3:G$593,"",0,1)="","",_xlfn.XLOOKUP($U577,GCA!$H$3:$H$593,GCA!G$3:G$593,"",0,1))</f>
        <v>2307.41</v>
      </c>
    </row>
    <row r="578" spans="1:24" ht="13.2">
      <c r="A578" s="49"/>
      <c r="B578" s="49"/>
      <c r="C578" s="48"/>
      <c r="D578" s="49"/>
      <c r="E578" s="50"/>
      <c r="F578" s="26" t="s">
        <v>956</v>
      </c>
      <c r="G578" s="26" t="s">
        <v>956</v>
      </c>
      <c r="H578" s="27">
        <f t="shared" si="279"/>
        <v>9162.2150000000001</v>
      </c>
      <c r="I578" s="27">
        <f t="shared" si="279"/>
        <v>9050.3700000000008</v>
      </c>
      <c r="J578" s="27">
        <f t="shared" si="279"/>
        <v>8620.9950000000008</v>
      </c>
      <c r="K578" s="27">
        <f t="shared" si="280"/>
        <v>8944.5266666666666</v>
      </c>
      <c r="L578" s="65"/>
      <c r="M578" s="67">
        <f t="shared" si="281"/>
        <v>0</v>
      </c>
      <c r="N578" s="65" t="str">
        <f t="shared" si="269"/>
        <v/>
      </c>
      <c r="O578" s="65" t="str">
        <f t="shared" si="282"/>
        <v/>
      </c>
      <c r="P578" s="65" t="str">
        <f t="shared" si="282"/>
        <v/>
      </c>
      <c r="Q578" s="38"/>
      <c r="R578" s="3" t="str">
        <f t="shared" si="283"/>
        <v>Tenkasi</v>
      </c>
      <c r="S578" s="3" t="str">
        <f t="shared" si="268"/>
        <v>Kadayanallur</v>
      </c>
      <c r="T578" s="3" t="str">
        <f t="shared" si="268"/>
        <v>Kadayanallur</v>
      </c>
      <c r="U578" s="3" t="str">
        <f t="shared" si="253"/>
        <v>Tenkasi_Kadayanallur_Kadayanallur</v>
      </c>
      <c r="V578" s="3">
        <f>IF(_xlfn.XLOOKUP($U578,GCA!$H$3:$H$593,GCA!E$3:E$593,"",0,1)="","",_xlfn.XLOOKUP($U578,GCA!$H$3:$H$593,GCA!E$3:E$593,"",0,1))</f>
        <v>9162.2150000000001</v>
      </c>
      <c r="W578" s="3">
        <f>IF(_xlfn.XLOOKUP($U578,GCA!$H$3:$H$593,GCA!F$3:F$593,"",0,1)="","",_xlfn.XLOOKUP($U578,GCA!$H$3:$H$593,GCA!F$3:F$593,"",0,1))</f>
        <v>9050.3700000000008</v>
      </c>
      <c r="X578" s="3">
        <f>IF(_xlfn.XLOOKUP($U578,GCA!$H$3:$H$593,GCA!G$3:G$593,"",0,1)="","",_xlfn.XLOOKUP($U578,GCA!$H$3:$H$593,GCA!G$3:G$593,"",0,1))</f>
        <v>8620.9950000000008</v>
      </c>
    </row>
    <row r="579" spans="1:24" ht="13.2">
      <c r="A579" s="49"/>
      <c r="B579" s="49"/>
      <c r="C579" s="48"/>
      <c r="D579" s="49"/>
      <c r="E579" s="50"/>
      <c r="F579" s="26" t="s">
        <v>956</v>
      </c>
      <c r="G579" s="26" t="s">
        <v>957</v>
      </c>
      <c r="H579" s="27">
        <f t="shared" si="279"/>
        <v>1460.42</v>
      </c>
      <c r="I579" s="27">
        <f t="shared" si="279"/>
        <v>922.92</v>
      </c>
      <c r="J579" s="27">
        <f t="shared" si="279"/>
        <v>874.245</v>
      </c>
      <c r="K579" s="27">
        <f t="shared" si="280"/>
        <v>1085.8616666666667</v>
      </c>
      <c r="L579" s="65"/>
      <c r="M579" s="67">
        <f t="shared" si="281"/>
        <v>0</v>
      </c>
      <c r="N579" s="65" t="str">
        <f t="shared" si="269"/>
        <v/>
      </c>
      <c r="O579" s="65" t="str">
        <f t="shared" si="282"/>
        <v/>
      </c>
      <c r="P579" s="65" t="str">
        <f t="shared" si="282"/>
        <v/>
      </c>
      <c r="Q579" s="38"/>
      <c r="R579" s="3" t="str">
        <f t="shared" si="283"/>
        <v>Tenkasi</v>
      </c>
      <c r="S579" s="3" t="str">
        <f t="shared" si="268"/>
        <v>Kadayanallur</v>
      </c>
      <c r="T579" s="3" t="str">
        <f t="shared" si="268"/>
        <v>Melaneelithanallur</v>
      </c>
      <c r="U579" s="3" t="str">
        <f t="shared" si="253"/>
        <v>Tenkasi_Kadayanallur_Melaneelithanallur</v>
      </c>
      <c r="V579" s="3">
        <f>IF(_xlfn.XLOOKUP($U579,GCA!$H$3:$H$593,GCA!E$3:E$593,"",0,1)="","",_xlfn.XLOOKUP($U579,GCA!$H$3:$H$593,GCA!E$3:E$593,"",0,1))</f>
        <v>1460.42</v>
      </c>
      <c r="W579" s="3">
        <f>IF(_xlfn.XLOOKUP($U579,GCA!$H$3:$H$593,GCA!F$3:F$593,"",0,1)="","",_xlfn.XLOOKUP($U579,GCA!$H$3:$H$593,GCA!F$3:F$593,"",0,1))</f>
        <v>922.92</v>
      </c>
      <c r="X579" s="3">
        <f>IF(_xlfn.XLOOKUP($U579,GCA!$H$3:$H$593,GCA!G$3:G$593,"",0,1)="","",_xlfn.XLOOKUP($U579,GCA!$H$3:$H$593,GCA!G$3:G$593,"",0,1))</f>
        <v>874.245</v>
      </c>
    </row>
    <row r="580" spans="1:24" ht="13.2">
      <c r="A580" s="49"/>
      <c r="B580" s="49"/>
      <c r="C580" s="48"/>
      <c r="D580" s="49"/>
      <c r="E580" s="50"/>
      <c r="F580" s="26" t="s">
        <v>956</v>
      </c>
      <c r="G580" s="26" t="s">
        <v>958</v>
      </c>
      <c r="H580" s="27">
        <f t="shared" si="279"/>
        <v>1069.22</v>
      </c>
      <c r="I580" s="27">
        <f t="shared" si="279"/>
        <v>1042.075</v>
      </c>
      <c r="J580" s="27">
        <f t="shared" si="279"/>
        <v>1373.5250000000001</v>
      </c>
      <c r="K580" s="27">
        <f t="shared" si="280"/>
        <v>1161.6066666666668</v>
      </c>
      <c r="L580" s="65"/>
      <c r="M580" s="67">
        <f t="shared" si="281"/>
        <v>0</v>
      </c>
      <c r="N580" s="65" t="str">
        <f t="shared" si="269"/>
        <v/>
      </c>
      <c r="O580" s="65" t="str">
        <f t="shared" si="282"/>
        <v/>
      </c>
      <c r="P580" s="65" t="str">
        <f t="shared" si="282"/>
        <v/>
      </c>
      <c r="Q580" s="38"/>
      <c r="R580" s="3" t="str">
        <f t="shared" si="283"/>
        <v>Tenkasi</v>
      </c>
      <c r="S580" s="3" t="str">
        <f t="shared" si="268"/>
        <v>Kadayanallur</v>
      </c>
      <c r="T580" s="3" t="str">
        <f t="shared" si="268"/>
        <v>Sankarankoil</v>
      </c>
      <c r="U580" s="3" t="str">
        <f t="shared" ref="U580:U638" si="284">CONCATENATE(R580,"_",S580,"_",T580)</f>
        <v>Tenkasi_Kadayanallur_Sankarankoil</v>
      </c>
      <c r="V580" s="3">
        <f>IF(_xlfn.XLOOKUP($U580,GCA!$H$3:$H$593,GCA!E$3:E$593,"",0,1)="","",_xlfn.XLOOKUP($U580,GCA!$H$3:$H$593,GCA!E$3:E$593,"",0,1))</f>
        <v>1069.22</v>
      </c>
      <c r="W580" s="3">
        <f>IF(_xlfn.XLOOKUP($U580,GCA!$H$3:$H$593,GCA!F$3:F$593,"",0,1)="","",_xlfn.XLOOKUP($U580,GCA!$H$3:$H$593,GCA!F$3:F$593,"",0,1))</f>
        <v>1042.075</v>
      </c>
      <c r="X580" s="3">
        <f>IF(_xlfn.XLOOKUP($U580,GCA!$H$3:$H$593,GCA!G$3:G$593,"",0,1)="","",_xlfn.XLOOKUP($U580,GCA!$H$3:$H$593,GCA!G$3:G$593,"",0,1))</f>
        <v>1373.5250000000001</v>
      </c>
    </row>
    <row r="581" spans="1:24" ht="13.2">
      <c r="A581" s="49"/>
      <c r="B581" s="49"/>
      <c r="C581" s="48"/>
      <c r="D581" s="49"/>
      <c r="E581" s="50"/>
      <c r="F581" s="26" t="s">
        <v>956</v>
      </c>
      <c r="G581" s="26" t="s">
        <v>959</v>
      </c>
      <c r="H581" s="27">
        <f t="shared" si="279"/>
        <v>2708.46</v>
      </c>
      <c r="I581" s="27">
        <f t="shared" si="279"/>
        <v>2364.9499999999998</v>
      </c>
      <c r="J581" s="27">
        <f t="shared" si="279"/>
        <v>2284.7150000000001</v>
      </c>
      <c r="K581" s="27">
        <f t="shared" si="280"/>
        <v>2452.7083333333335</v>
      </c>
      <c r="L581" s="65"/>
      <c r="M581" s="67">
        <f t="shared" si="281"/>
        <v>0</v>
      </c>
      <c r="N581" s="65" t="str">
        <f t="shared" si="269"/>
        <v/>
      </c>
      <c r="O581" s="65" t="str">
        <f t="shared" si="282"/>
        <v/>
      </c>
      <c r="P581" s="65" t="str">
        <f t="shared" si="282"/>
        <v/>
      </c>
      <c r="Q581" s="38"/>
      <c r="R581" s="3" t="str">
        <f t="shared" si="283"/>
        <v>Tenkasi</v>
      </c>
      <c r="S581" s="3" t="str">
        <f t="shared" si="268"/>
        <v>Kadayanallur</v>
      </c>
      <c r="T581" s="3" t="str">
        <f t="shared" si="268"/>
        <v>Shenkottai</v>
      </c>
      <c r="U581" s="3" t="str">
        <f t="shared" si="284"/>
        <v>Tenkasi_Kadayanallur_Shenkottai</v>
      </c>
      <c r="V581" s="3">
        <f>IF(_xlfn.XLOOKUP($U581,GCA!$H$3:$H$593,GCA!E$3:E$593,"",0,1)="","",_xlfn.XLOOKUP($U581,GCA!$H$3:$H$593,GCA!E$3:E$593,"",0,1))</f>
        <v>2708.46</v>
      </c>
      <c r="W581" s="3">
        <f>IF(_xlfn.XLOOKUP($U581,GCA!$H$3:$H$593,GCA!F$3:F$593,"",0,1)="","",_xlfn.XLOOKUP($U581,GCA!$H$3:$H$593,GCA!F$3:F$593,"",0,1))</f>
        <v>2364.9499999999998</v>
      </c>
      <c r="X581" s="3">
        <f>IF(_xlfn.XLOOKUP($U581,GCA!$H$3:$H$593,GCA!G$3:G$593,"",0,1)="","",_xlfn.XLOOKUP($U581,GCA!$H$3:$H$593,GCA!G$3:G$593,"",0,1))</f>
        <v>2284.7150000000001</v>
      </c>
    </row>
    <row r="582" spans="1:24" ht="13.2">
      <c r="A582" s="49"/>
      <c r="B582" s="49"/>
      <c r="C582" s="48"/>
      <c r="D582" s="49"/>
      <c r="E582" s="50"/>
      <c r="F582" s="26" t="s">
        <v>956</v>
      </c>
      <c r="G582" s="26" t="s">
        <v>960</v>
      </c>
      <c r="H582" s="27">
        <f t="shared" si="279"/>
        <v>6268.67</v>
      </c>
      <c r="I582" s="27">
        <f t="shared" si="279"/>
        <v>5984.34</v>
      </c>
      <c r="J582" s="27">
        <f t="shared" si="279"/>
        <v>5885.4949999999999</v>
      </c>
      <c r="K582" s="27">
        <f t="shared" si="280"/>
        <v>6046.168333333334</v>
      </c>
      <c r="L582" s="65"/>
      <c r="M582" s="67">
        <f t="shared" si="281"/>
        <v>0</v>
      </c>
      <c r="N582" s="65" t="str">
        <f t="shared" si="269"/>
        <v/>
      </c>
      <c r="O582" s="65" t="str">
        <f t="shared" si="282"/>
        <v/>
      </c>
      <c r="P582" s="65" t="str">
        <f t="shared" si="282"/>
        <v/>
      </c>
      <c r="Q582" s="38"/>
      <c r="R582" s="3" t="str">
        <f t="shared" si="283"/>
        <v>Tenkasi</v>
      </c>
      <c r="S582" s="3" t="str">
        <f t="shared" si="268"/>
        <v>Kadayanallur</v>
      </c>
      <c r="T582" s="3" t="str">
        <f t="shared" si="268"/>
        <v>Vasudevanallur</v>
      </c>
      <c r="U582" s="3" t="str">
        <f t="shared" si="284"/>
        <v>Tenkasi_Kadayanallur_Vasudevanallur</v>
      </c>
      <c r="V582" s="3">
        <f>IF(_xlfn.XLOOKUP($U582,GCA!$H$3:$H$593,GCA!E$3:E$593,"",0,1)="","",_xlfn.XLOOKUP($U582,GCA!$H$3:$H$593,GCA!E$3:E$593,"",0,1))</f>
        <v>6268.67</v>
      </c>
      <c r="W582" s="3">
        <f>IF(_xlfn.XLOOKUP($U582,GCA!$H$3:$H$593,GCA!F$3:F$593,"",0,1)="","",_xlfn.XLOOKUP($U582,GCA!$H$3:$H$593,GCA!F$3:F$593,"",0,1))</f>
        <v>5984.34</v>
      </c>
      <c r="X582" s="3">
        <f>IF(_xlfn.XLOOKUP($U582,GCA!$H$3:$H$593,GCA!G$3:G$593,"",0,1)="","",_xlfn.XLOOKUP($U582,GCA!$H$3:$H$593,GCA!G$3:G$593,"",0,1))</f>
        <v>5885.4949999999999</v>
      </c>
    </row>
    <row r="583" spans="1:24" ht="13.2">
      <c r="A583" s="49"/>
      <c r="B583" s="49"/>
      <c r="C583" s="48"/>
      <c r="D583" s="49"/>
      <c r="E583" s="50"/>
      <c r="F583" s="26" t="s">
        <v>961</v>
      </c>
      <c r="G583" s="26" t="s">
        <v>957</v>
      </c>
      <c r="H583" s="27">
        <f t="shared" si="279"/>
        <v>9578.1049999999996</v>
      </c>
      <c r="I583" s="27">
        <f t="shared" si="279"/>
        <v>8516.89</v>
      </c>
      <c r="J583" s="27">
        <f t="shared" si="279"/>
        <v>8749.52</v>
      </c>
      <c r="K583" s="27">
        <f t="shared" si="280"/>
        <v>8948.1716666666671</v>
      </c>
      <c r="L583" s="65"/>
      <c r="M583" s="67">
        <f t="shared" si="281"/>
        <v>0</v>
      </c>
      <c r="N583" s="65" t="str">
        <f t="shared" si="269"/>
        <v/>
      </c>
      <c r="O583" s="65" t="str">
        <f t="shared" si="282"/>
        <v/>
      </c>
      <c r="P583" s="65" t="str">
        <f t="shared" si="282"/>
        <v/>
      </c>
      <c r="Q583" s="38"/>
      <c r="R583" s="3" t="str">
        <f t="shared" si="283"/>
        <v>Tenkasi</v>
      </c>
      <c r="S583" s="3" t="str">
        <f t="shared" si="268"/>
        <v>Sankarankovil</v>
      </c>
      <c r="T583" s="3" t="str">
        <f t="shared" si="268"/>
        <v>Melaneelithanallur</v>
      </c>
      <c r="U583" s="3" t="str">
        <f t="shared" si="284"/>
        <v>Tenkasi_Sankarankovil_Melaneelithanallur</v>
      </c>
      <c r="V583" s="3">
        <f>IF(_xlfn.XLOOKUP($U583,GCA!$H$3:$H$593,GCA!E$3:E$593,"",0,1)="","",_xlfn.XLOOKUP($U583,GCA!$H$3:$H$593,GCA!E$3:E$593,"",0,1))</f>
        <v>9578.1049999999996</v>
      </c>
      <c r="W583" s="3">
        <f>IF(_xlfn.XLOOKUP($U583,GCA!$H$3:$H$593,GCA!F$3:F$593,"",0,1)="","",_xlfn.XLOOKUP($U583,GCA!$H$3:$H$593,GCA!F$3:F$593,"",0,1))</f>
        <v>8516.89</v>
      </c>
      <c r="X583" s="3">
        <f>IF(_xlfn.XLOOKUP($U583,GCA!$H$3:$H$593,GCA!G$3:G$593,"",0,1)="","",_xlfn.XLOOKUP($U583,GCA!$H$3:$H$593,GCA!G$3:G$593,"",0,1))</f>
        <v>8749.52</v>
      </c>
    </row>
    <row r="584" spans="1:24" ht="13.2">
      <c r="A584" s="49"/>
      <c r="B584" s="49"/>
      <c r="C584" s="48"/>
      <c r="D584" s="49"/>
      <c r="E584" s="50"/>
      <c r="F584" s="26" t="s">
        <v>961</v>
      </c>
      <c r="G584" s="26" t="s">
        <v>958</v>
      </c>
      <c r="H584" s="27">
        <f t="shared" si="279"/>
        <v>13126.58</v>
      </c>
      <c r="I584" s="27">
        <f t="shared" si="279"/>
        <v>12239.254999999999</v>
      </c>
      <c r="J584" s="27">
        <f t="shared" si="279"/>
        <v>11420.388000000001</v>
      </c>
      <c r="K584" s="27">
        <f t="shared" si="280"/>
        <v>12262.074333333332</v>
      </c>
      <c r="L584" s="65"/>
      <c r="M584" s="67">
        <f t="shared" si="281"/>
        <v>0</v>
      </c>
      <c r="N584" s="65" t="str">
        <f t="shared" si="269"/>
        <v/>
      </c>
      <c r="O584" s="65" t="str">
        <f t="shared" si="282"/>
        <v/>
      </c>
      <c r="P584" s="65" t="str">
        <f t="shared" si="282"/>
        <v/>
      </c>
      <c r="Q584" s="38"/>
      <c r="R584" s="3" t="str">
        <f t="shared" si="283"/>
        <v>Tenkasi</v>
      </c>
      <c r="S584" s="3" t="str">
        <f t="shared" si="268"/>
        <v>Sankarankovil</v>
      </c>
      <c r="T584" s="3" t="str">
        <f t="shared" si="268"/>
        <v>Sankarankoil</v>
      </c>
      <c r="U584" s="3" t="str">
        <f t="shared" si="284"/>
        <v>Tenkasi_Sankarankovil_Sankarankoil</v>
      </c>
      <c r="V584" s="3">
        <f>IF(_xlfn.XLOOKUP($U584,GCA!$H$3:$H$593,GCA!E$3:E$593,"",0,1)="","",_xlfn.XLOOKUP($U584,GCA!$H$3:$H$593,GCA!E$3:E$593,"",0,1))</f>
        <v>13126.58</v>
      </c>
      <c r="W584" s="3">
        <f>IF(_xlfn.XLOOKUP($U584,GCA!$H$3:$H$593,GCA!F$3:F$593,"",0,1)="","",_xlfn.XLOOKUP($U584,GCA!$H$3:$H$593,GCA!F$3:F$593,"",0,1))</f>
        <v>12239.254999999999</v>
      </c>
      <c r="X584" s="3">
        <f>IF(_xlfn.XLOOKUP($U584,GCA!$H$3:$H$593,GCA!G$3:G$593,"",0,1)="","",_xlfn.XLOOKUP($U584,GCA!$H$3:$H$593,GCA!G$3:G$593,"",0,1))</f>
        <v>11420.388000000001</v>
      </c>
    </row>
    <row r="585" spans="1:24" ht="13.2">
      <c r="A585" s="49"/>
      <c r="B585" s="49"/>
      <c r="C585" s="48"/>
      <c r="D585" s="49"/>
      <c r="E585" s="50">
        <v>2</v>
      </c>
      <c r="F585" s="26" t="s">
        <v>962</v>
      </c>
      <c r="G585" s="26" t="s">
        <v>956</v>
      </c>
      <c r="H585" s="27">
        <f t="shared" si="279"/>
        <v>293.91500000000002</v>
      </c>
      <c r="I585" s="27">
        <f t="shared" si="279"/>
        <v>265.94</v>
      </c>
      <c r="J585" s="27">
        <f t="shared" si="279"/>
        <v>230.89500000000001</v>
      </c>
      <c r="K585" s="27">
        <f t="shared" si="280"/>
        <v>263.58333333333331</v>
      </c>
      <c r="L585" s="65">
        <f>SUM(K585:K596)</f>
        <v>77270.46133333334</v>
      </c>
      <c r="M585" s="67">
        <f t="shared" si="281"/>
        <v>3.2433530872289005</v>
      </c>
      <c r="N585" s="65">
        <f t="shared" si="269"/>
        <v>3</v>
      </c>
      <c r="O585" s="65">
        <f t="shared" si="282"/>
        <v>3</v>
      </c>
      <c r="P585" s="65">
        <f t="shared" si="282"/>
        <v>3</v>
      </c>
      <c r="Q585" s="38"/>
      <c r="R585" s="3" t="str">
        <f t="shared" si="283"/>
        <v>Tenkasi</v>
      </c>
      <c r="S585" s="3" t="str">
        <f t="shared" si="268"/>
        <v>Senkottai</v>
      </c>
      <c r="T585" s="3" t="str">
        <f t="shared" si="268"/>
        <v>Kadayanallur</v>
      </c>
      <c r="U585" s="3" t="str">
        <f t="shared" si="284"/>
        <v>Tenkasi_Senkottai_Kadayanallur</v>
      </c>
      <c r="V585" s="3">
        <f>IF(_xlfn.XLOOKUP($U585,GCA!$H$3:$H$593,GCA!E$3:E$593,"",0,1)="","",_xlfn.XLOOKUP($U585,GCA!$H$3:$H$593,GCA!E$3:E$593,"",0,1))</f>
        <v>293.91500000000002</v>
      </c>
      <c r="W585" s="3">
        <f>IF(_xlfn.XLOOKUP($U585,GCA!$H$3:$H$593,GCA!F$3:F$593,"",0,1)="","",_xlfn.XLOOKUP($U585,GCA!$H$3:$H$593,GCA!F$3:F$593,"",0,1))</f>
        <v>265.94</v>
      </c>
      <c r="X585" s="3">
        <f>IF(_xlfn.XLOOKUP($U585,GCA!$H$3:$H$593,GCA!G$3:G$593,"",0,1)="","",_xlfn.XLOOKUP($U585,GCA!$H$3:$H$593,GCA!G$3:G$593,"",0,1))</f>
        <v>230.89500000000001</v>
      </c>
    </row>
    <row r="586" spans="1:24" ht="13.2">
      <c r="A586" s="49"/>
      <c r="B586" s="49"/>
      <c r="C586" s="48"/>
      <c r="D586" s="49"/>
      <c r="E586" s="50"/>
      <c r="F586" s="26" t="s">
        <v>962</v>
      </c>
      <c r="G586" s="26" t="s">
        <v>959</v>
      </c>
      <c r="H586" s="27">
        <f t="shared" si="279"/>
        <v>5398.76</v>
      </c>
      <c r="I586" s="27">
        <f t="shared" si="279"/>
        <v>4736.7</v>
      </c>
      <c r="J586" s="27">
        <f t="shared" si="279"/>
        <v>4960.5</v>
      </c>
      <c r="K586" s="27">
        <f t="shared" si="280"/>
        <v>5031.9866666666667</v>
      </c>
      <c r="L586" s="65"/>
      <c r="M586" s="67">
        <f t="shared" si="281"/>
        <v>0</v>
      </c>
      <c r="N586" s="65" t="str">
        <f t="shared" si="269"/>
        <v/>
      </c>
      <c r="O586" s="65" t="str">
        <f t="shared" si="282"/>
        <v/>
      </c>
      <c r="P586" s="65" t="str">
        <f t="shared" si="282"/>
        <v/>
      </c>
      <c r="Q586" s="38"/>
      <c r="R586" s="3" t="str">
        <f t="shared" si="283"/>
        <v>Tenkasi</v>
      </c>
      <c r="S586" s="3" t="str">
        <f t="shared" si="268"/>
        <v>Senkottai</v>
      </c>
      <c r="T586" s="3" t="str">
        <f t="shared" si="268"/>
        <v>Shenkottai</v>
      </c>
      <c r="U586" s="3" t="str">
        <f t="shared" si="284"/>
        <v>Tenkasi_Senkottai_Shenkottai</v>
      </c>
      <c r="V586" s="3">
        <f>IF(_xlfn.XLOOKUP($U586,GCA!$H$3:$H$593,GCA!E$3:E$593,"",0,1)="","",_xlfn.XLOOKUP($U586,GCA!$H$3:$H$593,GCA!E$3:E$593,"",0,1))</f>
        <v>5398.76</v>
      </c>
      <c r="W586" s="3">
        <f>IF(_xlfn.XLOOKUP($U586,GCA!$H$3:$H$593,GCA!F$3:F$593,"",0,1)="","",_xlfn.XLOOKUP($U586,GCA!$H$3:$H$593,GCA!F$3:F$593,"",0,1))</f>
        <v>4736.7</v>
      </c>
      <c r="X586" s="3">
        <f>IF(_xlfn.XLOOKUP($U586,GCA!$H$3:$H$593,GCA!G$3:G$593,"",0,1)="","",_xlfn.XLOOKUP($U586,GCA!$H$3:$H$593,GCA!G$3:G$593,"",0,1))</f>
        <v>4960.5</v>
      </c>
    </row>
    <row r="587" spans="1:24" ht="13.2">
      <c r="A587" s="49"/>
      <c r="B587" s="49"/>
      <c r="C587" s="48"/>
      <c r="D587" s="49"/>
      <c r="E587" s="50"/>
      <c r="F587" s="26" t="s">
        <v>962</v>
      </c>
      <c r="G587" s="26" t="s">
        <v>246</v>
      </c>
      <c r="H587" s="27">
        <f t="shared" si="279"/>
        <v>4791.55</v>
      </c>
      <c r="I587" s="27">
        <f t="shared" si="279"/>
        <v>4295.8500000000004</v>
      </c>
      <c r="J587" s="27">
        <f t="shared" si="279"/>
        <v>4144.5810000000001</v>
      </c>
      <c r="K587" s="27">
        <f t="shared" si="280"/>
        <v>4410.6603333333342</v>
      </c>
      <c r="L587" s="65"/>
      <c r="M587" s="67">
        <f t="shared" si="281"/>
        <v>0</v>
      </c>
      <c r="N587" s="65" t="str">
        <f t="shared" si="269"/>
        <v/>
      </c>
      <c r="O587" s="65" t="str">
        <f t="shared" si="282"/>
        <v/>
      </c>
      <c r="P587" s="65" t="str">
        <f t="shared" si="282"/>
        <v/>
      </c>
      <c r="Q587" s="38"/>
      <c r="R587" s="3" t="str">
        <f t="shared" si="283"/>
        <v>Tenkasi</v>
      </c>
      <c r="S587" s="3" t="str">
        <f t="shared" si="268"/>
        <v>Senkottai</v>
      </c>
      <c r="T587" s="3" t="str">
        <f t="shared" si="268"/>
        <v>Tenkasi</v>
      </c>
      <c r="U587" s="3" t="str">
        <f t="shared" si="284"/>
        <v>Tenkasi_Senkottai_Tenkasi</v>
      </c>
      <c r="V587" s="3">
        <f>IF(_xlfn.XLOOKUP($U587,GCA!$H$3:$H$593,GCA!E$3:E$593,"",0,1)="","",_xlfn.XLOOKUP($U587,GCA!$H$3:$H$593,GCA!E$3:E$593,"",0,1))</f>
        <v>4791.55</v>
      </c>
      <c r="W587" s="3">
        <f>IF(_xlfn.XLOOKUP($U587,GCA!$H$3:$H$593,GCA!F$3:F$593,"",0,1)="","",_xlfn.XLOOKUP($U587,GCA!$H$3:$H$593,GCA!F$3:F$593,"",0,1))</f>
        <v>4295.8500000000004</v>
      </c>
      <c r="X587" s="3">
        <f>IF(_xlfn.XLOOKUP($U587,GCA!$H$3:$H$593,GCA!G$3:G$593,"",0,1)="","",_xlfn.XLOOKUP($U587,GCA!$H$3:$H$593,GCA!G$3:G$593,"",0,1))</f>
        <v>4144.5810000000001</v>
      </c>
    </row>
    <row r="588" spans="1:24" ht="13.2">
      <c r="A588" s="49"/>
      <c r="B588" s="49"/>
      <c r="C588" s="48"/>
      <c r="D588" s="49"/>
      <c r="E588" s="50"/>
      <c r="F588" s="26" t="s">
        <v>963</v>
      </c>
      <c r="G588" s="26" t="s">
        <v>960</v>
      </c>
      <c r="H588" s="27">
        <f t="shared" si="279"/>
        <v>17611.564999999999</v>
      </c>
      <c r="I588" s="27">
        <f t="shared" si="279"/>
        <v>15818.6</v>
      </c>
      <c r="J588" s="27">
        <f t="shared" si="279"/>
        <v>15050.215</v>
      </c>
      <c r="K588" s="27">
        <f t="shared" si="280"/>
        <v>16160.126666666669</v>
      </c>
      <c r="L588" s="65"/>
      <c r="M588" s="67">
        <f t="shared" si="281"/>
        <v>0</v>
      </c>
      <c r="N588" s="65" t="str">
        <f t="shared" si="269"/>
        <v/>
      </c>
      <c r="O588" s="65" t="str">
        <f t="shared" si="282"/>
        <v/>
      </c>
      <c r="P588" s="65" t="str">
        <f t="shared" si="282"/>
        <v/>
      </c>
      <c r="Q588" s="38"/>
      <c r="R588" s="3" t="str">
        <f t="shared" si="283"/>
        <v>Tenkasi</v>
      </c>
      <c r="S588" s="3" t="str">
        <f t="shared" si="268"/>
        <v>Sivagiri</v>
      </c>
      <c r="T588" s="3" t="str">
        <f t="shared" si="268"/>
        <v>Vasudevanallur</v>
      </c>
      <c r="U588" s="3" t="str">
        <f t="shared" si="284"/>
        <v>Tenkasi_Sivagiri_Vasudevanallur</v>
      </c>
      <c r="V588" s="3">
        <f>IF(_xlfn.XLOOKUP($U588,GCA!$H$3:$H$593,GCA!E$3:E$593,"",0,1)="","",_xlfn.XLOOKUP($U588,GCA!$H$3:$H$593,GCA!E$3:E$593,"",0,1))</f>
        <v>17611.564999999999</v>
      </c>
      <c r="W588" s="3">
        <f>IF(_xlfn.XLOOKUP($U588,GCA!$H$3:$H$593,GCA!F$3:F$593,"",0,1)="","",_xlfn.XLOOKUP($U588,GCA!$H$3:$H$593,GCA!F$3:F$593,"",0,1))</f>
        <v>15818.6</v>
      </c>
      <c r="X588" s="3">
        <f>IF(_xlfn.XLOOKUP($U588,GCA!$H$3:$H$593,GCA!G$3:G$593,"",0,1)="","",_xlfn.XLOOKUP($U588,GCA!$H$3:$H$593,GCA!G$3:G$593,"",0,1))</f>
        <v>15050.215</v>
      </c>
    </row>
    <row r="589" spans="1:24" ht="13.2">
      <c r="A589" s="49"/>
      <c r="B589" s="49"/>
      <c r="C589" s="48"/>
      <c r="D589" s="49"/>
      <c r="E589" s="50"/>
      <c r="F589" s="26" t="s">
        <v>964</v>
      </c>
      <c r="G589" s="26" t="s">
        <v>954</v>
      </c>
      <c r="H589" s="27">
        <f t="shared" si="279"/>
        <v>6712.8850000000002</v>
      </c>
      <c r="I589" s="27">
        <f t="shared" si="279"/>
        <v>5712.9449999999997</v>
      </c>
      <c r="J589" s="27">
        <f t="shared" si="279"/>
        <v>5762.54</v>
      </c>
      <c r="K589" s="27">
        <f t="shared" si="280"/>
        <v>6062.79</v>
      </c>
      <c r="L589" s="65"/>
      <c r="M589" s="67">
        <f t="shared" si="281"/>
        <v>0</v>
      </c>
      <c r="N589" s="65" t="str">
        <f t="shared" si="269"/>
        <v/>
      </c>
      <c r="O589" s="65" t="str">
        <f t="shared" si="282"/>
        <v/>
      </c>
      <c r="P589" s="65" t="str">
        <f t="shared" si="282"/>
        <v/>
      </c>
      <c r="Q589" s="38"/>
      <c r="R589" s="3" t="str">
        <f t="shared" si="283"/>
        <v>Tenkasi</v>
      </c>
      <c r="S589" s="3" t="str">
        <f t="shared" si="268"/>
        <v>Thenkasi</v>
      </c>
      <c r="T589" s="3" t="str">
        <f t="shared" si="268"/>
        <v>Kadayam</v>
      </c>
      <c r="U589" s="3" t="str">
        <f t="shared" si="284"/>
        <v>Tenkasi_Thenkasi_Kadayam</v>
      </c>
      <c r="V589" s="3">
        <f>IF(_xlfn.XLOOKUP($U589,GCA!$H$3:$H$593,GCA!E$3:E$593,"",0,1)="","",_xlfn.XLOOKUP($U589,GCA!$H$3:$H$593,GCA!E$3:E$593,"",0,1))</f>
        <v>6712.8850000000002</v>
      </c>
      <c r="W589" s="3">
        <f>IF(_xlfn.XLOOKUP($U589,GCA!$H$3:$H$593,GCA!F$3:F$593,"",0,1)="","",_xlfn.XLOOKUP($U589,GCA!$H$3:$H$593,GCA!F$3:F$593,"",0,1))</f>
        <v>5712.9449999999997</v>
      </c>
      <c r="X589" s="3">
        <f>IF(_xlfn.XLOOKUP($U589,GCA!$H$3:$H$593,GCA!G$3:G$593,"",0,1)="","",_xlfn.XLOOKUP($U589,GCA!$H$3:$H$593,GCA!G$3:G$593,"",0,1))</f>
        <v>5762.54</v>
      </c>
    </row>
    <row r="590" spans="1:24" ht="13.2">
      <c r="A590" s="49"/>
      <c r="B590" s="49"/>
      <c r="C590" s="48"/>
      <c r="D590" s="49"/>
      <c r="E590" s="50"/>
      <c r="F590" s="26" t="s">
        <v>964</v>
      </c>
      <c r="G590" s="26" t="s">
        <v>955</v>
      </c>
      <c r="H590" s="27">
        <f t="shared" si="279"/>
        <v>2286.2249999999999</v>
      </c>
      <c r="I590" s="27">
        <f t="shared" si="279"/>
        <v>2269.46</v>
      </c>
      <c r="J590" s="27">
        <f t="shared" si="279"/>
        <v>2192.52</v>
      </c>
      <c r="K590" s="27">
        <f t="shared" si="280"/>
        <v>2249.4016666666666</v>
      </c>
      <c r="L590" s="65"/>
      <c r="M590" s="67">
        <f t="shared" si="281"/>
        <v>0</v>
      </c>
      <c r="N590" s="65" t="str">
        <f t="shared" si="269"/>
        <v/>
      </c>
      <c r="O590" s="65" t="str">
        <f t="shared" si="282"/>
        <v/>
      </c>
      <c r="P590" s="65" t="str">
        <f t="shared" si="282"/>
        <v/>
      </c>
      <c r="Q590" s="38"/>
      <c r="R590" s="3" t="str">
        <f t="shared" si="283"/>
        <v>Tenkasi</v>
      </c>
      <c r="S590" s="3" t="str">
        <f t="shared" si="268"/>
        <v>Thenkasi</v>
      </c>
      <c r="T590" s="3" t="str">
        <f t="shared" si="268"/>
        <v>Keelpavoor</v>
      </c>
      <c r="U590" s="3" t="str">
        <f t="shared" si="284"/>
        <v>Tenkasi_Thenkasi_Keelpavoor</v>
      </c>
      <c r="V590" s="3">
        <f>IF(_xlfn.XLOOKUP($U590,GCA!$H$3:$H$593,GCA!E$3:E$593,"",0,1)="","",_xlfn.XLOOKUP($U590,GCA!$H$3:$H$593,GCA!E$3:E$593,"",0,1))</f>
        <v>2286.2249999999999</v>
      </c>
      <c r="W590" s="3">
        <f>IF(_xlfn.XLOOKUP($U590,GCA!$H$3:$H$593,GCA!F$3:F$593,"",0,1)="","",_xlfn.XLOOKUP($U590,GCA!$H$3:$H$593,GCA!F$3:F$593,"",0,1))</f>
        <v>2269.46</v>
      </c>
      <c r="X590" s="3">
        <f>IF(_xlfn.XLOOKUP($U590,GCA!$H$3:$H$593,GCA!G$3:G$593,"",0,1)="","",_xlfn.XLOOKUP($U590,GCA!$H$3:$H$593,GCA!G$3:G$593,"",0,1))</f>
        <v>2192.52</v>
      </c>
    </row>
    <row r="591" spans="1:24" ht="13.2">
      <c r="A591" s="49"/>
      <c r="B591" s="49"/>
      <c r="C591" s="48"/>
      <c r="D591" s="49"/>
      <c r="E591" s="50"/>
      <c r="F591" s="26" t="s">
        <v>964</v>
      </c>
      <c r="G591" s="26" t="s">
        <v>246</v>
      </c>
      <c r="H591" s="27">
        <f t="shared" si="279"/>
        <v>4795.5749999999998</v>
      </c>
      <c r="I591" s="27">
        <f t="shared" si="279"/>
        <v>4562.12</v>
      </c>
      <c r="J591" s="27">
        <f t="shared" si="279"/>
        <v>4527.49</v>
      </c>
      <c r="K591" s="27">
        <f t="shared" si="280"/>
        <v>4628.3949999999995</v>
      </c>
      <c r="L591" s="65"/>
      <c r="M591" s="67">
        <f t="shared" si="281"/>
        <v>0</v>
      </c>
      <c r="N591" s="65" t="str">
        <f t="shared" si="269"/>
        <v/>
      </c>
      <c r="O591" s="65" t="str">
        <f t="shared" ref="O591:P596" si="285">N591</f>
        <v/>
      </c>
      <c r="P591" s="65" t="str">
        <f t="shared" si="285"/>
        <v/>
      </c>
      <c r="Q591" s="38"/>
      <c r="R591" s="3" t="str">
        <f t="shared" si="283"/>
        <v>Tenkasi</v>
      </c>
      <c r="S591" s="3" t="str">
        <f t="shared" si="268"/>
        <v>Thenkasi</v>
      </c>
      <c r="T591" s="3" t="str">
        <f t="shared" si="268"/>
        <v>Tenkasi</v>
      </c>
      <c r="U591" s="3" t="str">
        <f t="shared" si="284"/>
        <v>Tenkasi_Thenkasi_Tenkasi</v>
      </c>
      <c r="V591" s="3">
        <f>IF(_xlfn.XLOOKUP($U591,GCA!$H$3:$H$593,GCA!E$3:E$593,"",0,1)="","",_xlfn.XLOOKUP($U591,GCA!$H$3:$H$593,GCA!E$3:E$593,"",0,1))</f>
        <v>4795.5749999999998</v>
      </c>
      <c r="W591" s="3">
        <f>IF(_xlfn.XLOOKUP($U591,GCA!$H$3:$H$593,GCA!F$3:F$593,"",0,1)="","",_xlfn.XLOOKUP($U591,GCA!$H$3:$H$593,GCA!F$3:F$593,"",0,1))</f>
        <v>4562.12</v>
      </c>
      <c r="X591" s="3">
        <f>IF(_xlfn.XLOOKUP($U591,GCA!$H$3:$H$593,GCA!G$3:G$593,"",0,1)="","",_xlfn.XLOOKUP($U591,GCA!$H$3:$H$593,GCA!G$3:G$593,"",0,1))</f>
        <v>4527.49</v>
      </c>
    </row>
    <row r="592" spans="1:24" ht="13.2">
      <c r="A592" s="49"/>
      <c r="B592" s="49"/>
      <c r="C592" s="48"/>
      <c r="D592" s="49"/>
      <c r="E592" s="50"/>
      <c r="F592" s="26" t="s">
        <v>965</v>
      </c>
      <c r="G592" s="26" t="s">
        <v>966</v>
      </c>
      <c r="H592" s="27">
        <f t="shared" si="279"/>
        <v>21735.125</v>
      </c>
      <c r="I592" s="27">
        <f t="shared" si="279"/>
        <v>21660.15</v>
      </c>
      <c r="J592" s="27">
        <f t="shared" si="279"/>
        <v>21912.637999999999</v>
      </c>
      <c r="K592" s="27">
        <f t="shared" si="280"/>
        <v>21769.304333333333</v>
      </c>
      <c r="L592" s="65"/>
      <c r="M592" s="67">
        <f t="shared" si="281"/>
        <v>0</v>
      </c>
      <c r="N592" s="65" t="str">
        <f t="shared" si="269"/>
        <v/>
      </c>
      <c r="O592" s="65" t="str">
        <f t="shared" si="285"/>
        <v/>
      </c>
      <c r="P592" s="65" t="str">
        <f t="shared" si="285"/>
        <v/>
      </c>
      <c r="Q592" s="38"/>
      <c r="R592" s="3" t="str">
        <f t="shared" si="283"/>
        <v>Tenkasi</v>
      </c>
      <c r="S592" s="3" t="str">
        <f t="shared" si="268"/>
        <v>Thiruvengadam</v>
      </c>
      <c r="T592" s="3" t="str">
        <f t="shared" si="268"/>
        <v>Kuruvikulam</v>
      </c>
      <c r="U592" s="3" t="str">
        <f t="shared" si="284"/>
        <v>Tenkasi_Thiruvengadam_Kuruvikulam</v>
      </c>
      <c r="V592" s="3">
        <f>IF(_xlfn.XLOOKUP($U592,GCA!$H$3:$H$593,GCA!E$3:E$593,"",0,1)="","",_xlfn.XLOOKUP($U592,GCA!$H$3:$H$593,GCA!E$3:E$593,"",0,1))</f>
        <v>21735.125</v>
      </c>
      <c r="W592" s="3">
        <f>IF(_xlfn.XLOOKUP($U592,GCA!$H$3:$H$593,GCA!F$3:F$593,"",0,1)="","",_xlfn.XLOOKUP($U592,GCA!$H$3:$H$593,GCA!F$3:F$593,"",0,1))</f>
        <v>21660.15</v>
      </c>
      <c r="X592" s="3">
        <f>IF(_xlfn.XLOOKUP($U592,GCA!$H$3:$H$593,GCA!G$3:G$593,"",0,1)="","",_xlfn.XLOOKUP($U592,GCA!$H$3:$H$593,GCA!G$3:G$593,"",0,1))</f>
        <v>21912.637999999999</v>
      </c>
    </row>
    <row r="593" spans="1:24" ht="13.2">
      <c r="A593" s="49"/>
      <c r="B593" s="49"/>
      <c r="C593" s="48"/>
      <c r="D593" s="49"/>
      <c r="E593" s="50"/>
      <c r="F593" s="26" t="s">
        <v>965</v>
      </c>
      <c r="G593" s="26" t="s">
        <v>957</v>
      </c>
      <c r="H593" s="27">
        <f t="shared" si="279"/>
        <v>2365.1</v>
      </c>
      <c r="I593" s="27">
        <f t="shared" si="279"/>
        <v>2476.8049999999998</v>
      </c>
      <c r="J593" s="27">
        <f t="shared" si="279"/>
        <v>2388.9050000000002</v>
      </c>
      <c r="K593" s="27">
        <f t="shared" si="280"/>
        <v>2410.27</v>
      </c>
      <c r="L593" s="65"/>
      <c r="M593" s="67">
        <f t="shared" si="281"/>
        <v>0</v>
      </c>
      <c r="N593" s="65" t="str">
        <f t="shared" si="269"/>
        <v/>
      </c>
      <c r="O593" s="65" t="str">
        <f t="shared" si="285"/>
        <v/>
      </c>
      <c r="P593" s="65" t="str">
        <f t="shared" si="285"/>
        <v/>
      </c>
      <c r="Q593" s="38"/>
      <c r="R593" s="3" t="str">
        <f t="shared" si="283"/>
        <v>Tenkasi</v>
      </c>
      <c r="S593" s="3" t="str">
        <f t="shared" si="268"/>
        <v>Thiruvengadam</v>
      </c>
      <c r="T593" s="3" t="str">
        <f t="shared" si="268"/>
        <v>Melaneelithanallur</v>
      </c>
      <c r="U593" s="3" t="str">
        <f t="shared" si="284"/>
        <v>Tenkasi_Thiruvengadam_Melaneelithanallur</v>
      </c>
      <c r="V593" s="3">
        <f>IF(_xlfn.XLOOKUP($U593,GCA!$H$3:$H$593,GCA!E$3:E$593,"",0,1)="","",_xlfn.XLOOKUP($U593,GCA!$H$3:$H$593,GCA!E$3:E$593,"",0,1))</f>
        <v>2365.1</v>
      </c>
      <c r="W593" s="3">
        <f>IF(_xlfn.XLOOKUP($U593,GCA!$H$3:$H$593,GCA!F$3:F$593,"",0,1)="","",_xlfn.XLOOKUP($U593,GCA!$H$3:$H$593,GCA!F$3:F$593,"",0,1))</f>
        <v>2476.8049999999998</v>
      </c>
      <c r="X593" s="3">
        <f>IF(_xlfn.XLOOKUP($U593,GCA!$H$3:$H$593,GCA!G$3:G$593,"",0,1)="","",_xlfn.XLOOKUP($U593,GCA!$H$3:$H$593,GCA!G$3:G$593,"",0,1))</f>
        <v>2388.9050000000002</v>
      </c>
    </row>
    <row r="594" spans="1:24" ht="13.2">
      <c r="A594" s="49"/>
      <c r="B594" s="49"/>
      <c r="C594" s="48"/>
      <c r="D594" s="49"/>
      <c r="E594" s="50"/>
      <c r="F594" s="26" t="s">
        <v>967</v>
      </c>
      <c r="G594" s="26" t="s">
        <v>953</v>
      </c>
      <c r="H594" s="27">
        <f t="shared" si="279"/>
        <v>11404.44</v>
      </c>
      <c r="I594" s="27">
        <f t="shared" si="279"/>
        <v>10601.305</v>
      </c>
      <c r="J594" s="27">
        <f t="shared" si="279"/>
        <v>10264.67</v>
      </c>
      <c r="K594" s="27">
        <f t="shared" si="280"/>
        <v>10756.805</v>
      </c>
      <c r="L594" s="65"/>
      <c r="M594" s="67">
        <f t="shared" si="281"/>
        <v>0</v>
      </c>
      <c r="N594" s="65" t="str">
        <f t="shared" si="269"/>
        <v/>
      </c>
      <c r="O594" s="65" t="str">
        <f t="shared" si="285"/>
        <v/>
      </c>
      <c r="P594" s="65" t="str">
        <f t="shared" si="285"/>
        <v/>
      </c>
      <c r="Q594" s="38"/>
      <c r="R594" s="3" t="str">
        <f t="shared" si="283"/>
        <v>Tenkasi</v>
      </c>
      <c r="S594" s="3" t="str">
        <f t="shared" si="268"/>
        <v>Veerakeralampudur</v>
      </c>
      <c r="T594" s="3" t="str">
        <f t="shared" si="268"/>
        <v>Alankulam</v>
      </c>
      <c r="U594" s="3" t="str">
        <f t="shared" si="284"/>
        <v>Tenkasi_Veerakeralampudur_Alankulam</v>
      </c>
      <c r="V594" s="3">
        <f>IF(_xlfn.XLOOKUP($U594,GCA!$H$3:$H$593,GCA!E$3:E$593,"",0,1)="","",_xlfn.XLOOKUP($U594,GCA!$H$3:$H$593,GCA!E$3:E$593,"",0,1))</f>
        <v>11404.44</v>
      </c>
      <c r="W594" s="3">
        <f>IF(_xlfn.XLOOKUP($U594,GCA!$H$3:$H$593,GCA!F$3:F$593,"",0,1)="","",_xlfn.XLOOKUP($U594,GCA!$H$3:$H$593,GCA!F$3:F$593,"",0,1))</f>
        <v>10601.305</v>
      </c>
      <c r="X594" s="3">
        <f>IF(_xlfn.XLOOKUP($U594,GCA!$H$3:$H$593,GCA!G$3:G$593,"",0,1)="","",_xlfn.XLOOKUP($U594,GCA!$H$3:$H$593,GCA!G$3:G$593,"",0,1))</f>
        <v>10264.67</v>
      </c>
    </row>
    <row r="595" spans="1:24" ht="13.2">
      <c r="A595" s="49"/>
      <c r="B595" s="49"/>
      <c r="C595" s="48"/>
      <c r="D595" s="49"/>
      <c r="E595" s="50"/>
      <c r="F595" s="26" t="s">
        <v>967</v>
      </c>
      <c r="G595" s="26" t="s">
        <v>956</v>
      </c>
      <c r="H595" s="27">
        <f t="shared" si="279"/>
        <v>944.04</v>
      </c>
      <c r="I595" s="27">
        <f t="shared" si="279"/>
        <v>904.60500000000002</v>
      </c>
      <c r="J595" s="27">
        <f t="shared" si="279"/>
        <v>756.57500000000005</v>
      </c>
      <c r="K595" s="27">
        <f t="shared" si="280"/>
        <v>868.40666666666675</v>
      </c>
      <c r="L595" s="65"/>
      <c r="M595" s="67">
        <f t="shared" si="281"/>
        <v>0</v>
      </c>
      <c r="N595" s="65" t="str">
        <f t="shared" si="269"/>
        <v/>
      </c>
      <c r="O595" s="65" t="str">
        <f t="shared" si="285"/>
        <v/>
      </c>
      <c r="P595" s="65" t="str">
        <f t="shared" si="285"/>
        <v/>
      </c>
      <c r="Q595" s="38"/>
      <c r="R595" s="3" t="str">
        <f t="shared" si="283"/>
        <v>Tenkasi</v>
      </c>
      <c r="S595" s="3" t="str">
        <f t="shared" si="268"/>
        <v>Veerakeralampudur</v>
      </c>
      <c r="T595" s="3" t="str">
        <f t="shared" si="268"/>
        <v>Kadayanallur</v>
      </c>
      <c r="U595" s="3" t="str">
        <f t="shared" si="284"/>
        <v>Tenkasi_Veerakeralampudur_Kadayanallur</v>
      </c>
      <c r="V595" s="3">
        <f>IF(_xlfn.XLOOKUP($U595,GCA!$H$3:$H$593,GCA!E$3:E$593,"",0,1)="","",_xlfn.XLOOKUP($U595,GCA!$H$3:$H$593,GCA!E$3:E$593,"",0,1))</f>
        <v>944.04</v>
      </c>
      <c r="W595" s="3">
        <f>IF(_xlfn.XLOOKUP($U595,GCA!$H$3:$H$593,GCA!F$3:F$593,"",0,1)="","",_xlfn.XLOOKUP($U595,GCA!$H$3:$H$593,GCA!F$3:F$593,"",0,1))</f>
        <v>904.60500000000002</v>
      </c>
      <c r="X595" s="3">
        <f>IF(_xlfn.XLOOKUP($U595,GCA!$H$3:$H$593,GCA!G$3:G$593,"",0,1)="","",_xlfn.XLOOKUP($U595,GCA!$H$3:$H$593,GCA!G$3:G$593,"",0,1))</f>
        <v>756.57500000000005</v>
      </c>
    </row>
    <row r="596" spans="1:24" ht="13.2">
      <c r="A596" s="49"/>
      <c r="B596" s="49"/>
      <c r="C596" s="48"/>
      <c r="D596" s="49"/>
      <c r="E596" s="50"/>
      <c r="F596" s="26" t="s">
        <v>967</v>
      </c>
      <c r="G596" s="26" t="s">
        <v>955</v>
      </c>
      <c r="H596" s="27">
        <f t="shared" si="279"/>
        <v>2813.87</v>
      </c>
      <c r="I596" s="27">
        <f t="shared" si="279"/>
        <v>2492.9650000000001</v>
      </c>
      <c r="J596" s="27">
        <f t="shared" si="279"/>
        <v>2669.36</v>
      </c>
      <c r="K596" s="27">
        <f t="shared" si="280"/>
        <v>2658.7316666666666</v>
      </c>
      <c r="L596" s="65"/>
      <c r="M596" s="67">
        <f t="shared" si="281"/>
        <v>0</v>
      </c>
      <c r="N596" s="65" t="str">
        <f t="shared" si="269"/>
        <v/>
      </c>
      <c r="O596" s="65" t="str">
        <f t="shared" si="285"/>
        <v/>
      </c>
      <c r="P596" s="65" t="str">
        <f t="shared" si="285"/>
        <v/>
      </c>
      <c r="Q596" s="38"/>
      <c r="R596" s="3" t="str">
        <f t="shared" si="283"/>
        <v>Tenkasi</v>
      </c>
      <c r="S596" s="3" t="str">
        <f t="shared" si="268"/>
        <v>Veerakeralampudur</v>
      </c>
      <c r="T596" s="3" t="str">
        <f t="shared" si="268"/>
        <v>Keelpavoor</v>
      </c>
      <c r="U596" s="3" t="str">
        <f t="shared" si="284"/>
        <v>Tenkasi_Veerakeralampudur_Keelpavoor</v>
      </c>
      <c r="V596" s="3">
        <f>IF(_xlfn.XLOOKUP($U596,GCA!$H$3:$H$593,GCA!E$3:E$593,"",0,1)="","",_xlfn.XLOOKUP($U596,GCA!$H$3:$H$593,GCA!E$3:E$593,"",0,1))</f>
        <v>2813.87</v>
      </c>
      <c r="W596" s="3">
        <f>IF(_xlfn.XLOOKUP($U596,GCA!$H$3:$H$593,GCA!F$3:F$593,"",0,1)="","",_xlfn.XLOOKUP($U596,GCA!$H$3:$H$593,GCA!F$3:F$593,"",0,1))</f>
        <v>2492.9650000000001</v>
      </c>
      <c r="X596" s="3">
        <f>IF(_xlfn.XLOOKUP($U596,GCA!$H$3:$H$593,GCA!G$3:G$593,"",0,1)="","",_xlfn.XLOOKUP($U596,GCA!$H$3:$H$593,GCA!G$3:G$593,"",0,1))</f>
        <v>2669.36</v>
      </c>
    </row>
    <row r="597" spans="1:24" ht="13.2">
      <c r="A597" s="49"/>
      <c r="B597" s="49"/>
      <c r="C597" s="48"/>
      <c r="D597" s="49"/>
      <c r="E597" s="47" t="s">
        <v>564</v>
      </c>
      <c r="F597" s="47"/>
      <c r="G597" s="47"/>
      <c r="H597" s="29">
        <f t="shared" ref="H597:P597" si="286">SUM(H575:H596)</f>
        <v>135779.1</v>
      </c>
      <c r="I597" s="29">
        <f t="shared" si="286"/>
        <v>126534.15999999999</v>
      </c>
      <c r="J597" s="29">
        <f t="shared" si="286"/>
        <v>121623.17699999998</v>
      </c>
      <c r="K597" s="29">
        <f t="shared" si="286"/>
        <v>127978.81233333334</v>
      </c>
      <c r="L597" s="29">
        <f t="shared" si="286"/>
        <v>127978.81233333334</v>
      </c>
      <c r="M597" s="30">
        <f t="shared" si="286"/>
        <v>5.3717872123295471</v>
      </c>
      <c r="N597" s="31">
        <f t="shared" si="286"/>
        <v>5</v>
      </c>
      <c r="O597" s="31">
        <f t="shared" si="286"/>
        <v>5</v>
      </c>
      <c r="P597" s="31">
        <f t="shared" si="286"/>
        <v>5</v>
      </c>
      <c r="Q597" s="38"/>
      <c r="R597" s="3" t="str">
        <f t="shared" si="283"/>
        <v>Tenkasi</v>
      </c>
      <c r="S597" s="3">
        <f t="shared" si="268"/>
        <v>0</v>
      </c>
      <c r="T597" s="3">
        <f t="shared" si="268"/>
        <v>0</v>
      </c>
      <c r="U597" s="3" t="str">
        <f t="shared" si="284"/>
        <v>Tenkasi_0_0</v>
      </c>
      <c r="V597" s="3" t="str">
        <f>IF(_xlfn.XLOOKUP($U597,GCA!$H$3:$H$593,GCA!E$3:E$593,"",0,1)="","",_xlfn.XLOOKUP($U597,GCA!$H$3:$H$593,GCA!E$3:E$593,"",0,1))</f>
        <v/>
      </c>
      <c r="W597" s="3" t="str">
        <f>IF(_xlfn.XLOOKUP($U597,GCA!$H$3:$H$593,GCA!F$3:F$593,"",0,1)="","",_xlfn.XLOOKUP($U597,GCA!$H$3:$H$593,GCA!F$3:F$593,"",0,1))</f>
        <v/>
      </c>
      <c r="X597" s="3" t="str">
        <f>IF(_xlfn.XLOOKUP($U597,GCA!$H$3:$H$593,GCA!G$3:G$593,"",0,1)="","",_xlfn.XLOOKUP($U597,GCA!$H$3:$H$593,GCA!G$3:G$593,"",0,1))</f>
        <v/>
      </c>
    </row>
    <row r="598" spans="1:24" ht="13.2">
      <c r="A598" s="49"/>
      <c r="B598" s="49"/>
      <c r="C598" s="54" t="s">
        <v>521</v>
      </c>
      <c r="D598" s="54"/>
      <c r="E598" s="54"/>
      <c r="F598" s="54"/>
      <c r="G598" s="54"/>
      <c r="H598" s="32">
        <f t="shared" ref="H598:P598" si="287">SUM(H597,H574,H562,H544)</f>
        <v>506265.95899999997</v>
      </c>
      <c r="I598" s="32">
        <f t="shared" si="287"/>
        <v>493973.34399999992</v>
      </c>
      <c r="J598" s="32">
        <f t="shared" si="287"/>
        <v>483970.04700000002</v>
      </c>
      <c r="K598" s="32">
        <f t="shared" si="287"/>
        <v>494736.45</v>
      </c>
      <c r="L598" s="32">
        <f t="shared" si="287"/>
        <v>494736.44999999995</v>
      </c>
      <c r="M598" s="33">
        <f t="shared" si="287"/>
        <v>20.766085316226309</v>
      </c>
      <c r="N598" s="34">
        <f t="shared" si="287"/>
        <v>21</v>
      </c>
      <c r="O598" s="34">
        <f t="shared" si="287"/>
        <v>21</v>
      </c>
      <c r="P598" s="34">
        <f t="shared" si="287"/>
        <v>21</v>
      </c>
      <c r="Q598" s="38"/>
      <c r="R598" s="3" t="str">
        <f t="shared" si="276"/>
        <v>SRO TOTAL</v>
      </c>
      <c r="S598" s="3">
        <f t="shared" si="268"/>
        <v>0</v>
      </c>
      <c r="T598" s="3">
        <f t="shared" si="268"/>
        <v>0</v>
      </c>
      <c r="U598" s="3" t="str">
        <f t="shared" si="284"/>
        <v>SRO TOTAL_0_0</v>
      </c>
      <c r="V598" s="3" t="str">
        <f>IF(_xlfn.XLOOKUP($U598,GCA!$H$3:$H$593,GCA!E$3:E$593,"",0,1)="","",_xlfn.XLOOKUP($U598,GCA!$H$3:$H$593,GCA!E$3:E$593,"",0,1))</f>
        <v/>
      </c>
      <c r="W598" s="3" t="str">
        <f>IF(_xlfn.XLOOKUP($U598,GCA!$H$3:$H$593,GCA!F$3:F$593,"",0,1)="","",_xlfn.XLOOKUP($U598,GCA!$H$3:$H$593,GCA!F$3:F$593,"",0,1))</f>
        <v/>
      </c>
      <c r="X598" s="3" t="str">
        <f>IF(_xlfn.XLOOKUP($U598,GCA!$H$3:$H$593,GCA!G$3:G$593,"",0,1)="","",_xlfn.XLOOKUP($U598,GCA!$H$3:$H$593,GCA!G$3:G$593,"",0,1))</f>
        <v/>
      </c>
    </row>
    <row r="599" spans="1:24" ht="13.2">
      <c r="A599" s="49"/>
      <c r="B599" s="49"/>
      <c r="C599" s="48" t="s">
        <v>248</v>
      </c>
      <c r="D599" s="49" t="s">
        <v>554</v>
      </c>
      <c r="E599" s="50">
        <v>1</v>
      </c>
      <c r="F599" s="26" t="s">
        <v>980</v>
      </c>
      <c r="G599" s="26" t="s">
        <v>980</v>
      </c>
      <c r="H599" s="27">
        <f t="shared" ref="H599:J620" si="288">V599</f>
        <v>16067.88</v>
      </c>
      <c r="I599" s="27">
        <f t="shared" si="288"/>
        <v>16572.105</v>
      </c>
      <c r="J599" s="27">
        <f t="shared" si="288"/>
        <v>16728.764999999999</v>
      </c>
      <c r="K599" s="27">
        <f t="shared" ref="K599:K620" si="289">IFERROR(AVERAGE(H599:J599),"")</f>
        <v>16456.25</v>
      </c>
      <c r="L599" s="65">
        <f>SUM(K599:K602)</f>
        <v>45308.859999999993</v>
      </c>
      <c r="M599" s="67">
        <f t="shared" ref="M599:M620" si="290">L599*$L$643/$L$642</f>
        <v>1.9017956981761777</v>
      </c>
      <c r="N599" s="65">
        <f t="shared" ref="N599:N638" si="291">IF(M599&gt;=2, ROUND(M599,0), IF(M599&gt;1.1,2,""))</f>
        <v>2</v>
      </c>
      <c r="O599" s="65">
        <f t="shared" ref="O599:P614" si="292">N599</f>
        <v>2</v>
      </c>
      <c r="P599" s="65">
        <f t="shared" si="292"/>
        <v>2</v>
      </c>
      <c r="Q599" s="38"/>
      <c r="R599" s="3" t="str">
        <f t="shared" si="276"/>
        <v>Virudhunagar</v>
      </c>
      <c r="S599" s="3" t="str">
        <f t="shared" ref="S599:T638" si="293">F599</f>
        <v>Aruppukottai</v>
      </c>
      <c r="T599" s="3" t="str">
        <f t="shared" si="293"/>
        <v>Aruppukottai</v>
      </c>
      <c r="U599" s="3" t="str">
        <f t="shared" si="284"/>
        <v>Virudhunagar_Aruppukottai_Aruppukottai</v>
      </c>
      <c r="V599" s="3">
        <f>IF(_xlfn.XLOOKUP($U599,GCA!$H$3:$H$593,GCA!E$3:E$593,"",0,1)="","",_xlfn.XLOOKUP($U599,GCA!$H$3:$H$593,GCA!E$3:E$593,"",0,1))</f>
        <v>16067.88</v>
      </c>
      <c r="W599" s="3">
        <f>IF(_xlfn.XLOOKUP($U599,GCA!$H$3:$H$593,GCA!F$3:F$593,"",0,1)="","",_xlfn.XLOOKUP($U599,GCA!$H$3:$H$593,GCA!F$3:F$593,"",0,1))</f>
        <v>16572.105</v>
      </c>
      <c r="X599" s="3">
        <f>IF(_xlfn.XLOOKUP($U599,GCA!$H$3:$H$593,GCA!G$3:G$593,"",0,1)="","",_xlfn.XLOOKUP($U599,GCA!$H$3:$H$593,GCA!G$3:G$593,"",0,1))</f>
        <v>16728.764999999999</v>
      </c>
    </row>
    <row r="600" spans="1:24" ht="13.2">
      <c r="A600" s="49"/>
      <c r="B600" s="49"/>
      <c r="C600" s="48"/>
      <c r="D600" s="49"/>
      <c r="E600" s="50"/>
      <c r="F600" s="26" t="s">
        <v>980</v>
      </c>
      <c r="G600" s="26" t="s">
        <v>981</v>
      </c>
      <c r="H600" s="27">
        <f t="shared" si="288"/>
        <v>16458.7</v>
      </c>
      <c r="I600" s="27">
        <f t="shared" si="288"/>
        <v>16676.64</v>
      </c>
      <c r="J600" s="27">
        <f t="shared" si="288"/>
        <v>16587.945</v>
      </c>
      <c r="K600" s="27">
        <f t="shared" si="289"/>
        <v>16574.428333333333</v>
      </c>
      <c r="L600" s="65"/>
      <c r="M600" s="67">
        <f t="shared" si="290"/>
        <v>0</v>
      </c>
      <c r="N600" s="65" t="str">
        <f t="shared" si="291"/>
        <v/>
      </c>
      <c r="O600" s="65" t="str">
        <f t="shared" si="292"/>
        <v/>
      </c>
      <c r="P600" s="65" t="str">
        <f t="shared" si="292"/>
        <v/>
      </c>
      <c r="Q600" s="38"/>
      <c r="R600" s="3" t="str">
        <f t="shared" ref="R600:R621" si="294">R599</f>
        <v>Virudhunagar</v>
      </c>
      <c r="S600" s="3" t="str">
        <f t="shared" si="293"/>
        <v>Aruppukottai</v>
      </c>
      <c r="T600" s="3" t="str">
        <f t="shared" si="293"/>
        <v>Thiruchuli</v>
      </c>
      <c r="U600" s="3" t="str">
        <f t="shared" si="284"/>
        <v>Virudhunagar_Aruppukottai_Thiruchuli</v>
      </c>
      <c r="V600" s="3">
        <f>IF(_xlfn.XLOOKUP($U600,GCA!$H$3:$H$593,GCA!E$3:E$593,"",0,1)="","",_xlfn.XLOOKUP($U600,GCA!$H$3:$H$593,GCA!E$3:E$593,"",0,1))</f>
        <v>16458.7</v>
      </c>
      <c r="W600" s="3">
        <f>IF(_xlfn.XLOOKUP($U600,GCA!$H$3:$H$593,GCA!F$3:F$593,"",0,1)="","",_xlfn.XLOOKUP($U600,GCA!$H$3:$H$593,GCA!F$3:F$593,"",0,1))</f>
        <v>16676.64</v>
      </c>
      <c r="X600" s="3">
        <f>IF(_xlfn.XLOOKUP($U600,GCA!$H$3:$H$593,GCA!G$3:G$593,"",0,1)="","",_xlfn.XLOOKUP($U600,GCA!$H$3:$H$593,GCA!G$3:G$593,"",0,1))</f>
        <v>16587.945</v>
      </c>
    </row>
    <row r="601" spans="1:24" ht="13.2">
      <c r="A601" s="49"/>
      <c r="B601" s="49"/>
      <c r="C601" s="48"/>
      <c r="D601" s="49"/>
      <c r="E601" s="50"/>
      <c r="F601" s="26" t="s">
        <v>982</v>
      </c>
      <c r="G601" s="26" t="s">
        <v>982</v>
      </c>
      <c r="H601" s="27">
        <f t="shared" si="288"/>
        <v>11836.44</v>
      </c>
      <c r="I601" s="27">
        <f t="shared" si="288"/>
        <v>12422.71</v>
      </c>
      <c r="J601" s="27">
        <f t="shared" si="288"/>
        <v>12205.445</v>
      </c>
      <c r="K601" s="27">
        <f t="shared" si="289"/>
        <v>12154.865</v>
      </c>
      <c r="L601" s="65"/>
      <c r="M601" s="67">
        <f t="shared" si="290"/>
        <v>0</v>
      </c>
      <c r="N601" s="65" t="str">
        <f t="shared" si="291"/>
        <v/>
      </c>
      <c r="O601" s="65" t="str">
        <f t="shared" si="292"/>
        <v/>
      </c>
      <c r="P601" s="65" t="str">
        <f t="shared" si="292"/>
        <v/>
      </c>
      <c r="Q601" s="38"/>
      <c r="R601" s="3" t="str">
        <f t="shared" si="294"/>
        <v>Virudhunagar</v>
      </c>
      <c r="S601" s="3" t="str">
        <f t="shared" si="293"/>
        <v>Kariapatti</v>
      </c>
      <c r="T601" s="3" t="str">
        <f t="shared" si="293"/>
        <v>Kariapatti</v>
      </c>
      <c r="U601" s="3" t="str">
        <f t="shared" si="284"/>
        <v>Virudhunagar_Kariapatti_Kariapatti</v>
      </c>
      <c r="V601" s="3">
        <f>IF(_xlfn.XLOOKUP($U601,GCA!$H$3:$H$593,GCA!E$3:E$593,"",0,1)="","",_xlfn.XLOOKUP($U601,GCA!$H$3:$H$593,GCA!E$3:E$593,"",0,1))</f>
        <v>11836.44</v>
      </c>
      <c r="W601" s="3">
        <f>IF(_xlfn.XLOOKUP($U601,GCA!$H$3:$H$593,GCA!F$3:F$593,"",0,1)="","",_xlfn.XLOOKUP($U601,GCA!$H$3:$H$593,GCA!F$3:F$593,"",0,1))</f>
        <v>12422.71</v>
      </c>
      <c r="X601" s="3">
        <f>IF(_xlfn.XLOOKUP($U601,GCA!$H$3:$H$593,GCA!G$3:G$593,"",0,1)="","",_xlfn.XLOOKUP($U601,GCA!$H$3:$H$593,GCA!G$3:G$593,"",0,1))</f>
        <v>12205.445</v>
      </c>
    </row>
    <row r="602" spans="1:24" ht="13.2">
      <c r="A602" s="49"/>
      <c r="B602" s="49"/>
      <c r="C602" s="48"/>
      <c r="D602" s="49"/>
      <c r="E602" s="50"/>
      <c r="F602" s="26" t="s">
        <v>982</v>
      </c>
      <c r="G602" s="26" t="s">
        <v>983</v>
      </c>
      <c r="H602" s="27">
        <f t="shared" si="288"/>
        <v>106.67</v>
      </c>
      <c r="I602" s="27">
        <f t="shared" si="288"/>
        <v>137.83000000000001</v>
      </c>
      <c r="J602" s="27">
        <f t="shared" si="288"/>
        <v>125.45</v>
      </c>
      <c r="K602" s="27">
        <f t="shared" si="289"/>
        <v>123.31666666666666</v>
      </c>
      <c r="L602" s="65"/>
      <c r="M602" s="67">
        <f t="shared" si="290"/>
        <v>0</v>
      </c>
      <c r="N602" s="65" t="str">
        <f t="shared" si="291"/>
        <v/>
      </c>
      <c r="O602" s="65" t="str">
        <f t="shared" si="292"/>
        <v/>
      </c>
      <c r="P602" s="65" t="str">
        <f t="shared" si="292"/>
        <v/>
      </c>
      <c r="Q602" s="38"/>
      <c r="R602" s="3" t="str">
        <f t="shared" si="294"/>
        <v>Virudhunagar</v>
      </c>
      <c r="S602" s="3" t="str">
        <f t="shared" si="293"/>
        <v>Kariapatti</v>
      </c>
      <c r="T602" s="3" t="str">
        <f t="shared" si="293"/>
        <v>Narikudi</v>
      </c>
      <c r="U602" s="3" t="str">
        <f t="shared" si="284"/>
        <v>Virudhunagar_Kariapatti_Narikudi</v>
      </c>
      <c r="V602" s="3">
        <f>IF(_xlfn.XLOOKUP($U602,GCA!$H$3:$H$593,GCA!E$3:E$593,"",0,1)="","",_xlfn.XLOOKUP($U602,GCA!$H$3:$H$593,GCA!E$3:E$593,"",0,1))</f>
        <v>106.67</v>
      </c>
      <c r="W602" s="3">
        <f>IF(_xlfn.XLOOKUP($U602,GCA!$H$3:$H$593,GCA!F$3:F$593,"",0,1)="","",_xlfn.XLOOKUP($U602,GCA!$H$3:$H$593,GCA!F$3:F$593,"",0,1))</f>
        <v>137.83000000000001</v>
      </c>
      <c r="X602" s="3">
        <f>IF(_xlfn.XLOOKUP($U602,GCA!$H$3:$H$593,GCA!G$3:G$593,"",0,1)="","",_xlfn.XLOOKUP($U602,GCA!$H$3:$H$593,GCA!G$3:G$593,"",0,1))</f>
        <v>125.45</v>
      </c>
    </row>
    <row r="603" spans="1:24" ht="13.2">
      <c r="A603" s="49"/>
      <c r="B603" s="49"/>
      <c r="C603" s="48"/>
      <c r="D603" s="49"/>
      <c r="E603" s="50">
        <v>2</v>
      </c>
      <c r="F603" s="26" t="s">
        <v>984</v>
      </c>
      <c r="G603" s="26" t="s">
        <v>984</v>
      </c>
      <c r="H603" s="27">
        <f t="shared" si="288"/>
        <v>15791.19</v>
      </c>
      <c r="I603" s="27">
        <f t="shared" si="288"/>
        <v>16131.235000000001</v>
      </c>
      <c r="J603" s="27">
        <f t="shared" si="288"/>
        <v>15914.39</v>
      </c>
      <c r="K603" s="27">
        <f t="shared" si="289"/>
        <v>15945.605000000001</v>
      </c>
      <c r="L603" s="65">
        <f>SUM(K603:K611)</f>
        <v>45808.181666666664</v>
      </c>
      <c r="M603" s="67">
        <f t="shared" si="290"/>
        <v>1.9227542435395533</v>
      </c>
      <c r="N603" s="65">
        <f t="shared" si="291"/>
        <v>2</v>
      </c>
      <c r="O603" s="65">
        <f t="shared" si="292"/>
        <v>2</v>
      </c>
      <c r="P603" s="65">
        <f t="shared" si="292"/>
        <v>2</v>
      </c>
      <c r="Q603" s="38"/>
      <c r="R603" s="3" t="str">
        <f t="shared" si="294"/>
        <v>Virudhunagar</v>
      </c>
      <c r="S603" s="3" t="str">
        <f t="shared" si="293"/>
        <v>Rajapalayam</v>
      </c>
      <c r="T603" s="3" t="str">
        <f t="shared" si="293"/>
        <v>Rajapalayam</v>
      </c>
      <c r="U603" s="3" t="str">
        <f t="shared" si="284"/>
        <v>Virudhunagar_Rajapalayam_Rajapalayam</v>
      </c>
      <c r="V603" s="3">
        <f>IF(_xlfn.XLOOKUP($U603,GCA!$H$3:$H$593,GCA!E$3:E$593,"",0,1)="","",_xlfn.XLOOKUP($U603,GCA!$H$3:$H$593,GCA!E$3:E$593,"",0,1))</f>
        <v>15791.19</v>
      </c>
      <c r="W603" s="3">
        <f>IF(_xlfn.XLOOKUP($U603,GCA!$H$3:$H$593,GCA!F$3:F$593,"",0,1)="","",_xlfn.XLOOKUP($U603,GCA!$H$3:$H$593,GCA!F$3:F$593,"",0,1))</f>
        <v>16131.235000000001</v>
      </c>
      <c r="X603" s="3">
        <f>IF(_xlfn.XLOOKUP($U603,GCA!$H$3:$H$593,GCA!G$3:G$593,"",0,1)="","",_xlfn.XLOOKUP($U603,GCA!$H$3:$H$593,GCA!G$3:G$593,"",0,1))</f>
        <v>15914.39</v>
      </c>
    </row>
    <row r="604" spans="1:24" ht="13.2">
      <c r="A604" s="49"/>
      <c r="B604" s="49"/>
      <c r="C604" s="48"/>
      <c r="D604" s="49"/>
      <c r="E604" s="50"/>
      <c r="F604" s="26" t="s">
        <v>984</v>
      </c>
      <c r="G604" s="26" t="s">
        <v>985</v>
      </c>
      <c r="H604" s="27">
        <f t="shared" si="288"/>
        <v>551.19500000000005</v>
      </c>
      <c r="I604" s="27">
        <f t="shared" si="288"/>
        <v>490.90499999999997</v>
      </c>
      <c r="J604" s="27">
        <f t="shared" si="288"/>
        <v>533.98500000000001</v>
      </c>
      <c r="K604" s="27">
        <f t="shared" si="289"/>
        <v>525.36166666666668</v>
      </c>
      <c r="L604" s="65"/>
      <c r="M604" s="67">
        <f t="shared" si="290"/>
        <v>0</v>
      </c>
      <c r="N604" s="65" t="str">
        <f t="shared" si="291"/>
        <v/>
      </c>
      <c r="O604" s="65" t="str">
        <f t="shared" si="292"/>
        <v/>
      </c>
      <c r="P604" s="65" t="str">
        <f t="shared" si="292"/>
        <v/>
      </c>
      <c r="Q604" s="38"/>
      <c r="R604" s="3" t="str">
        <f t="shared" si="294"/>
        <v>Virudhunagar</v>
      </c>
      <c r="S604" s="3" t="str">
        <f t="shared" si="293"/>
        <v>Rajapalayam</v>
      </c>
      <c r="T604" s="3" t="str">
        <f t="shared" si="293"/>
        <v>Srivilliputtur</v>
      </c>
      <c r="U604" s="3" t="str">
        <f t="shared" si="284"/>
        <v>Virudhunagar_Rajapalayam_Srivilliputtur</v>
      </c>
      <c r="V604" s="3">
        <f>IF(_xlfn.XLOOKUP($U604,GCA!$H$3:$H$593,GCA!E$3:E$593,"",0,1)="","",_xlfn.XLOOKUP($U604,GCA!$H$3:$H$593,GCA!E$3:E$593,"",0,1))</f>
        <v>551.19500000000005</v>
      </c>
      <c r="W604" s="3">
        <f>IF(_xlfn.XLOOKUP($U604,GCA!$H$3:$H$593,GCA!F$3:F$593,"",0,1)="","",_xlfn.XLOOKUP($U604,GCA!$H$3:$H$593,GCA!F$3:F$593,"",0,1))</f>
        <v>490.90499999999997</v>
      </c>
      <c r="X604" s="3">
        <f>IF(_xlfn.XLOOKUP($U604,GCA!$H$3:$H$593,GCA!G$3:G$593,"",0,1)="","",_xlfn.XLOOKUP($U604,GCA!$H$3:$H$593,GCA!G$3:G$593,"",0,1))</f>
        <v>533.98500000000001</v>
      </c>
    </row>
    <row r="605" spans="1:24" ht="13.2">
      <c r="A605" s="49"/>
      <c r="B605" s="49"/>
      <c r="C605" s="48"/>
      <c r="D605" s="49"/>
      <c r="E605" s="50"/>
      <c r="F605" s="26" t="s">
        <v>986</v>
      </c>
      <c r="G605" s="26" t="s">
        <v>986</v>
      </c>
      <c r="H605" s="27">
        <f t="shared" si="288"/>
        <v>11612.26</v>
      </c>
      <c r="I605" s="27">
        <f t="shared" si="288"/>
        <v>12113.695</v>
      </c>
      <c r="J605" s="27">
        <f t="shared" si="288"/>
        <v>12090.03</v>
      </c>
      <c r="K605" s="27">
        <f t="shared" si="289"/>
        <v>11938.661666666667</v>
      </c>
      <c r="L605" s="65"/>
      <c r="M605" s="67">
        <f t="shared" si="290"/>
        <v>0</v>
      </c>
      <c r="N605" s="65" t="str">
        <f t="shared" si="291"/>
        <v/>
      </c>
      <c r="O605" s="65" t="str">
        <f t="shared" si="292"/>
        <v/>
      </c>
      <c r="P605" s="65" t="str">
        <f t="shared" si="292"/>
        <v/>
      </c>
      <c r="Q605" s="38"/>
      <c r="R605" s="3" t="str">
        <f t="shared" si="294"/>
        <v>Virudhunagar</v>
      </c>
      <c r="S605" s="3" t="str">
        <f t="shared" si="293"/>
        <v>Sattur</v>
      </c>
      <c r="T605" s="3" t="str">
        <f t="shared" si="293"/>
        <v>Sattur</v>
      </c>
      <c r="U605" s="3" t="str">
        <f t="shared" si="284"/>
        <v>Virudhunagar_Sattur_Sattur</v>
      </c>
      <c r="V605" s="3">
        <f>IF(_xlfn.XLOOKUP($U605,GCA!$H$3:$H$593,GCA!E$3:E$593,"",0,1)="","",_xlfn.XLOOKUP($U605,GCA!$H$3:$H$593,GCA!E$3:E$593,"",0,1))</f>
        <v>11612.26</v>
      </c>
      <c r="W605" s="3">
        <f>IF(_xlfn.XLOOKUP($U605,GCA!$H$3:$H$593,GCA!F$3:F$593,"",0,1)="","",_xlfn.XLOOKUP($U605,GCA!$H$3:$H$593,GCA!F$3:F$593,"",0,1))</f>
        <v>12113.695</v>
      </c>
      <c r="X605" s="3">
        <f>IF(_xlfn.XLOOKUP($U605,GCA!$H$3:$H$593,GCA!G$3:G$593,"",0,1)="","",_xlfn.XLOOKUP($U605,GCA!$H$3:$H$593,GCA!G$3:G$593,"",0,1))</f>
        <v>12090.03</v>
      </c>
    </row>
    <row r="606" spans="1:24" ht="13.2">
      <c r="A606" s="49"/>
      <c r="B606" s="49"/>
      <c r="C606" s="48"/>
      <c r="D606" s="49"/>
      <c r="E606" s="50"/>
      <c r="F606" s="26" t="s">
        <v>986</v>
      </c>
      <c r="G606" s="26" t="s">
        <v>248</v>
      </c>
      <c r="H606" s="27">
        <f t="shared" si="288"/>
        <v>636.07500000000005</v>
      </c>
      <c r="I606" s="27">
        <f t="shared" si="288"/>
        <v>761.23</v>
      </c>
      <c r="J606" s="27">
        <f t="shared" si="288"/>
        <v>763.64</v>
      </c>
      <c r="K606" s="27">
        <f t="shared" si="289"/>
        <v>720.31500000000005</v>
      </c>
      <c r="L606" s="65"/>
      <c r="M606" s="67">
        <f t="shared" si="290"/>
        <v>0</v>
      </c>
      <c r="N606" s="65" t="str">
        <f t="shared" si="291"/>
        <v/>
      </c>
      <c r="O606" s="65" t="str">
        <f t="shared" si="292"/>
        <v/>
      </c>
      <c r="P606" s="65" t="str">
        <f t="shared" si="292"/>
        <v/>
      </c>
      <c r="Q606" s="38"/>
      <c r="R606" s="3" t="str">
        <f t="shared" si="294"/>
        <v>Virudhunagar</v>
      </c>
      <c r="S606" s="3" t="str">
        <f t="shared" si="293"/>
        <v>Sattur</v>
      </c>
      <c r="T606" s="3" t="str">
        <f t="shared" si="293"/>
        <v>Virudhunagar</v>
      </c>
      <c r="U606" s="3" t="str">
        <f t="shared" si="284"/>
        <v>Virudhunagar_Sattur_Virudhunagar</v>
      </c>
      <c r="V606" s="3">
        <f>IF(_xlfn.XLOOKUP($U606,GCA!$H$3:$H$593,GCA!E$3:E$593,"",0,1)="","",_xlfn.XLOOKUP($U606,GCA!$H$3:$H$593,GCA!E$3:E$593,"",0,1))</f>
        <v>636.07500000000005</v>
      </c>
      <c r="W606" s="3">
        <f>IF(_xlfn.XLOOKUP($U606,GCA!$H$3:$H$593,GCA!F$3:F$593,"",0,1)="","",_xlfn.XLOOKUP($U606,GCA!$H$3:$H$593,GCA!F$3:F$593,"",0,1))</f>
        <v>761.23</v>
      </c>
      <c r="X606" s="3">
        <f>IF(_xlfn.XLOOKUP($U606,GCA!$H$3:$H$593,GCA!G$3:G$593,"",0,1)="","",_xlfn.XLOOKUP($U606,GCA!$H$3:$H$593,GCA!G$3:G$593,"",0,1))</f>
        <v>763.64</v>
      </c>
    </row>
    <row r="607" spans="1:24" ht="13.2">
      <c r="A607" s="49"/>
      <c r="B607" s="49"/>
      <c r="C607" s="48"/>
      <c r="D607" s="49"/>
      <c r="E607" s="50"/>
      <c r="F607" s="26" t="s">
        <v>987</v>
      </c>
      <c r="G607" s="26" t="s">
        <v>987</v>
      </c>
      <c r="H607" s="27">
        <f t="shared" si="288"/>
        <v>6477.2650000000003</v>
      </c>
      <c r="I607" s="27">
        <f t="shared" si="288"/>
        <v>6672.125</v>
      </c>
      <c r="J607" s="27">
        <f t="shared" si="288"/>
        <v>6591.17</v>
      </c>
      <c r="K607" s="27">
        <f t="shared" si="289"/>
        <v>6580.1866666666656</v>
      </c>
      <c r="L607" s="65"/>
      <c r="M607" s="67">
        <f t="shared" si="290"/>
        <v>0</v>
      </c>
      <c r="N607" s="65" t="str">
        <f t="shared" si="291"/>
        <v/>
      </c>
      <c r="O607" s="65" t="str">
        <f t="shared" si="292"/>
        <v/>
      </c>
      <c r="P607" s="65" t="str">
        <f t="shared" si="292"/>
        <v/>
      </c>
      <c r="Q607" s="38"/>
      <c r="R607" s="3" t="str">
        <f t="shared" si="294"/>
        <v>Virudhunagar</v>
      </c>
      <c r="S607" s="3" t="str">
        <f t="shared" si="293"/>
        <v>Sivakasi</v>
      </c>
      <c r="T607" s="3" t="str">
        <f t="shared" si="293"/>
        <v>Sivakasi</v>
      </c>
      <c r="U607" s="3" t="str">
        <f t="shared" si="284"/>
        <v>Virudhunagar_Sivakasi_Sivakasi</v>
      </c>
      <c r="V607" s="3">
        <f>IF(_xlfn.XLOOKUP($U607,GCA!$H$3:$H$593,GCA!E$3:E$593,"",0,1)="","",_xlfn.XLOOKUP($U607,GCA!$H$3:$H$593,GCA!E$3:E$593,"",0,1))</f>
        <v>6477.2650000000003</v>
      </c>
      <c r="W607" s="3">
        <f>IF(_xlfn.XLOOKUP($U607,GCA!$H$3:$H$593,GCA!F$3:F$593,"",0,1)="","",_xlfn.XLOOKUP($U607,GCA!$H$3:$H$593,GCA!F$3:F$593,"",0,1))</f>
        <v>6672.125</v>
      </c>
      <c r="X607" s="3">
        <f>IF(_xlfn.XLOOKUP($U607,GCA!$H$3:$H$593,GCA!G$3:G$593,"",0,1)="","",_xlfn.XLOOKUP($U607,GCA!$H$3:$H$593,GCA!G$3:G$593,"",0,1))</f>
        <v>6591.17</v>
      </c>
    </row>
    <row r="608" spans="1:24" ht="13.2">
      <c r="A608" s="49"/>
      <c r="B608" s="49"/>
      <c r="C608" s="48"/>
      <c r="D608" s="49"/>
      <c r="E608" s="50"/>
      <c r="F608" s="26" t="s">
        <v>987</v>
      </c>
      <c r="G608" s="26" t="s">
        <v>985</v>
      </c>
      <c r="H608" s="27">
        <f t="shared" si="288"/>
        <v>4.8</v>
      </c>
      <c r="I608" s="27">
        <f t="shared" si="288"/>
        <v>8.1300000000000008</v>
      </c>
      <c r="J608" s="27">
        <f t="shared" si="288"/>
        <v>7.4</v>
      </c>
      <c r="K608" s="27">
        <f t="shared" si="289"/>
        <v>6.7766666666666664</v>
      </c>
      <c r="L608" s="65"/>
      <c r="M608" s="67">
        <f t="shared" si="290"/>
        <v>0</v>
      </c>
      <c r="N608" s="65" t="str">
        <f t="shared" si="291"/>
        <v/>
      </c>
      <c r="O608" s="65" t="str">
        <f t="shared" si="292"/>
        <v/>
      </c>
      <c r="P608" s="65" t="str">
        <f t="shared" si="292"/>
        <v/>
      </c>
      <c r="Q608" s="38"/>
      <c r="R608" s="3" t="str">
        <f t="shared" si="294"/>
        <v>Virudhunagar</v>
      </c>
      <c r="S608" s="3" t="str">
        <f t="shared" si="293"/>
        <v>Sivakasi</v>
      </c>
      <c r="T608" s="3" t="str">
        <f t="shared" si="293"/>
        <v>Srivilliputtur</v>
      </c>
      <c r="U608" s="3" t="str">
        <f t="shared" si="284"/>
        <v>Virudhunagar_Sivakasi_Srivilliputtur</v>
      </c>
      <c r="V608" s="3">
        <f>IF(_xlfn.XLOOKUP($U608,GCA!$H$3:$H$593,GCA!E$3:E$593,"",0,1)="","",_xlfn.XLOOKUP($U608,GCA!$H$3:$H$593,GCA!E$3:E$593,"",0,1))</f>
        <v>4.8</v>
      </c>
      <c r="W608" s="3">
        <f>IF(_xlfn.XLOOKUP($U608,GCA!$H$3:$H$593,GCA!F$3:F$593,"",0,1)="","",_xlfn.XLOOKUP($U608,GCA!$H$3:$H$593,GCA!F$3:F$593,"",0,1))</f>
        <v>8.1300000000000008</v>
      </c>
      <c r="X608" s="3">
        <f>IF(_xlfn.XLOOKUP($U608,GCA!$H$3:$H$593,GCA!G$3:G$593,"",0,1)="","",_xlfn.XLOOKUP($U608,GCA!$H$3:$H$593,GCA!G$3:G$593,"",0,1))</f>
        <v>7.4</v>
      </c>
    </row>
    <row r="609" spans="1:24" ht="13.2">
      <c r="A609" s="49"/>
      <c r="B609" s="49"/>
      <c r="C609" s="48"/>
      <c r="D609" s="49"/>
      <c r="E609" s="50"/>
      <c r="F609" s="26" t="s">
        <v>987</v>
      </c>
      <c r="G609" s="26" t="s">
        <v>988</v>
      </c>
      <c r="H609" s="27">
        <f t="shared" si="288"/>
        <v>1520.0650000000001</v>
      </c>
      <c r="I609" s="27">
        <f t="shared" si="288"/>
        <v>1366.24</v>
      </c>
      <c r="J609" s="27">
        <f t="shared" si="288"/>
        <v>1279.04</v>
      </c>
      <c r="K609" s="27">
        <f t="shared" si="289"/>
        <v>1388.4483333333335</v>
      </c>
      <c r="L609" s="65"/>
      <c r="M609" s="67">
        <f t="shared" si="290"/>
        <v>0</v>
      </c>
      <c r="N609" s="65" t="str">
        <f t="shared" si="291"/>
        <v/>
      </c>
      <c r="O609" s="65" t="str">
        <f t="shared" si="292"/>
        <v/>
      </c>
      <c r="P609" s="65" t="str">
        <f t="shared" si="292"/>
        <v/>
      </c>
      <c r="Q609" s="38"/>
      <c r="R609" s="3" t="str">
        <f t="shared" si="294"/>
        <v>Virudhunagar</v>
      </c>
      <c r="S609" s="3" t="str">
        <f t="shared" si="293"/>
        <v>Sivakasi</v>
      </c>
      <c r="T609" s="3" t="str">
        <f t="shared" si="293"/>
        <v>Vembakottai</v>
      </c>
      <c r="U609" s="3" t="str">
        <f t="shared" si="284"/>
        <v>Virudhunagar_Sivakasi_Vembakottai</v>
      </c>
      <c r="V609" s="3">
        <f>IF(_xlfn.XLOOKUP($U609,GCA!$H$3:$H$593,GCA!E$3:E$593,"",0,1)="","",_xlfn.XLOOKUP($U609,GCA!$H$3:$H$593,GCA!E$3:E$593,"",0,1))</f>
        <v>1520.0650000000001</v>
      </c>
      <c r="W609" s="3">
        <f>IF(_xlfn.XLOOKUP($U609,GCA!$H$3:$H$593,GCA!F$3:F$593,"",0,1)="","",_xlfn.XLOOKUP($U609,GCA!$H$3:$H$593,GCA!F$3:F$593,"",0,1))</f>
        <v>1366.24</v>
      </c>
      <c r="X609" s="3">
        <f>IF(_xlfn.XLOOKUP($U609,GCA!$H$3:$H$593,GCA!G$3:G$593,"",0,1)="","",_xlfn.XLOOKUP($U609,GCA!$H$3:$H$593,GCA!G$3:G$593,"",0,1))</f>
        <v>1279.04</v>
      </c>
    </row>
    <row r="610" spans="1:24" ht="13.2">
      <c r="A610" s="49"/>
      <c r="B610" s="49"/>
      <c r="C610" s="48"/>
      <c r="D610" s="49"/>
      <c r="E610" s="50"/>
      <c r="F610" s="26" t="s">
        <v>985</v>
      </c>
      <c r="G610" s="26" t="s">
        <v>985</v>
      </c>
      <c r="H610" s="27">
        <f t="shared" si="288"/>
        <v>8872.25</v>
      </c>
      <c r="I610" s="27">
        <f t="shared" si="288"/>
        <v>8707.25</v>
      </c>
      <c r="J610" s="27">
        <f t="shared" si="288"/>
        <v>8429.6049999999996</v>
      </c>
      <c r="K610" s="27">
        <f t="shared" si="289"/>
        <v>8669.7016666666659</v>
      </c>
      <c r="L610" s="65"/>
      <c r="M610" s="67">
        <f t="shared" si="290"/>
        <v>0</v>
      </c>
      <c r="N610" s="65" t="str">
        <f t="shared" si="291"/>
        <v/>
      </c>
      <c r="O610" s="65" t="str">
        <f t="shared" si="292"/>
        <v/>
      </c>
      <c r="P610" s="65" t="str">
        <f t="shared" si="292"/>
        <v/>
      </c>
      <c r="Q610" s="38"/>
      <c r="R610" s="3" t="str">
        <f t="shared" si="294"/>
        <v>Virudhunagar</v>
      </c>
      <c r="S610" s="3" t="str">
        <f t="shared" si="293"/>
        <v>Srivilliputtur</v>
      </c>
      <c r="T610" s="3" t="str">
        <f t="shared" si="293"/>
        <v>Srivilliputtur</v>
      </c>
      <c r="U610" s="3" t="str">
        <f t="shared" si="284"/>
        <v>Virudhunagar_Srivilliputtur_Srivilliputtur</v>
      </c>
      <c r="V610" s="3">
        <f>IF(_xlfn.XLOOKUP($U610,GCA!$H$3:$H$593,GCA!E$3:E$593,"",0,1)="","",_xlfn.XLOOKUP($U610,GCA!$H$3:$H$593,GCA!E$3:E$593,"",0,1))</f>
        <v>8872.25</v>
      </c>
      <c r="W610" s="3">
        <f>IF(_xlfn.XLOOKUP($U610,GCA!$H$3:$H$593,GCA!F$3:F$593,"",0,1)="","",_xlfn.XLOOKUP($U610,GCA!$H$3:$H$593,GCA!F$3:F$593,"",0,1))</f>
        <v>8707.25</v>
      </c>
      <c r="X610" s="3">
        <f>IF(_xlfn.XLOOKUP($U610,GCA!$H$3:$H$593,GCA!G$3:G$593,"",0,1)="","",_xlfn.XLOOKUP($U610,GCA!$H$3:$H$593,GCA!G$3:G$593,"",0,1))</f>
        <v>8429.6049999999996</v>
      </c>
    </row>
    <row r="611" spans="1:24" ht="13.2">
      <c r="A611" s="49"/>
      <c r="B611" s="49"/>
      <c r="C611" s="48"/>
      <c r="D611" s="49"/>
      <c r="E611" s="50"/>
      <c r="F611" s="26" t="s">
        <v>985</v>
      </c>
      <c r="G611" s="26" t="s">
        <v>989</v>
      </c>
      <c r="H611" s="27">
        <f t="shared" si="288"/>
        <v>36.869999999999997</v>
      </c>
      <c r="I611" s="27">
        <f t="shared" si="288"/>
        <v>31.475000000000001</v>
      </c>
      <c r="J611" s="27">
        <f t="shared" si="288"/>
        <v>31.03</v>
      </c>
      <c r="K611" s="27">
        <f t="shared" si="289"/>
        <v>33.125</v>
      </c>
      <c r="L611" s="65"/>
      <c r="M611" s="67">
        <f t="shared" si="290"/>
        <v>0</v>
      </c>
      <c r="N611" s="65" t="str">
        <f t="shared" si="291"/>
        <v/>
      </c>
      <c r="O611" s="65" t="str">
        <f t="shared" si="292"/>
        <v/>
      </c>
      <c r="P611" s="65" t="str">
        <f t="shared" si="292"/>
        <v/>
      </c>
      <c r="Q611" s="38"/>
      <c r="R611" s="3" t="str">
        <f t="shared" si="294"/>
        <v>Virudhunagar</v>
      </c>
      <c r="S611" s="3" t="str">
        <f t="shared" si="293"/>
        <v>Srivilliputtur</v>
      </c>
      <c r="T611" s="3" t="str">
        <f t="shared" si="293"/>
        <v>Watrap</v>
      </c>
      <c r="U611" s="3" t="str">
        <f t="shared" si="284"/>
        <v>Virudhunagar_Srivilliputtur_Watrap</v>
      </c>
      <c r="V611" s="3">
        <f>IF(_xlfn.XLOOKUP($U611,GCA!$H$3:$H$593,GCA!E$3:E$593,"",0,1)="","",_xlfn.XLOOKUP($U611,GCA!$H$3:$H$593,GCA!E$3:E$593,"",0,1))</f>
        <v>36.869999999999997</v>
      </c>
      <c r="W611" s="3">
        <f>IF(_xlfn.XLOOKUP($U611,GCA!$H$3:$H$593,GCA!F$3:F$593,"",0,1)="","",_xlfn.XLOOKUP($U611,GCA!$H$3:$H$593,GCA!F$3:F$593,"",0,1))</f>
        <v>31.475000000000001</v>
      </c>
      <c r="X611" s="3">
        <f>IF(_xlfn.XLOOKUP($U611,GCA!$H$3:$H$593,GCA!G$3:G$593,"",0,1)="","",_xlfn.XLOOKUP($U611,GCA!$H$3:$H$593,GCA!G$3:G$593,"",0,1))</f>
        <v>31.03</v>
      </c>
    </row>
    <row r="612" spans="1:24" ht="13.2">
      <c r="A612" s="49"/>
      <c r="B612" s="49"/>
      <c r="C612" s="48"/>
      <c r="D612" s="49"/>
      <c r="E612" s="50">
        <v>3</v>
      </c>
      <c r="F612" s="26" t="s">
        <v>981</v>
      </c>
      <c r="G612" s="26" t="s">
        <v>982</v>
      </c>
      <c r="H612" s="27">
        <f t="shared" si="288"/>
        <v>179.315</v>
      </c>
      <c r="I612" s="27">
        <f t="shared" si="288"/>
        <v>207.755</v>
      </c>
      <c r="J612" s="27">
        <f t="shared" si="288"/>
        <v>171.96</v>
      </c>
      <c r="K612" s="27">
        <f t="shared" si="289"/>
        <v>186.34333333333333</v>
      </c>
      <c r="L612" s="65">
        <f>SUM(K612:K620)</f>
        <v>52647.806666666671</v>
      </c>
      <c r="M612" s="67">
        <f t="shared" si="290"/>
        <v>2.2098409061070567</v>
      </c>
      <c r="N612" s="65">
        <f t="shared" si="291"/>
        <v>2</v>
      </c>
      <c r="O612" s="65">
        <f t="shared" si="292"/>
        <v>2</v>
      </c>
      <c r="P612" s="65">
        <f t="shared" si="292"/>
        <v>2</v>
      </c>
      <c r="Q612" s="38"/>
      <c r="R612" s="3" t="str">
        <f t="shared" si="294"/>
        <v>Virudhunagar</v>
      </c>
      <c r="S612" s="3" t="str">
        <f t="shared" si="293"/>
        <v>Thiruchuli</v>
      </c>
      <c r="T612" s="3" t="str">
        <f t="shared" si="293"/>
        <v>Kariapatti</v>
      </c>
      <c r="U612" s="3" t="str">
        <f t="shared" si="284"/>
        <v>Virudhunagar_Thiruchuli_Kariapatti</v>
      </c>
      <c r="V612" s="3">
        <f>IF(_xlfn.XLOOKUP($U612,GCA!$H$3:$H$593,GCA!E$3:E$593,"",0,1)="","",_xlfn.XLOOKUP($U612,GCA!$H$3:$H$593,GCA!E$3:E$593,"",0,1))</f>
        <v>179.315</v>
      </c>
      <c r="W612" s="3">
        <f>IF(_xlfn.XLOOKUP($U612,GCA!$H$3:$H$593,GCA!F$3:F$593,"",0,1)="","",_xlfn.XLOOKUP($U612,GCA!$H$3:$H$593,GCA!F$3:F$593,"",0,1))</f>
        <v>207.755</v>
      </c>
      <c r="X612" s="3">
        <f>IF(_xlfn.XLOOKUP($U612,GCA!$H$3:$H$593,GCA!G$3:G$593,"",0,1)="","",_xlfn.XLOOKUP($U612,GCA!$H$3:$H$593,GCA!G$3:G$593,"",0,1))</f>
        <v>171.96</v>
      </c>
    </row>
    <row r="613" spans="1:24" ht="13.2">
      <c r="A613" s="49"/>
      <c r="B613" s="49"/>
      <c r="C613" s="48"/>
      <c r="D613" s="49"/>
      <c r="E613" s="50"/>
      <c r="F613" s="26" t="s">
        <v>981</v>
      </c>
      <c r="G613" s="26" t="s">
        <v>983</v>
      </c>
      <c r="H613" s="27">
        <f t="shared" si="288"/>
        <v>12086.264999999999</v>
      </c>
      <c r="I613" s="27">
        <f t="shared" si="288"/>
        <v>12860.305</v>
      </c>
      <c r="J613" s="27">
        <f t="shared" si="288"/>
        <v>12836.715</v>
      </c>
      <c r="K613" s="27">
        <f t="shared" si="289"/>
        <v>12594.428333333335</v>
      </c>
      <c r="L613" s="65"/>
      <c r="M613" s="67">
        <f t="shared" si="290"/>
        <v>0</v>
      </c>
      <c r="N613" s="65" t="str">
        <f t="shared" si="291"/>
        <v/>
      </c>
      <c r="O613" s="65" t="str">
        <f t="shared" si="292"/>
        <v/>
      </c>
      <c r="P613" s="65" t="str">
        <f t="shared" si="292"/>
        <v/>
      </c>
      <c r="Q613" s="38"/>
      <c r="R613" s="3" t="str">
        <f t="shared" si="294"/>
        <v>Virudhunagar</v>
      </c>
      <c r="S613" s="3" t="str">
        <f t="shared" si="293"/>
        <v>Thiruchuli</v>
      </c>
      <c r="T613" s="3" t="str">
        <f t="shared" si="293"/>
        <v>Narikudi</v>
      </c>
      <c r="U613" s="3" t="str">
        <f t="shared" si="284"/>
        <v>Virudhunagar_Thiruchuli_Narikudi</v>
      </c>
      <c r="V613" s="3">
        <f>IF(_xlfn.XLOOKUP($U613,GCA!$H$3:$H$593,GCA!E$3:E$593,"",0,1)="","",_xlfn.XLOOKUP($U613,GCA!$H$3:$H$593,GCA!E$3:E$593,"",0,1))</f>
        <v>12086.264999999999</v>
      </c>
      <c r="W613" s="3">
        <f>IF(_xlfn.XLOOKUP($U613,GCA!$H$3:$H$593,GCA!F$3:F$593,"",0,1)="","",_xlfn.XLOOKUP($U613,GCA!$H$3:$H$593,GCA!F$3:F$593,"",0,1))</f>
        <v>12860.305</v>
      </c>
      <c r="X613" s="3">
        <f>IF(_xlfn.XLOOKUP($U613,GCA!$H$3:$H$593,GCA!G$3:G$593,"",0,1)="","",_xlfn.XLOOKUP($U613,GCA!$H$3:$H$593,GCA!G$3:G$593,"",0,1))</f>
        <v>12836.715</v>
      </c>
    </row>
    <row r="614" spans="1:24" ht="13.2">
      <c r="A614" s="49"/>
      <c r="B614" s="49"/>
      <c r="C614" s="48"/>
      <c r="D614" s="49"/>
      <c r="E614" s="50"/>
      <c r="F614" s="26" t="s">
        <v>981</v>
      </c>
      <c r="G614" s="26" t="s">
        <v>981</v>
      </c>
      <c r="H614" s="27">
        <f t="shared" si="288"/>
        <v>3401.47</v>
      </c>
      <c r="I614" s="27">
        <f t="shared" si="288"/>
        <v>3482.83</v>
      </c>
      <c r="J614" s="27">
        <f t="shared" si="288"/>
        <v>3463.5050000000001</v>
      </c>
      <c r="K614" s="27">
        <f t="shared" si="289"/>
        <v>3449.2683333333334</v>
      </c>
      <c r="L614" s="65"/>
      <c r="M614" s="67">
        <f t="shared" si="290"/>
        <v>0</v>
      </c>
      <c r="N614" s="65" t="str">
        <f t="shared" si="291"/>
        <v/>
      </c>
      <c r="O614" s="65" t="str">
        <f t="shared" si="292"/>
        <v/>
      </c>
      <c r="P614" s="65" t="str">
        <f t="shared" si="292"/>
        <v/>
      </c>
      <c r="Q614" s="38"/>
      <c r="R614" s="3" t="str">
        <f t="shared" si="294"/>
        <v>Virudhunagar</v>
      </c>
      <c r="S614" s="3" t="str">
        <f t="shared" si="293"/>
        <v>Thiruchuli</v>
      </c>
      <c r="T614" s="3" t="str">
        <f t="shared" si="293"/>
        <v>Thiruchuli</v>
      </c>
      <c r="U614" s="3" t="str">
        <f t="shared" si="284"/>
        <v>Virudhunagar_Thiruchuli_Thiruchuli</v>
      </c>
      <c r="V614" s="3">
        <f>IF(_xlfn.XLOOKUP($U614,GCA!$H$3:$H$593,GCA!E$3:E$593,"",0,1)="","",_xlfn.XLOOKUP($U614,GCA!$H$3:$H$593,GCA!E$3:E$593,"",0,1))</f>
        <v>3401.47</v>
      </c>
      <c r="W614" s="3">
        <f>IF(_xlfn.XLOOKUP($U614,GCA!$H$3:$H$593,GCA!F$3:F$593,"",0,1)="","",_xlfn.XLOOKUP($U614,GCA!$H$3:$H$593,GCA!F$3:F$593,"",0,1))</f>
        <v>3482.83</v>
      </c>
      <c r="X614" s="3">
        <f>IF(_xlfn.XLOOKUP($U614,GCA!$H$3:$H$593,GCA!G$3:G$593,"",0,1)="","",_xlfn.XLOOKUP($U614,GCA!$H$3:$H$593,GCA!G$3:G$593,"",0,1))</f>
        <v>3463.5050000000001</v>
      </c>
    </row>
    <row r="615" spans="1:24" ht="13.2">
      <c r="A615" s="49"/>
      <c r="B615" s="49"/>
      <c r="C615" s="48"/>
      <c r="D615" s="49"/>
      <c r="E615" s="50"/>
      <c r="F615" s="26" t="s">
        <v>990</v>
      </c>
      <c r="G615" s="26" t="s">
        <v>985</v>
      </c>
      <c r="H615" s="27">
        <f t="shared" si="288"/>
        <v>40.200000000000003</v>
      </c>
      <c r="I615" s="27">
        <f t="shared" si="288"/>
        <v>60.75</v>
      </c>
      <c r="J615" s="27">
        <f t="shared" si="288"/>
        <v>38.369999999999997</v>
      </c>
      <c r="K615" s="27">
        <f t="shared" si="289"/>
        <v>46.44</v>
      </c>
      <c r="L615" s="65"/>
      <c r="M615" s="67">
        <f t="shared" si="290"/>
        <v>0</v>
      </c>
      <c r="N615" s="65" t="str">
        <f t="shared" si="291"/>
        <v/>
      </c>
      <c r="O615" s="65" t="str">
        <f t="shared" ref="O615:P620" si="295">N615</f>
        <v/>
      </c>
      <c r="P615" s="65" t="str">
        <f t="shared" si="295"/>
        <v/>
      </c>
      <c r="Q615" s="38"/>
      <c r="R615" s="3" t="str">
        <f t="shared" si="294"/>
        <v>Virudhunagar</v>
      </c>
      <c r="S615" s="3" t="str">
        <f t="shared" si="293"/>
        <v>Vathirayiruppu</v>
      </c>
      <c r="T615" s="3" t="str">
        <f t="shared" si="293"/>
        <v>Srivilliputtur</v>
      </c>
      <c r="U615" s="3" t="str">
        <f t="shared" si="284"/>
        <v>Virudhunagar_Vathirayiruppu_Srivilliputtur</v>
      </c>
      <c r="V615" s="3">
        <f>IF(_xlfn.XLOOKUP($U615,GCA!$H$3:$H$593,GCA!E$3:E$593,"",0,1)="","",_xlfn.XLOOKUP($U615,GCA!$H$3:$H$593,GCA!E$3:E$593,"",0,1))</f>
        <v>40.200000000000003</v>
      </c>
      <c r="W615" s="3">
        <f>IF(_xlfn.XLOOKUP($U615,GCA!$H$3:$H$593,GCA!F$3:F$593,"",0,1)="","",_xlfn.XLOOKUP($U615,GCA!$H$3:$H$593,GCA!F$3:F$593,"",0,1))</f>
        <v>60.75</v>
      </c>
      <c r="X615" s="3">
        <f>IF(_xlfn.XLOOKUP($U615,GCA!$H$3:$H$593,GCA!G$3:G$593,"",0,1)="","",_xlfn.XLOOKUP($U615,GCA!$H$3:$H$593,GCA!G$3:G$593,"",0,1))</f>
        <v>38.369999999999997</v>
      </c>
    </row>
    <row r="616" spans="1:24" ht="13.2">
      <c r="A616" s="49"/>
      <c r="B616" s="49"/>
      <c r="C616" s="48"/>
      <c r="D616" s="49"/>
      <c r="E616" s="50"/>
      <c r="F616" s="26" t="s">
        <v>990</v>
      </c>
      <c r="G616" s="26" t="s">
        <v>989</v>
      </c>
      <c r="H616" s="27">
        <f t="shared" si="288"/>
        <v>14284.31</v>
      </c>
      <c r="I616" s="27">
        <f t="shared" si="288"/>
        <v>13882.705</v>
      </c>
      <c r="J616" s="27">
        <f t="shared" si="288"/>
        <v>14600.33</v>
      </c>
      <c r="K616" s="27">
        <f t="shared" si="289"/>
        <v>14255.781666666668</v>
      </c>
      <c r="L616" s="65"/>
      <c r="M616" s="67">
        <f t="shared" si="290"/>
        <v>0</v>
      </c>
      <c r="N616" s="65" t="str">
        <f t="shared" si="291"/>
        <v/>
      </c>
      <c r="O616" s="65" t="str">
        <f t="shared" si="295"/>
        <v/>
      </c>
      <c r="P616" s="65" t="str">
        <f t="shared" si="295"/>
        <v/>
      </c>
      <c r="Q616" s="38"/>
      <c r="R616" s="3" t="str">
        <f t="shared" si="294"/>
        <v>Virudhunagar</v>
      </c>
      <c r="S616" s="3" t="str">
        <f t="shared" si="293"/>
        <v>Vathirayiruppu</v>
      </c>
      <c r="T616" s="3" t="str">
        <f t="shared" si="293"/>
        <v>Watrap</v>
      </c>
      <c r="U616" s="3" t="str">
        <f t="shared" si="284"/>
        <v>Virudhunagar_Vathirayiruppu_Watrap</v>
      </c>
      <c r="V616" s="3">
        <f>IF(_xlfn.XLOOKUP($U616,GCA!$H$3:$H$593,GCA!E$3:E$593,"",0,1)="","",_xlfn.XLOOKUP($U616,GCA!$H$3:$H$593,GCA!E$3:E$593,"",0,1))</f>
        <v>14284.31</v>
      </c>
      <c r="W616" s="3">
        <f>IF(_xlfn.XLOOKUP($U616,GCA!$H$3:$H$593,GCA!F$3:F$593,"",0,1)="","",_xlfn.XLOOKUP($U616,GCA!$H$3:$H$593,GCA!F$3:F$593,"",0,1))</f>
        <v>13882.705</v>
      </c>
      <c r="X616" s="3">
        <f>IF(_xlfn.XLOOKUP($U616,GCA!$H$3:$H$593,GCA!G$3:G$593,"",0,1)="","",_xlfn.XLOOKUP($U616,GCA!$H$3:$H$593,GCA!G$3:G$593,"",0,1))</f>
        <v>14600.33</v>
      </c>
    </row>
    <row r="617" spans="1:24" ht="13.2">
      <c r="A617" s="49"/>
      <c r="B617" s="49"/>
      <c r="C617" s="48"/>
      <c r="D617" s="49"/>
      <c r="E617" s="50"/>
      <c r="F617" s="26" t="s">
        <v>988</v>
      </c>
      <c r="G617" s="26" t="s">
        <v>984</v>
      </c>
      <c r="H617" s="27">
        <f t="shared" si="288"/>
        <v>1670.59</v>
      </c>
      <c r="I617" s="27">
        <f t="shared" si="288"/>
        <v>1599.085</v>
      </c>
      <c r="J617" s="27">
        <f t="shared" si="288"/>
        <v>1574.8150000000001</v>
      </c>
      <c r="K617" s="27">
        <f t="shared" si="289"/>
        <v>1614.83</v>
      </c>
      <c r="L617" s="65"/>
      <c r="M617" s="67">
        <f t="shared" si="290"/>
        <v>0</v>
      </c>
      <c r="N617" s="65" t="str">
        <f t="shared" si="291"/>
        <v/>
      </c>
      <c r="O617" s="65" t="str">
        <f t="shared" si="295"/>
        <v/>
      </c>
      <c r="P617" s="65" t="str">
        <f t="shared" si="295"/>
        <v/>
      </c>
      <c r="Q617" s="38"/>
      <c r="R617" s="3" t="str">
        <f t="shared" si="294"/>
        <v>Virudhunagar</v>
      </c>
      <c r="S617" s="3" t="str">
        <f t="shared" si="293"/>
        <v>Vembakottai</v>
      </c>
      <c r="T617" s="3" t="str">
        <f t="shared" si="293"/>
        <v>Rajapalayam</v>
      </c>
      <c r="U617" s="3" t="str">
        <f t="shared" si="284"/>
        <v>Virudhunagar_Vembakottai_Rajapalayam</v>
      </c>
      <c r="V617" s="3">
        <f>IF(_xlfn.XLOOKUP($U617,GCA!$H$3:$H$593,GCA!E$3:E$593,"",0,1)="","",_xlfn.XLOOKUP($U617,GCA!$H$3:$H$593,GCA!E$3:E$593,"",0,1))</f>
        <v>1670.59</v>
      </c>
      <c r="W617" s="3">
        <f>IF(_xlfn.XLOOKUP($U617,GCA!$H$3:$H$593,GCA!F$3:F$593,"",0,1)="","",_xlfn.XLOOKUP($U617,GCA!$H$3:$H$593,GCA!F$3:F$593,"",0,1))</f>
        <v>1599.085</v>
      </c>
      <c r="X617" s="3">
        <f>IF(_xlfn.XLOOKUP($U617,GCA!$H$3:$H$593,GCA!G$3:G$593,"",0,1)="","",_xlfn.XLOOKUP($U617,GCA!$H$3:$H$593,GCA!G$3:G$593,"",0,1))</f>
        <v>1574.8150000000001</v>
      </c>
    </row>
    <row r="618" spans="1:24" ht="13.2">
      <c r="A618" s="49"/>
      <c r="B618" s="49"/>
      <c r="C618" s="48"/>
      <c r="D618" s="49"/>
      <c r="E618" s="50"/>
      <c r="F618" s="26" t="s">
        <v>988</v>
      </c>
      <c r="G618" s="26" t="s">
        <v>985</v>
      </c>
      <c r="H618" s="27">
        <f t="shared" si="288"/>
        <v>987.15499999999997</v>
      </c>
      <c r="I618" s="27">
        <f t="shared" si="288"/>
        <v>1011.9450000000001</v>
      </c>
      <c r="J618" s="27">
        <f t="shared" si="288"/>
        <v>861.15</v>
      </c>
      <c r="K618" s="27">
        <f t="shared" si="289"/>
        <v>953.41666666666663</v>
      </c>
      <c r="L618" s="65"/>
      <c r="M618" s="67">
        <f t="shared" si="290"/>
        <v>0</v>
      </c>
      <c r="N618" s="65" t="str">
        <f t="shared" si="291"/>
        <v/>
      </c>
      <c r="O618" s="65" t="str">
        <f t="shared" si="295"/>
        <v/>
      </c>
      <c r="P618" s="65" t="str">
        <f t="shared" si="295"/>
        <v/>
      </c>
      <c r="Q618" s="38"/>
      <c r="R618" s="3" t="str">
        <f t="shared" si="294"/>
        <v>Virudhunagar</v>
      </c>
      <c r="S618" s="3" t="str">
        <f t="shared" si="293"/>
        <v>Vembakottai</v>
      </c>
      <c r="T618" s="3" t="str">
        <f t="shared" si="293"/>
        <v>Srivilliputtur</v>
      </c>
      <c r="U618" s="3" t="str">
        <f t="shared" si="284"/>
        <v>Virudhunagar_Vembakottai_Srivilliputtur</v>
      </c>
      <c r="V618" s="3">
        <f>IF(_xlfn.XLOOKUP($U618,GCA!$H$3:$H$593,GCA!E$3:E$593,"",0,1)="","",_xlfn.XLOOKUP($U618,GCA!$H$3:$H$593,GCA!E$3:E$593,"",0,1))</f>
        <v>987.15499999999997</v>
      </c>
      <c r="W618" s="3">
        <f>IF(_xlfn.XLOOKUP($U618,GCA!$H$3:$H$593,GCA!F$3:F$593,"",0,1)="","",_xlfn.XLOOKUP($U618,GCA!$H$3:$H$593,GCA!F$3:F$593,"",0,1))</f>
        <v>1011.9450000000001</v>
      </c>
      <c r="X618" s="3">
        <f>IF(_xlfn.XLOOKUP($U618,GCA!$H$3:$H$593,GCA!G$3:G$593,"",0,1)="","",_xlfn.XLOOKUP($U618,GCA!$H$3:$H$593,GCA!G$3:G$593,"",0,1))</f>
        <v>861.15</v>
      </c>
    </row>
    <row r="619" spans="1:24" ht="13.2">
      <c r="A619" s="49"/>
      <c r="B619" s="49"/>
      <c r="C619" s="48"/>
      <c r="D619" s="49"/>
      <c r="E619" s="50"/>
      <c r="F619" s="26" t="s">
        <v>988</v>
      </c>
      <c r="G619" s="26" t="s">
        <v>988</v>
      </c>
      <c r="H619" s="27">
        <f t="shared" si="288"/>
        <v>9702.33</v>
      </c>
      <c r="I619" s="27">
        <f t="shared" si="288"/>
        <v>10269.799999999999</v>
      </c>
      <c r="J619" s="27">
        <f t="shared" si="288"/>
        <v>10035.014999999999</v>
      </c>
      <c r="K619" s="27">
        <f t="shared" si="289"/>
        <v>10002.381666666666</v>
      </c>
      <c r="L619" s="65"/>
      <c r="M619" s="67">
        <f t="shared" si="290"/>
        <v>0</v>
      </c>
      <c r="N619" s="65" t="str">
        <f t="shared" si="291"/>
        <v/>
      </c>
      <c r="O619" s="65" t="str">
        <f t="shared" si="295"/>
        <v/>
      </c>
      <c r="P619" s="65" t="str">
        <f t="shared" si="295"/>
        <v/>
      </c>
      <c r="Q619" s="38"/>
      <c r="R619" s="3" t="str">
        <f t="shared" si="294"/>
        <v>Virudhunagar</v>
      </c>
      <c r="S619" s="3" t="str">
        <f t="shared" si="293"/>
        <v>Vembakottai</v>
      </c>
      <c r="T619" s="3" t="str">
        <f t="shared" si="293"/>
        <v>Vembakottai</v>
      </c>
      <c r="U619" s="3" t="str">
        <f t="shared" si="284"/>
        <v>Virudhunagar_Vembakottai_Vembakottai</v>
      </c>
      <c r="V619" s="3">
        <f>IF(_xlfn.XLOOKUP($U619,GCA!$H$3:$H$593,GCA!E$3:E$593,"",0,1)="","",_xlfn.XLOOKUP($U619,GCA!$H$3:$H$593,GCA!E$3:E$593,"",0,1))</f>
        <v>9702.33</v>
      </c>
      <c r="W619" s="3">
        <f>IF(_xlfn.XLOOKUP($U619,GCA!$H$3:$H$593,GCA!F$3:F$593,"",0,1)="","",_xlfn.XLOOKUP($U619,GCA!$H$3:$H$593,GCA!F$3:F$593,"",0,1))</f>
        <v>10269.799999999999</v>
      </c>
      <c r="X619" s="3">
        <f>IF(_xlfn.XLOOKUP($U619,GCA!$H$3:$H$593,GCA!G$3:G$593,"",0,1)="","",_xlfn.XLOOKUP($U619,GCA!$H$3:$H$593,GCA!G$3:G$593,"",0,1))</f>
        <v>10035.014999999999</v>
      </c>
    </row>
    <row r="620" spans="1:24" ht="13.2">
      <c r="A620" s="49"/>
      <c r="B620" s="49"/>
      <c r="C620" s="48"/>
      <c r="D620" s="49"/>
      <c r="E620" s="50"/>
      <c r="F620" s="26" t="s">
        <v>248</v>
      </c>
      <c r="G620" s="26" t="s">
        <v>248</v>
      </c>
      <c r="H620" s="27">
        <f t="shared" si="288"/>
        <v>9326.68</v>
      </c>
      <c r="I620" s="27">
        <f t="shared" si="288"/>
        <v>9730.14</v>
      </c>
      <c r="J620" s="27">
        <f t="shared" si="288"/>
        <v>9577.93</v>
      </c>
      <c r="K620" s="27">
        <f t="shared" si="289"/>
        <v>9544.9166666666661</v>
      </c>
      <c r="L620" s="65"/>
      <c r="M620" s="67">
        <f t="shared" si="290"/>
        <v>0</v>
      </c>
      <c r="N620" s="65" t="str">
        <f t="shared" si="291"/>
        <v/>
      </c>
      <c r="O620" s="65" t="str">
        <f t="shared" si="295"/>
        <v/>
      </c>
      <c r="P620" s="65" t="str">
        <f t="shared" si="295"/>
        <v/>
      </c>
      <c r="Q620" s="38"/>
      <c r="R620" s="3" t="str">
        <f t="shared" si="294"/>
        <v>Virudhunagar</v>
      </c>
      <c r="S620" s="3" t="str">
        <f t="shared" si="293"/>
        <v>Virudhunagar</v>
      </c>
      <c r="T620" s="3" t="str">
        <f t="shared" si="293"/>
        <v>Virudhunagar</v>
      </c>
      <c r="U620" s="3" t="str">
        <f t="shared" si="284"/>
        <v>Virudhunagar_Virudhunagar_Virudhunagar</v>
      </c>
      <c r="V620" s="3">
        <f>IF(_xlfn.XLOOKUP($U620,GCA!$H$3:$H$593,GCA!E$3:E$593,"",0,1)="","",_xlfn.XLOOKUP($U620,GCA!$H$3:$H$593,GCA!E$3:E$593,"",0,1))</f>
        <v>9326.68</v>
      </c>
      <c r="W620" s="3">
        <f>IF(_xlfn.XLOOKUP($U620,GCA!$H$3:$H$593,GCA!F$3:F$593,"",0,1)="","",_xlfn.XLOOKUP($U620,GCA!$H$3:$H$593,GCA!F$3:F$593,"",0,1))</f>
        <v>9730.14</v>
      </c>
      <c r="X620" s="3">
        <f>IF(_xlfn.XLOOKUP($U620,GCA!$H$3:$H$593,GCA!G$3:G$593,"",0,1)="","",_xlfn.XLOOKUP($U620,GCA!$H$3:$H$593,GCA!G$3:G$593,"",0,1))</f>
        <v>9577.93</v>
      </c>
    </row>
    <row r="621" spans="1:24" ht="13.2">
      <c r="A621" s="49"/>
      <c r="B621" s="49"/>
      <c r="C621" s="48"/>
      <c r="D621" s="49"/>
      <c r="E621" s="47" t="s">
        <v>564</v>
      </c>
      <c r="F621" s="47"/>
      <c r="G621" s="47"/>
      <c r="H621" s="29">
        <f t="shared" ref="H621:P621" si="296">SUM(H599:H620)</f>
        <v>141649.97499999998</v>
      </c>
      <c r="I621" s="29">
        <f t="shared" si="296"/>
        <v>145196.88500000001</v>
      </c>
      <c r="J621" s="29">
        <f t="shared" si="296"/>
        <v>144447.68499999997</v>
      </c>
      <c r="K621" s="29">
        <f t="shared" si="296"/>
        <v>143764.84833333333</v>
      </c>
      <c r="L621" s="29">
        <f t="shared" si="296"/>
        <v>143764.84833333333</v>
      </c>
      <c r="M621" s="30">
        <f t="shared" si="296"/>
        <v>6.0343908478227881</v>
      </c>
      <c r="N621" s="31">
        <f t="shared" si="296"/>
        <v>6</v>
      </c>
      <c r="O621" s="31">
        <f t="shared" si="296"/>
        <v>6</v>
      </c>
      <c r="P621" s="31">
        <f t="shared" si="296"/>
        <v>6</v>
      </c>
      <c r="Q621" s="38"/>
      <c r="R621" s="3" t="str">
        <f t="shared" si="294"/>
        <v>Virudhunagar</v>
      </c>
      <c r="S621" s="3">
        <f t="shared" si="293"/>
        <v>0</v>
      </c>
      <c r="T621" s="3">
        <f t="shared" si="293"/>
        <v>0</v>
      </c>
      <c r="U621" s="3" t="str">
        <f t="shared" si="284"/>
        <v>Virudhunagar_0_0</v>
      </c>
      <c r="V621" s="3" t="str">
        <f>IF(_xlfn.XLOOKUP($U621,GCA!$H$3:$H$593,GCA!E$3:E$593,"",0,1)="","",_xlfn.XLOOKUP($U621,GCA!$H$3:$H$593,GCA!E$3:E$593,"",0,1))</f>
        <v/>
      </c>
      <c r="W621" s="3" t="str">
        <f>IF(_xlfn.XLOOKUP($U621,GCA!$H$3:$H$593,GCA!F$3:F$593,"",0,1)="","",_xlfn.XLOOKUP($U621,GCA!$H$3:$H$593,GCA!F$3:F$593,"",0,1))</f>
        <v/>
      </c>
      <c r="X621" s="3" t="str">
        <f>IF(_xlfn.XLOOKUP($U621,GCA!$H$3:$H$593,GCA!G$3:G$593,"",0,1)="","",_xlfn.XLOOKUP($U621,GCA!$H$3:$H$593,GCA!G$3:G$593,"",0,1))</f>
        <v/>
      </c>
    </row>
    <row r="622" spans="1:24" ht="13.2">
      <c r="A622" s="49"/>
      <c r="B622" s="49"/>
      <c r="C622" s="48" t="s">
        <v>249</v>
      </c>
      <c r="D622" s="49" t="s">
        <v>555</v>
      </c>
      <c r="E622" s="50">
        <v>1</v>
      </c>
      <c r="F622" s="26" t="s">
        <v>991</v>
      </c>
      <c r="G622" s="26" t="s">
        <v>991</v>
      </c>
      <c r="H622" s="27">
        <f t="shared" ref="H622:J638" si="297">V622</f>
        <v>26062.37</v>
      </c>
      <c r="I622" s="27">
        <f t="shared" si="297"/>
        <v>26027.724999999999</v>
      </c>
      <c r="J622" s="27">
        <f t="shared" si="297"/>
        <v>25349.435000000001</v>
      </c>
      <c r="K622" s="27">
        <f t="shared" ref="K622:K638" si="298">IFERROR(AVERAGE(H622:J622),"")</f>
        <v>25813.176666666666</v>
      </c>
      <c r="L622" s="65">
        <f>SUM(K622:K623)</f>
        <v>52348.346666666665</v>
      </c>
      <c r="M622" s="67">
        <f t="shared" ref="M622:M638" si="299">L622*$L$643/$L$642</f>
        <v>2.1972713614357531</v>
      </c>
      <c r="N622" s="65">
        <f t="shared" si="291"/>
        <v>2</v>
      </c>
      <c r="O622" s="65">
        <f t="shared" ref="O622:P637" si="300">N622</f>
        <v>2</v>
      </c>
      <c r="P622" s="65">
        <f t="shared" si="300"/>
        <v>2</v>
      </c>
      <c r="Q622" s="38"/>
      <c r="R622" s="3" t="str">
        <f t="shared" si="276"/>
        <v>Ramanathapuram</v>
      </c>
      <c r="S622" s="3" t="str">
        <f t="shared" si="293"/>
        <v>Kadaladi</v>
      </c>
      <c r="T622" s="3" t="str">
        <f t="shared" si="293"/>
        <v>Kadaladi</v>
      </c>
      <c r="U622" s="3" t="str">
        <f t="shared" si="284"/>
        <v>Ramanathapuram_Kadaladi_Kadaladi</v>
      </c>
      <c r="V622" s="3">
        <f>IF(_xlfn.XLOOKUP($U622,GCA!$H$3:$H$593,GCA!E$3:E$593,"",0,1)="","",_xlfn.XLOOKUP($U622,GCA!$H$3:$H$593,GCA!E$3:E$593,"",0,1))</f>
        <v>26062.37</v>
      </c>
      <c r="W622" s="3">
        <f>IF(_xlfn.XLOOKUP($U622,GCA!$H$3:$H$593,GCA!F$3:F$593,"",0,1)="","",_xlfn.XLOOKUP($U622,GCA!$H$3:$H$593,GCA!F$3:F$593,"",0,1))</f>
        <v>26027.724999999999</v>
      </c>
      <c r="X622" s="3">
        <f>IF(_xlfn.XLOOKUP($U622,GCA!$H$3:$H$593,GCA!G$3:G$593,"",0,1)="","",_xlfn.XLOOKUP($U622,GCA!$H$3:$H$593,GCA!G$3:G$593,"",0,1))</f>
        <v>25349.435000000001</v>
      </c>
    </row>
    <row r="623" spans="1:24" ht="13.2">
      <c r="A623" s="49"/>
      <c r="B623" s="49"/>
      <c r="C623" s="48"/>
      <c r="D623" s="49"/>
      <c r="E623" s="50"/>
      <c r="F623" s="26" t="s">
        <v>992</v>
      </c>
      <c r="G623" s="26" t="s">
        <v>992</v>
      </c>
      <c r="H623" s="27">
        <f t="shared" si="297"/>
        <v>27375.63</v>
      </c>
      <c r="I623" s="27">
        <f t="shared" si="297"/>
        <v>26631.599999999999</v>
      </c>
      <c r="J623" s="27">
        <f t="shared" si="297"/>
        <v>25598.28</v>
      </c>
      <c r="K623" s="27">
        <f t="shared" si="298"/>
        <v>26535.17</v>
      </c>
      <c r="L623" s="65"/>
      <c r="M623" s="67">
        <f t="shared" si="299"/>
        <v>0</v>
      </c>
      <c r="N623" s="65" t="str">
        <f t="shared" si="291"/>
        <v/>
      </c>
      <c r="O623" s="65" t="str">
        <f t="shared" si="300"/>
        <v/>
      </c>
      <c r="P623" s="65" t="str">
        <f t="shared" si="300"/>
        <v/>
      </c>
      <c r="Q623" s="38"/>
      <c r="R623" s="3" t="str">
        <f t="shared" ref="R623:R638" si="301">R622</f>
        <v>Ramanathapuram</v>
      </c>
      <c r="S623" s="3" t="str">
        <f t="shared" si="293"/>
        <v>Kamuthi</v>
      </c>
      <c r="T623" s="3" t="str">
        <f t="shared" si="293"/>
        <v>Kamuthi</v>
      </c>
      <c r="U623" s="3" t="str">
        <f t="shared" si="284"/>
        <v>Ramanathapuram_Kamuthi_Kamuthi</v>
      </c>
      <c r="V623" s="3">
        <f>IF(_xlfn.XLOOKUP($U623,GCA!$H$3:$H$593,GCA!E$3:E$593,"",0,1)="","",_xlfn.XLOOKUP($U623,GCA!$H$3:$H$593,GCA!E$3:E$593,"",0,1))</f>
        <v>27375.63</v>
      </c>
      <c r="W623" s="3">
        <f>IF(_xlfn.XLOOKUP($U623,GCA!$H$3:$H$593,GCA!F$3:F$593,"",0,1)="","",_xlfn.XLOOKUP($U623,GCA!$H$3:$H$593,GCA!F$3:F$593,"",0,1))</f>
        <v>26631.599999999999</v>
      </c>
      <c r="X623" s="3">
        <f>IF(_xlfn.XLOOKUP($U623,GCA!$H$3:$H$593,GCA!G$3:G$593,"",0,1)="","",_xlfn.XLOOKUP($U623,GCA!$H$3:$H$593,GCA!G$3:G$593,"",0,1))</f>
        <v>25598.28</v>
      </c>
    </row>
    <row r="624" spans="1:24" ht="13.2">
      <c r="A624" s="49"/>
      <c r="B624" s="49"/>
      <c r="C624" s="48"/>
      <c r="D624" s="49"/>
      <c r="E624" s="50">
        <v>2</v>
      </c>
      <c r="F624" s="26" t="s">
        <v>993</v>
      </c>
      <c r="G624" s="26" t="s">
        <v>991</v>
      </c>
      <c r="H624" s="27">
        <f t="shared" si="297"/>
        <v>571.495</v>
      </c>
      <c r="I624" s="27">
        <f t="shared" si="297"/>
        <v>561.76499999999999</v>
      </c>
      <c r="J624" s="27">
        <f t="shared" si="297"/>
        <v>540.53</v>
      </c>
      <c r="K624" s="27">
        <f t="shared" si="298"/>
        <v>557.92999999999995</v>
      </c>
      <c r="L624" s="65">
        <f>SUM(K624:K627)</f>
        <v>42698.148333333338</v>
      </c>
      <c r="M624" s="67">
        <f t="shared" si="299"/>
        <v>1.7922135939951189</v>
      </c>
      <c r="N624" s="65">
        <f t="shared" si="291"/>
        <v>2</v>
      </c>
      <c r="O624" s="65">
        <f t="shared" si="300"/>
        <v>2</v>
      </c>
      <c r="P624" s="65">
        <f t="shared" si="300"/>
        <v>2</v>
      </c>
      <c r="Q624" s="38"/>
      <c r="R624" s="3" t="str">
        <f t="shared" si="301"/>
        <v>Ramanathapuram</v>
      </c>
      <c r="S624" s="3" t="str">
        <f t="shared" si="293"/>
        <v>Keelakarai</v>
      </c>
      <c r="T624" s="3" t="str">
        <f t="shared" si="293"/>
        <v>Kadaladi</v>
      </c>
      <c r="U624" s="3" t="str">
        <f t="shared" si="284"/>
        <v>Ramanathapuram_Keelakarai_Kadaladi</v>
      </c>
      <c r="V624" s="3">
        <f>IF(_xlfn.XLOOKUP($U624,GCA!$H$3:$H$593,GCA!E$3:E$593,"",0,1)="","",_xlfn.XLOOKUP($U624,GCA!$H$3:$H$593,GCA!E$3:E$593,"",0,1))</f>
        <v>571.495</v>
      </c>
      <c r="W624" s="3">
        <f>IF(_xlfn.XLOOKUP($U624,GCA!$H$3:$H$593,GCA!F$3:F$593,"",0,1)="","",_xlfn.XLOOKUP($U624,GCA!$H$3:$H$593,GCA!F$3:F$593,"",0,1))</f>
        <v>561.76499999999999</v>
      </c>
      <c r="X624" s="3">
        <f>IF(_xlfn.XLOOKUP($U624,GCA!$H$3:$H$593,GCA!G$3:G$593,"",0,1)="","",_xlfn.XLOOKUP($U624,GCA!$H$3:$H$593,GCA!G$3:G$593,"",0,1))</f>
        <v>540.53</v>
      </c>
    </row>
    <row r="625" spans="1:24" ht="13.2">
      <c r="A625" s="49"/>
      <c r="B625" s="49"/>
      <c r="C625" s="48"/>
      <c r="D625" s="49"/>
      <c r="E625" s="50"/>
      <c r="F625" s="26" t="s">
        <v>993</v>
      </c>
      <c r="G625" s="26" t="s">
        <v>994</v>
      </c>
      <c r="H625" s="27">
        <f t="shared" si="297"/>
        <v>10696.51</v>
      </c>
      <c r="I625" s="27">
        <f t="shared" si="297"/>
        <v>10588.865</v>
      </c>
      <c r="J625" s="27">
        <f t="shared" si="297"/>
        <v>10481.375</v>
      </c>
      <c r="K625" s="27">
        <f t="shared" si="298"/>
        <v>10588.916666666666</v>
      </c>
      <c r="L625" s="65"/>
      <c r="M625" s="67">
        <f t="shared" si="299"/>
        <v>0</v>
      </c>
      <c r="N625" s="65" t="str">
        <f t="shared" si="291"/>
        <v/>
      </c>
      <c r="O625" s="65" t="str">
        <f t="shared" si="300"/>
        <v/>
      </c>
      <c r="P625" s="65" t="str">
        <f t="shared" si="300"/>
        <v/>
      </c>
      <c r="Q625" s="38"/>
      <c r="R625" s="3" t="str">
        <f t="shared" si="301"/>
        <v>Ramanathapuram</v>
      </c>
      <c r="S625" s="3" t="str">
        <f t="shared" si="293"/>
        <v>Keelakarai</v>
      </c>
      <c r="T625" s="3" t="str">
        <f t="shared" si="293"/>
        <v>Thirupullani</v>
      </c>
      <c r="U625" s="3" t="str">
        <f t="shared" si="284"/>
        <v>Ramanathapuram_Keelakarai_Thirupullani</v>
      </c>
      <c r="V625" s="3">
        <f>IF(_xlfn.XLOOKUP($U625,GCA!$H$3:$H$593,GCA!E$3:E$593,"",0,1)="","",_xlfn.XLOOKUP($U625,GCA!$H$3:$H$593,GCA!E$3:E$593,"",0,1))</f>
        <v>10696.51</v>
      </c>
      <c r="W625" s="3">
        <f>IF(_xlfn.XLOOKUP($U625,GCA!$H$3:$H$593,GCA!F$3:F$593,"",0,1)="","",_xlfn.XLOOKUP($U625,GCA!$H$3:$H$593,GCA!F$3:F$593,"",0,1))</f>
        <v>10588.865</v>
      </c>
      <c r="X625" s="3">
        <f>IF(_xlfn.XLOOKUP($U625,GCA!$H$3:$H$593,GCA!G$3:G$593,"",0,1)="","",_xlfn.XLOOKUP($U625,GCA!$H$3:$H$593,GCA!G$3:G$593,"",0,1))</f>
        <v>10481.375</v>
      </c>
    </row>
    <row r="626" spans="1:24" ht="13.2">
      <c r="A626" s="49"/>
      <c r="B626" s="49"/>
      <c r="C626" s="48"/>
      <c r="D626" s="49"/>
      <c r="E626" s="50"/>
      <c r="F626" s="26" t="s">
        <v>995</v>
      </c>
      <c r="G626" s="26" t="s">
        <v>991</v>
      </c>
      <c r="H626" s="27">
        <f t="shared" si="297"/>
        <v>5310.82</v>
      </c>
      <c r="I626" s="27">
        <f t="shared" si="297"/>
        <v>4702.09</v>
      </c>
      <c r="J626" s="27">
        <f t="shared" si="297"/>
        <v>4445.05</v>
      </c>
      <c r="K626" s="27">
        <f t="shared" si="298"/>
        <v>4819.32</v>
      </c>
      <c r="L626" s="65"/>
      <c r="M626" s="67">
        <f t="shared" si="299"/>
        <v>0</v>
      </c>
      <c r="N626" s="65" t="str">
        <f t="shared" si="291"/>
        <v/>
      </c>
      <c r="O626" s="65" t="str">
        <f t="shared" si="300"/>
        <v/>
      </c>
      <c r="P626" s="65" t="str">
        <f t="shared" si="300"/>
        <v/>
      </c>
      <c r="Q626" s="38"/>
      <c r="R626" s="3" t="str">
        <f t="shared" si="301"/>
        <v>Ramanathapuram</v>
      </c>
      <c r="S626" s="3" t="str">
        <f t="shared" si="293"/>
        <v>Muthukulathur</v>
      </c>
      <c r="T626" s="3" t="str">
        <f t="shared" si="293"/>
        <v>Kadaladi</v>
      </c>
      <c r="U626" s="3" t="str">
        <f t="shared" si="284"/>
        <v>Ramanathapuram_Muthukulathur_Kadaladi</v>
      </c>
      <c r="V626" s="3">
        <f>IF(_xlfn.XLOOKUP($U626,GCA!$H$3:$H$593,GCA!E$3:E$593,"",0,1)="","",_xlfn.XLOOKUP($U626,GCA!$H$3:$H$593,GCA!E$3:E$593,"",0,1))</f>
        <v>5310.82</v>
      </c>
      <c r="W626" s="3">
        <f>IF(_xlfn.XLOOKUP($U626,GCA!$H$3:$H$593,GCA!F$3:F$593,"",0,1)="","",_xlfn.XLOOKUP($U626,GCA!$H$3:$H$593,GCA!F$3:F$593,"",0,1))</f>
        <v>4702.09</v>
      </c>
      <c r="X626" s="3">
        <f>IF(_xlfn.XLOOKUP($U626,GCA!$H$3:$H$593,GCA!G$3:G$593,"",0,1)="","",_xlfn.XLOOKUP($U626,GCA!$H$3:$H$593,GCA!G$3:G$593,"",0,1))</f>
        <v>4445.05</v>
      </c>
    </row>
    <row r="627" spans="1:24" ht="13.2">
      <c r="A627" s="49"/>
      <c r="B627" s="49"/>
      <c r="C627" s="48"/>
      <c r="D627" s="49"/>
      <c r="E627" s="50"/>
      <c r="F627" s="26" t="s">
        <v>995</v>
      </c>
      <c r="G627" s="26" t="s">
        <v>996</v>
      </c>
      <c r="H627" s="27">
        <f t="shared" si="297"/>
        <v>26705.07</v>
      </c>
      <c r="I627" s="27">
        <f t="shared" si="297"/>
        <v>27401.360000000001</v>
      </c>
      <c r="J627" s="27">
        <f t="shared" si="297"/>
        <v>26089.514999999999</v>
      </c>
      <c r="K627" s="27">
        <f t="shared" si="298"/>
        <v>26731.98166666667</v>
      </c>
      <c r="L627" s="65"/>
      <c r="M627" s="67">
        <f t="shared" si="299"/>
        <v>0</v>
      </c>
      <c r="N627" s="65" t="str">
        <f t="shared" si="291"/>
        <v/>
      </c>
      <c r="O627" s="65" t="str">
        <f t="shared" si="300"/>
        <v/>
      </c>
      <c r="P627" s="65" t="str">
        <f t="shared" si="300"/>
        <v/>
      </c>
      <c r="Q627" s="38"/>
      <c r="R627" s="3" t="str">
        <f t="shared" si="301"/>
        <v>Ramanathapuram</v>
      </c>
      <c r="S627" s="3" t="str">
        <f t="shared" si="293"/>
        <v>Muthukulathur</v>
      </c>
      <c r="T627" s="3" t="str">
        <f t="shared" si="293"/>
        <v>Mudukulathur</v>
      </c>
      <c r="U627" s="3" t="str">
        <f t="shared" si="284"/>
        <v>Ramanathapuram_Muthukulathur_Mudukulathur</v>
      </c>
      <c r="V627" s="3">
        <f>IF(_xlfn.XLOOKUP($U627,GCA!$H$3:$H$593,GCA!E$3:E$593,"",0,1)="","",_xlfn.XLOOKUP($U627,GCA!$H$3:$H$593,GCA!E$3:E$593,"",0,1))</f>
        <v>26705.07</v>
      </c>
      <c r="W627" s="3">
        <f>IF(_xlfn.XLOOKUP($U627,GCA!$H$3:$H$593,GCA!F$3:F$593,"",0,1)="","",_xlfn.XLOOKUP($U627,GCA!$H$3:$H$593,GCA!F$3:F$593,"",0,1))</f>
        <v>27401.360000000001</v>
      </c>
      <c r="X627" s="3">
        <f>IF(_xlfn.XLOOKUP($U627,GCA!$H$3:$H$593,GCA!G$3:G$593,"",0,1)="","",_xlfn.XLOOKUP($U627,GCA!$H$3:$H$593,GCA!G$3:G$593,"",0,1))</f>
        <v>26089.514999999999</v>
      </c>
    </row>
    <row r="628" spans="1:24" ht="13.2">
      <c r="A628" s="49"/>
      <c r="B628" s="49"/>
      <c r="C628" s="48"/>
      <c r="D628" s="49"/>
      <c r="E628" s="50">
        <v>3</v>
      </c>
      <c r="F628" s="26" t="s">
        <v>997</v>
      </c>
      <c r="G628" s="26" t="s">
        <v>998</v>
      </c>
      <c r="H628" s="27">
        <f t="shared" si="297"/>
        <v>7794.7849999999999</v>
      </c>
      <c r="I628" s="27">
        <f t="shared" si="297"/>
        <v>7777.2849999999999</v>
      </c>
      <c r="J628" s="27">
        <f t="shared" si="297"/>
        <v>7435.99</v>
      </c>
      <c r="K628" s="27">
        <f t="shared" si="298"/>
        <v>7669.3533333333326</v>
      </c>
      <c r="L628" s="65">
        <f>SUM(K628:K632)</f>
        <v>51062.98</v>
      </c>
      <c r="M628" s="67">
        <f t="shared" si="299"/>
        <v>2.1433193353365372</v>
      </c>
      <c r="N628" s="65">
        <f t="shared" si="291"/>
        <v>2</v>
      </c>
      <c r="O628" s="65">
        <f t="shared" si="300"/>
        <v>2</v>
      </c>
      <c r="P628" s="65">
        <f t="shared" si="300"/>
        <v>2</v>
      </c>
      <c r="Q628" s="38"/>
      <c r="R628" s="3" t="str">
        <f t="shared" si="301"/>
        <v>Ramanathapuram</v>
      </c>
      <c r="S628" s="3" t="str">
        <f t="shared" si="293"/>
        <v>Paramakudi</v>
      </c>
      <c r="T628" s="3" t="str">
        <f t="shared" si="293"/>
        <v>Bogalur</v>
      </c>
      <c r="U628" s="3" t="str">
        <f t="shared" si="284"/>
        <v>Ramanathapuram_Paramakudi_Bogalur</v>
      </c>
      <c r="V628" s="3">
        <f>IF(_xlfn.XLOOKUP($U628,GCA!$H$3:$H$593,GCA!E$3:E$593,"",0,1)="","",_xlfn.XLOOKUP($U628,GCA!$H$3:$H$593,GCA!E$3:E$593,"",0,1))</f>
        <v>7794.7849999999999</v>
      </c>
      <c r="W628" s="3">
        <f>IF(_xlfn.XLOOKUP($U628,GCA!$H$3:$H$593,GCA!F$3:F$593,"",0,1)="","",_xlfn.XLOOKUP($U628,GCA!$H$3:$H$593,GCA!F$3:F$593,"",0,1))</f>
        <v>7777.2849999999999</v>
      </c>
      <c r="X628" s="3">
        <f>IF(_xlfn.XLOOKUP($U628,GCA!$H$3:$H$593,GCA!G$3:G$593,"",0,1)="","",_xlfn.XLOOKUP($U628,GCA!$H$3:$H$593,GCA!G$3:G$593,"",0,1))</f>
        <v>7435.99</v>
      </c>
    </row>
    <row r="629" spans="1:24" ht="13.2">
      <c r="A629" s="49"/>
      <c r="B629" s="49"/>
      <c r="C629" s="48"/>
      <c r="D629" s="49"/>
      <c r="E629" s="50"/>
      <c r="F629" s="26" t="s">
        <v>997</v>
      </c>
      <c r="G629" s="26" t="s">
        <v>999</v>
      </c>
      <c r="H629" s="27">
        <f t="shared" si="297"/>
        <v>13106.48</v>
      </c>
      <c r="I629" s="27">
        <f t="shared" si="297"/>
        <v>13039.575000000001</v>
      </c>
      <c r="J629" s="27">
        <f t="shared" si="297"/>
        <v>13126.84</v>
      </c>
      <c r="K629" s="27">
        <f t="shared" si="298"/>
        <v>13090.965000000002</v>
      </c>
      <c r="L629" s="65"/>
      <c r="M629" s="67">
        <f t="shared" si="299"/>
        <v>0</v>
      </c>
      <c r="N629" s="65" t="str">
        <f t="shared" si="291"/>
        <v/>
      </c>
      <c r="O629" s="65" t="str">
        <f t="shared" si="300"/>
        <v/>
      </c>
      <c r="P629" s="65" t="str">
        <f t="shared" si="300"/>
        <v/>
      </c>
      <c r="Q629" s="38"/>
      <c r="R629" s="3" t="str">
        <f t="shared" si="301"/>
        <v>Ramanathapuram</v>
      </c>
      <c r="S629" s="3" t="str">
        <f t="shared" si="293"/>
        <v>Paramakudi</v>
      </c>
      <c r="T629" s="3" t="str">
        <f t="shared" si="293"/>
        <v>Nainarkoil</v>
      </c>
      <c r="U629" s="3" t="str">
        <f t="shared" si="284"/>
        <v>Ramanathapuram_Paramakudi_Nainarkoil</v>
      </c>
      <c r="V629" s="3">
        <f>IF(_xlfn.XLOOKUP($U629,GCA!$H$3:$H$593,GCA!E$3:E$593,"",0,1)="","",_xlfn.XLOOKUP($U629,GCA!$H$3:$H$593,GCA!E$3:E$593,"",0,1))</f>
        <v>13106.48</v>
      </c>
      <c r="W629" s="3">
        <f>IF(_xlfn.XLOOKUP($U629,GCA!$H$3:$H$593,GCA!F$3:F$593,"",0,1)="","",_xlfn.XLOOKUP($U629,GCA!$H$3:$H$593,GCA!F$3:F$593,"",0,1))</f>
        <v>13039.575000000001</v>
      </c>
      <c r="X629" s="3">
        <f>IF(_xlfn.XLOOKUP($U629,GCA!$H$3:$H$593,GCA!G$3:G$593,"",0,1)="","",_xlfn.XLOOKUP($U629,GCA!$H$3:$H$593,GCA!G$3:G$593,"",0,1))</f>
        <v>13126.84</v>
      </c>
    </row>
    <row r="630" spans="1:24" ht="13.2">
      <c r="A630" s="49"/>
      <c r="B630" s="49"/>
      <c r="C630" s="48"/>
      <c r="D630" s="49"/>
      <c r="E630" s="50"/>
      <c r="F630" s="26" t="s">
        <v>997</v>
      </c>
      <c r="G630" s="26" t="s">
        <v>997</v>
      </c>
      <c r="H630" s="27">
        <f t="shared" si="297"/>
        <v>9674.3250000000007</v>
      </c>
      <c r="I630" s="27">
        <f t="shared" si="297"/>
        <v>9684.85</v>
      </c>
      <c r="J630" s="27">
        <f t="shared" si="297"/>
        <v>9275.67</v>
      </c>
      <c r="K630" s="27">
        <f t="shared" si="298"/>
        <v>9544.9483333333337</v>
      </c>
      <c r="L630" s="65"/>
      <c r="M630" s="67">
        <f t="shared" si="299"/>
        <v>0</v>
      </c>
      <c r="N630" s="65" t="str">
        <f t="shared" si="291"/>
        <v/>
      </c>
      <c r="O630" s="65" t="str">
        <f t="shared" si="300"/>
        <v/>
      </c>
      <c r="P630" s="65" t="str">
        <f t="shared" si="300"/>
        <v/>
      </c>
      <c r="Q630" s="38"/>
      <c r="R630" s="3" t="str">
        <f t="shared" si="301"/>
        <v>Ramanathapuram</v>
      </c>
      <c r="S630" s="3" t="str">
        <f t="shared" si="293"/>
        <v>Paramakudi</v>
      </c>
      <c r="T630" s="3" t="str">
        <f t="shared" si="293"/>
        <v>Paramakudi</v>
      </c>
      <c r="U630" s="3" t="str">
        <f t="shared" si="284"/>
        <v>Ramanathapuram_Paramakudi_Paramakudi</v>
      </c>
      <c r="V630" s="3">
        <f>IF(_xlfn.XLOOKUP($U630,GCA!$H$3:$H$593,GCA!E$3:E$593,"",0,1)="","",_xlfn.XLOOKUP($U630,GCA!$H$3:$H$593,GCA!E$3:E$593,"",0,1))</f>
        <v>9674.3250000000007</v>
      </c>
      <c r="W630" s="3">
        <f>IF(_xlfn.XLOOKUP($U630,GCA!$H$3:$H$593,GCA!F$3:F$593,"",0,1)="","",_xlfn.XLOOKUP($U630,GCA!$H$3:$H$593,GCA!F$3:F$593,"",0,1))</f>
        <v>9684.85</v>
      </c>
      <c r="X630" s="3">
        <f>IF(_xlfn.XLOOKUP($U630,GCA!$H$3:$H$593,GCA!G$3:G$593,"",0,1)="","",_xlfn.XLOOKUP($U630,GCA!$H$3:$H$593,GCA!G$3:G$593,"",0,1))</f>
        <v>9275.67</v>
      </c>
    </row>
    <row r="631" spans="1:24" ht="13.2">
      <c r="A631" s="49"/>
      <c r="B631" s="49"/>
      <c r="C631" s="48"/>
      <c r="D631" s="49"/>
      <c r="E631" s="50"/>
      <c r="F631" s="26" t="s">
        <v>1000</v>
      </c>
      <c r="G631" s="26" t="s">
        <v>999</v>
      </c>
      <c r="H631" s="27">
        <f t="shared" si="297"/>
        <v>1364.11</v>
      </c>
      <c r="I631" s="27">
        <f t="shared" si="297"/>
        <v>1377.65</v>
      </c>
      <c r="J631" s="27">
        <f t="shared" si="297"/>
        <v>1439.36</v>
      </c>
      <c r="K631" s="27">
        <f t="shared" si="298"/>
        <v>1393.7066666666667</v>
      </c>
      <c r="L631" s="65"/>
      <c r="M631" s="67">
        <f t="shared" si="299"/>
        <v>0</v>
      </c>
      <c r="N631" s="65" t="str">
        <f t="shared" si="291"/>
        <v/>
      </c>
      <c r="O631" s="65" t="str">
        <f t="shared" si="300"/>
        <v/>
      </c>
      <c r="P631" s="65" t="str">
        <f t="shared" si="300"/>
        <v/>
      </c>
      <c r="Q631" s="38"/>
      <c r="R631" s="3" t="str">
        <f t="shared" si="301"/>
        <v>Ramanathapuram</v>
      </c>
      <c r="S631" s="3" t="str">
        <f t="shared" si="293"/>
        <v>R.S.Mangalam</v>
      </c>
      <c r="T631" s="3" t="str">
        <f t="shared" si="293"/>
        <v>Nainarkoil</v>
      </c>
      <c r="U631" s="3" t="str">
        <f t="shared" si="284"/>
        <v>Ramanathapuram_R.S.Mangalam_Nainarkoil</v>
      </c>
      <c r="V631" s="3">
        <f>IF(_xlfn.XLOOKUP($U631,GCA!$H$3:$H$593,GCA!E$3:E$593,"",0,1)="","",_xlfn.XLOOKUP($U631,GCA!$H$3:$H$593,GCA!E$3:E$593,"",0,1))</f>
        <v>1364.11</v>
      </c>
      <c r="W631" s="3">
        <f>IF(_xlfn.XLOOKUP($U631,GCA!$H$3:$H$593,GCA!F$3:F$593,"",0,1)="","",_xlfn.XLOOKUP($U631,GCA!$H$3:$H$593,GCA!F$3:F$593,"",0,1))</f>
        <v>1377.65</v>
      </c>
      <c r="X631" s="3">
        <f>IF(_xlfn.XLOOKUP($U631,GCA!$H$3:$H$593,GCA!G$3:G$593,"",0,1)="","",_xlfn.XLOOKUP($U631,GCA!$H$3:$H$593,GCA!G$3:G$593,"",0,1))</f>
        <v>1439.36</v>
      </c>
    </row>
    <row r="632" spans="1:24" ht="13.2">
      <c r="A632" s="49"/>
      <c r="B632" s="49"/>
      <c r="C632" s="48"/>
      <c r="D632" s="49"/>
      <c r="E632" s="50"/>
      <c r="F632" s="26" t="s">
        <v>1000</v>
      </c>
      <c r="G632" s="26" t="s">
        <v>1000</v>
      </c>
      <c r="H632" s="27">
        <f t="shared" si="297"/>
        <v>19225.72</v>
      </c>
      <c r="I632" s="27">
        <f t="shared" si="297"/>
        <v>19480.57</v>
      </c>
      <c r="J632" s="27">
        <f t="shared" si="297"/>
        <v>19385.73</v>
      </c>
      <c r="K632" s="27">
        <f t="shared" si="298"/>
        <v>19364.006666666668</v>
      </c>
      <c r="L632" s="65"/>
      <c r="M632" s="67">
        <f t="shared" si="299"/>
        <v>0</v>
      </c>
      <c r="N632" s="65" t="str">
        <f t="shared" si="291"/>
        <v/>
      </c>
      <c r="O632" s="65" t="str">
        <f t="shared" si="300"/>
        <v/>
      </c>
      <c r="P632" s="65" t="str">
        <f t="shared" si="300"/>
        <v/>
      </c>
      <c r="Q632" s="38"/>
      <c r="R632" s="3" t="str">
        <f t="shared" si="301"/>
        <v>Ramanathapuram</v>
      </c>
      <c r="S632" s="3" t="str">
        <f t="shared" si="293"/>
        <v>R.S.Mangalam</v>
      </c>
      <c r="T632" s="3" t="str">
        <f t="shared" si="293"/>
        <v>R.S.Mangalam</v>
      </c>
      <c r="U632" s="3" t="str">
        <f t="shared" si="284"/>
        <v>Ramanathapuram_R.S.Mangalam_R.S.Mangalam</v>
      </c>
      <c r="V632" s="3">
        <f>IF(_xlfn.XLOOKUP($U632,GCA!$H$3:$H$593,GCA!E$3:E$593,"",0,1)="","",_xlfn.XLOOKUP($U632,GCA!$H$3:$H$593,GCA!E$3:E$593,"",0,1))</f>
        <v>19225.72</v>
      </c>
      <c r="W632" s="3">
        <f>IF(_xlfn.XLOOKUP($U632,GCA!$H$3:$H$593,GCA!F$3:F$593,"",0,1)="","",_xlfn.XLOOKUP($U632,GCA!$H$3:$H$593,GCA!F$3:F$593,"",0,1))</f>
        <v>19480.57</v>
      </c>
      <c r="X632" s="3">
        <f>IF(_xlfn.XLOOKUP($U632,GCA!$H$3:$H$593,GCA!G$3:G$593,"",0,1)="","",_xlfn.XLOOKUP($U632,GCA!$H$3:$H$593,GCA!G$3:G$593,"",0,1))</f>
        <v>19385.73</v>
      </c>
    </row>
    <row r="633" spans="1:24" ht="13.2">
      <c r="A633" s="49"/>
      <c r="B633" s="49"/>
      <c r="C633" s="48"/>
      <c r="D633" s="49"/>
      <c r="E633" s="50">
        <v>4</v>
      </c>
      <c r="F633" s="26" t="s">
        <v>249</v>
      </c>
      <c r="G633" s="26" t="s">
        <v>1001</v>
      </c>
      <c r="H633" s="27">
        <f t="shared" si="297"/>
        <v>5904.0950000000003</v>
      </c>
      <c r="I633" s="27">
        <f t="shared" si="297"/>
        <v>6102.7</v>
      </c>
      <c r="J633" s="27">
        <f t="shared" si="297"/>
        <v>6210.125</v>
      </c>
      <c r="K633" s="27">
        <f t="shared" si="298"/>
        <v>6072.3066666666664</v>
      </c>
      <c r="L633" s="65">
        <f>SUM(K633:K638)</f>
        <v>44996.851666666662</v>
      </c>
      <c r="M633" s="67">
        <f t="shared" si="299"/>
        <v>1.8886994493160552</v>
      </c>
      <c r="N633" s="65">
        <f t="shared" si="291"/>
        <v>2</v>
      </c>
      <c r="O633" s="65">
        <f t="shared" si="300"/>
        <v>2</v>
      </c>
      <c r="P633" s="65">
        <f t="shared" si="300"/>
        <v>2</v>
      </c>
      <c r="Q633" s="38"/>
      <c r="R633" s="3" t="str">
        <f t="shared" si="301"/>
        <v>Ramanathapuram</v>
      </c>
      <c r="S633" s="3" t="str">
        <f t="shared" si="293"/>
        <v>Ramanathapuram</v>
      </c>
      <c r="T633" s="3" t="str">
        <f t="shared" si="293"/>
        <v>Mandapam</v>
      </c>
      <c r="U633" s="3" t="str">
        <f t="shared" si="284"/>
        <v>Ramanathapuram_Ramanathapuram_Mandapam</v>
      </c>
      <c r="V633" s="3">
        <f>IF(_xlfn.XLOOKUP($U633,GCA!$H$3:$H$593,GCA!E$3:E$593,"",0,1)="","",_xlfn.XLOOKUP($U633,GCA!$H$3:$H$593,GCA!E$3:E$593,"",0,1))</f>
        <v>5904.0950000000003</v>
      </c>
      <c r="W633" s="3">
        <f>IF(_xlfn.XLOOKUP($U633,GCA!$H$3:$H$593,GCA!F$3:F$593,"",0,1)="","",_xlfn.XLOOKUP($U633,GCA!$H$3:$H$593,GCA!F$3:F$593,"",0,1))</f>
        <v>6102.7</v>
      </c>
      <c r="X633" s="3">
        <f>IF(_xlfn.XLOOKUP($U633,GCA!$H$3:$H$593,GCA!G$3:G$593,"",0,1)="","",_xlfn.XLOOKUP($U633,GCA!$H$3:$H$593,GCA!G$3:G$593,"",0,1))</f>
        <v>6210.125</v>
      </c>
    </row>
    <row r="634" spans="1:24" ht="13.2">
      <c r="A634" s="49"/>
      <c r="B634" s="49"/>
      <c r="C634" s="48"/>
      <c r="D634" s="49"/>
      <c r="E634" s="50"/>
      <c r="F634" s="26" t="s">
        <v>249</v>
      </c>
      <c r="G634" s="26" t="s">
        <v>249</v>
      </c>
      <c r="H634" s="27">
        <f t="shared" si="297"/>
        <v>8950.9650000000001</v>
      </c>
      <c r="I634" s="27">
        <f t="shared" si="297"/>
        <v>8983.9850000000006</v>
      </c>
      <c r="J634" s="27">
        <f t="shared" si="297"/>
        <v>10149.56</v>
      </c>
      <c r="K634" s="27">
        <f t="shared" si="298"/>
        <v>9361.503333333334</v>
      </c>
      <c r="L634" s="65"/>
      <c r="M634" s="67">
        <f t="shared" si="299"/>
        <v>0</v>
      </c>
      <c r="N634" s="65" t="str">
        <f t="shared" si="291"/>
        <v/>
      </c>
      <c r="O634" s="65" t="str">
        <f t="shared" si="300"/>
        <v/>
      </c>
      <c r="P634" s="65" t="str">
        <f t="shared" si="300"/>
        <v/>
      </c>
      <c r="Q634" s="38"/>
      <c r="R634" s="3" t="str">
        <f t="shared" si="301"/>
        <v>Ramanathapuram</v>
      </c>
      <c r="S634" s="3" t="str">
        <f t="shared" si="293"/>
        <v>Ramanathapuram</v>
      </c>
      <c r="T634" s="3" t="str">
        <f t="shared" si="293"/>
        <v>Ramanathapuram</v>
      </c>
      <c r="U634" s="3" t="str">
        <f t="shared" si="284"/>
        <v>Ramanathapuram_Ramanathapuram_Ramanathapuram</v>
      </c>
      <c r="V634" s="3">
        <f>IF(_xlfn.XLOOKUP($U634,GCA!$H$3:$H$593,GCA!E$3:E$593,"",0,1)="","",_xlfn.XLOOKUP($U634,GCA!$H$3:$H$593,GCA!E$3:E$593,"",0,1))</f>
        <v>8950.9650000000001</v>
      </c>
      <c r="W634" s="3">
        <f>IF(_xlfn.XLOOKUP($U634,GCA!$H$3:$H$593,GCA!F$3:F$593,"",0,1)="","",_xlfn.XLOOKUP($U634,GCA!$H$3:$H$593,GCA!F$3:F$593,"",0,1))</f>
        <v>8983.9850000000006</v>
      </c>
      <c r="X634" s="3">
        <f>IF(_xlfn.XLOOKUP($U634,GCA!$H$3:$H$593,GCA!G$3:G$593,"",0,1)="","",_xlfn.XLOOKUP($U634,GCA!$H$3:$H$593,GCA!G$3:G$593,"",0,1))</f>
        <v>10149.56</v>
      </c>
    </row>
    <row r="635" spans="1:24" ht="13.2">
      <c r="A635" s="49"/>
      <c r="B635" s="49"/>
      <c r="C635" s="48"/>
      <c r="D635" s="49"/>
      <c r="E635" s="50"/>
      <c r="F635" s="26" t="s">
        <v>249</v>
      </c>
      <c r="G635" s="26" t="s">
        <v>994</v>
      </c>
      <c r="H635" s="27">
        <f t="shared" si="297"/>
        <v>364.565</v>
      </c>
      <c r="I635" s="27">
        <f t="shared" si="297"/>
        <v>378.11500000000001</v>
      </c>
      <c r="J635" s="27">
        <f t="shared" si="297"/>
        <v>342.25</v>
      </c>
      <c r="K635" s="27">
        <f t="shared" si="298"/>
        <v>361.64333333333337</v>
      </c>
      <c r="L635" s="65"/>
      <c r="M635" s="67">
        <f t="shared" si="299"/>
        <v>0</v>
      </c>
      <c r="N635" s="65" t="str">
        <f t="shared" si="291"/>
        <v/>
      </c>
      <c r="O635" s="65" t="str">
        <f t="shared" si="300"/>
        <v/>
      </c>
      <c r="P635" s="65" t="str">
        <f t="shared" si="300"/>
        <v/>
      </c>
      <c r="Q635" s="38"/>
      <c r="R635" s="3" t="str">
        <f t="shared" si="301"/>
        <v>Ramanathapuram</v>
      </c>
      <c r="S635" s="3" t="str">
        <f t="shared" si="293"/>
        <v>Ramanathapuram</v>
      </c>
      <c r="T635" s="3" t="str">
        <f t="shared" si="293"/>
        <v>Thirupullani</v>
      </c>
      <c r="U635" s="3" t="str">
        <f t="shared" si="284"/>
        <v>Ramanathapuram_Ramanathapuram_Thirupullani</v>
      </c>
      <c r="V635" s="3">
        <f>IF(_xlfn.XLOOKUP($U635,GCA!$H$3:$H$593,GCA!E$3:E$593,"",0,1)="","",_xlfn.XLOOKUP($U635,GCA!$H$3:$H$593,GCA!E$3:E$593,"",0,1))</f>
        <v>364.565</v>
      </c>
      <c r="W635" s="3">
        <f>IF(_xlfn.XLOOKUP($U635,GCA!$H$3:$H$593,GCA!F$3:F$593,"",0,1)="","",_xlfn.XLOOKUP($U635,GCA!$H$3:$H$593,GCA!F$3:F$593,"",0,1))</f>
        <v>378.11500000000001</v>
      </c>
      <c r="X635" s="3">
        <f>IF(_xlfn.XLOOKUP($U635,GCA!$H$3:$H$593,GCA!G$3:G$593,"",0,1)="","",_xlfn.XLOOKUP($U635,GCA!$H$3:$H$593,GCA!G$3:G$593,"",0,1))</f>
        <v>342.25</v>
      </c>
    </row>
    <row r="636" spans="1:24" ht="13.2">
      <c r="A636" s="49"/>
      <c r="B636" s="49"/>
      <c r="C636" s="48"/>
      <c r="D636" s="49"/>
      <c r="E636" s="50"/>
      <c r="F636" s="26" t="s">
        <v>1002</v>
      </c>
      <c r="G636" s="26" t="s">
        <v>1001</v>
      </c>
      <c r="H636" s="27">
        <f t="shared" si="297"/>
        <v>605.05499999999995</v>
      </c>
      <c r="I636" s="27">
        <f t="shared" si="297"/>
        <v>596.23500000000001</v>
      </c>
      <c r="J636" s="27">
        <f t="shared" si="297"/>
        <v>639.24</v>
      </c>
      <c r="K636" s="27">
        <f t="shared" si="298"/>
        <v>613.51</v>
      </c>
      <c r="L636" s="65"/>
      <c r="M636" s="67">
        <f t="shared" si="299"/>
        <v>0</v>
      </c>
      <c r="N636" s="65" t="str">
        <f t="shared" si="291"/>
        <v/>
      </c>
      <c r="O636" s="65" t="str">
        <f t="shared" si="300"/>
        <v/>
      </c>
      <c r="P636" s="65" t="str">
        <f t="shared" si="300"/>
        <v/>
      </c>
      <c r="Q636" s="38"/>
      <c r="R636" s="3" t="str">
        <f t="shared" si="301"/>
        <v>Ramanathapuram</v>
      </c>
      <c r="S636" s="3" t="str">
        <f t="shared" si="293"/>
        <v>Rameswaram</v>
      </c>
      <c r="T636" s="3" t="str">
        <f t="shared" si="293"/>
        <v>Mandapam</v>
      </c>
      <c r="U636" s="3" t="str">
        <f t="shared" si="284"/>
        <v>Ramanathapuram_Rameswaram_Mandapam</v>
      </c>
      <c r="V636" s="3">
        <f>IF(_xlfn.XLOOKUP($U636,GCA!$H$3:$H$593,GCA!E$3:E$593,"",0,1)="","",_xlfn.XLOOKUP($U636,GCA!$H$3:$H$593,GCA!E$3:E$593,"",0,1))</f>
        <v>605.05499999999995</v>
      </c>
      <c r="W636" s="3">
        <f>IF(_xlfn.XLOOKUP($U636,GCA!$H$3:$H$593,GCA!F$3:F$593,"",0,1)="","",_xlfn.XLOOKUP($U636,GCA!$H$3:$H$593,GCA!F$3:F$593,"",0,1))</f>
        <v>596.23500000000001</v>
      </c>
      <c r="X636" s="3">
        <f>IF(_xlfn.XLOOKUP($U636,GCA!$H$3:$H$593,GCA!G$3:G$593,"",0,1)="","",_xlfn.XLOOKUP($U636,GCA!$H$3:$H$593,GCA!G$3:G$593,"",0,1))</f>
        <v>639.24</v>
      </c>
    </row>
    <row r="637" spans="1:24" ht="13.2">
      <c r="A637" s="49"/>
      <c r="B637" s="49"/>
      <c r="C637" s="48"/>
      <c r="D637" s="49"/>
      <c r="E637" s="50"/>
      <c r="F637" s="26" t="s">
        <v>1003</v>
      </c>
      <c r="G637" s="26" t="s">
        <v>1000</v>
      </c>
      <c r="H637" s="27">
        <f t="shared" si="297"/>
        <v>1673.7950000000001</v>
      </c>
      <c r="I637" s="27">
        <f t="shared" si="297"/>
        <v>1762.93</v>
      </c>
      <c r="J637" s="27">
        <f t="shared" si="297"/>
        <v>1728.98</v>
      </c>
      <c r="K637" s="27">
        <f t="shared" si="298"/>
        <v>1721.9016666666666</v>
      </c>
      <c r="L637" s="65"/>
      <c r="M637" s="67">
        <f t="shared" si="299"/>
        <v>0</v>
      </c>
      <c r="N637" s="65" t="str">
        <f t="shared" si="291"/>
        <v/>
      </c>
      <c r="O637" s="65" t="str">
        <f t="shared" si="300"/>
        <v/>
      </c>
      <c r="P637" s="65" t="str">
        <f t="shared" si="300"/>
        <v/>
      </c>
      <c r="Q637" s="38"/>
      <c r="R637" s="3" t="str">
        <f t="shared" si="301"/>
        <v>Ramanathapuram</v>
      </c>
      <c r="S637" s="3" t="str">
        <f t="shared" si="293"/>
        <v>Thiruvadanai</v>
      </c>
      <c r="T637" s="3" t="str">
        <f t="shared" si="293"/>
        <v>R.S.Mangalam</v>
      </c>
      <c r="U637" s="3" t="str">
        <f t="shared" si="284"/>
        <v>Ramanathapuram_Thiruvadanai_R.S.Mangalam</v>
      </c>
      <c r="V637" s="3">
        <f>IF(_xlfn.XLOOKUP($U637,GCA!$H$3:$H$593,GCA!E$3:E$593,"",0,1)="","",_xlfn.XLOOKUP($U637,GCA!$H$3:$H$593,GCA!E$3:E$593,"",0,1))</f>
        <v>1673.7950000000001</v>
      </c>
      <c r="W637" s="3">
        <f>IF(_xlfn.XLOOKUP($U637,GCA!$H$3:$H$593,GCA!F$3:F$593,"",0,1)="","",_xlfn.XLOOKUP($U637,GCA!$H$3:$H$593,GCA!F$3:F$593,"",0,1))</f>
        <v>1762.93</v>
      </c>
      <c r="X637" s="3">
        <f>IF(_xlfn.XLOOKUP($U637,GCA!$H$3:$H$593,GCA!G$3:G$593,"",0,1)="","",_xlfn.XLOOKUP($U637,GCA!$H$3:$H$593,GCA!G$3:G$593,"",0,1))</f>
        <v>1728.98</v>
      </c>
    </row>
    <row r="638" spans="1:24" ht="13.2">
      <c r="A638" s="49"/>
      <c r="B638" s="49"/>
      <c r="C638" s="48"/>
      <c r="D638" s="49"/>
      <c r="E638" s="50"/>
      <c r="F638" s="26" t="s">
        <v>1003</v>
      </c>
      <c r="G638" s="26" t="s">
        <v>1003</v>
      </c>
      <c r="H638" s="27">
        <f t="shared" si="297"/>
        <v>26865.544999999998</v>
      </c>
      <c r="I638" s="27">
        <f t="shared" si="297"/>
        <v>26882.345000000001</v>
      </c>
      <c r="J638" s="27">
        <f t="shared" si="297"/>
        <v>26850.07</v>
      </c>
      <c r="K638" s="27">
        <f t="shared" si="298"/>
        <v>26865.986666666664</v>
      </c>
      <c r="L638" s="65"/>
      <c r="M638" s="67">
        <f t="shared" si="299"/>
        <v>0</v>
      </c>
      <c r="N638" s="65" t="str">
        <f t="shared" si="291"/>
        <v/>
      </c>
      <c r="O638" s="65" t="str">
        <f t="shared" ref="O638:P638" si="302">N638</f>
        <v/>
      </c>
      <c r="P638" s="65" t="str">
        <f t="shared" si="302"/>
        <v/>
      </c>
      <c r="Q638" s="38"/>
      <c r="R638" s="3" t="str">
        <f t="shared" si="301"/>
        <v>Ramanathapuram</v>
      </c>
      <c r="S638" s="3" t="str">
        <f t="shared" si="293"/>
        <v>Thiruvadanai</v>
      </c>
      <c r="T638" s="3" t="str">
        <f t="shared" si="293"/>
        <v>Thiruvadanai</v>
      </c>
      <c r="U638" s="3" t="str">
        <f t="shared" si="284"/>
        <v>Ramanathapuram_Thiruvadanai_Thiruvadanai</v>
      </c>
      <c r="V638" s="3">
        <f>IF(_xlfn.XLOOKUP($U638,GCA!$H$3:$H$593,GCA!E$3:E$593,"",0,1)="","",_xlfn.XLOOKUP($U638,GCA!$H$3:$H$593,GCA!E$3:E$593,"",0,1))</f>
        <v>26865.544999999998</v>
      </c>
      <c r="W638" s="3">
        <f>IF(_xlfn.XLOOKUP($U638,GCA!$H$3:$H$593,GCA!F$3:F$593,"",0,1)="","",_xlfn.XLOOKUP($U638,GCA!$H$3:$H$593,GCA!F$3:F$593,"",0,1))</f>
        <v>26882.345000000001</v>
      </c>
      <c r="X638" s="3">
        <f>IF(_xlfn.XLOOKUP($U638,GCA!$H$3:$H$593,GCA!G$3:G$593,"",0,1)="","",_xlfn.XLOOKUP($U638,GCA!$H$3:$H$593,GCA!G$3:G$593,"",0,1))</f>
        <v>26850.07</v>
      </c>
    </row>
    <row r="639" spans="1:24" ht="13.2">
      <c r="A639" s="49"/>
      <c r="B639" s="49"/>
      <c r="C639" s="48"/>
      <c r="D639" s="49"/>
      <c r="E639" s="47" t="s">
        <v>564</v>
      </c>
      <c r="F639" s="47"/>
      <c r="G639" s="47"/>
      <c r="H639" s="29">
        <f t="shared" ref="H639:P639" si="303">SUM(H622:H638)</f>
        <v>192251.33500000002</v>
      </c>
      <c r="I639" s="29">
        <f t="shared" si="303"/>
        <v>191979.64499999999</v>
      </c>
      <c r="J639" s="29">
        <f t="shared" si="303"/>
        <v>189088</v>
      </c>
      <c r="K639" s="29">
        <f t="shared" si="303"/>
        <v>191106.32666666669</v>
      </c>
      <c r="L639" s="29">
        <f t="shared" si="303"/>
        <v>191106.32666666666</v>
      </c>
      <c r="M639" s="30">
        <f t="shared" si="303"/>
        <v>8.0215037400834639</v>
      </c>
      <c r="N639" s="31">
        <f t="shared" si="303"/>
        <v>8</v>
      </c>
      <c r="O639" s="31">
        <f t="shared" si="303"/>
        <v>8</v>
      </c>
      <c r="P639" s="31">
        <f t="shared" si="303"/>
        <v>8</v>
      </c>
      <c r="Q639" s="38"/>
    </row>
    <row r="640" spans="1:24" ht="13.2">
      <c r="A640" s="49"/>
      <c r="B640" s="49"/>
      <c r="C640" s="54" t="s">
        <v>521</v>
      </c>
      <c r="D640" s="54"/>
      <c r="E640" s="54"/>
      <c r="F640" s="54"/>
      <c r="G640" s="54"/>
      <c r="H640" s="32">
        <f>SUM(H639,H621)</f>
        <v>333901.31</v>
      </c>
      <c r="I640" s="32">
        <f t="shared" ref="I640:P640" si="304">SUM(I639,I621)</f>
        <v>337176.53</v>
      </c>
      <c r="J640" s="32">
        <f t="shared" si="304"/>
        <v>333535.68499999994</v>
      </c>
      <c r="K640" s="32">
        <f t="shared" si="304"/>
        <v>334871.17500000005</v>
      </c>
      <c r="L640" s="32">
        <f t="shared" si="304"/>
        <v>334871.17499999999</v>
      </c>
      <c r="M640" s="46">
        <f t="shared" si="304"/>
        <v>14.055894587906252</v>
      </c>
      <c r="N640" s="32">
        <f t="shared" si="304"/>
        <v>14</v>
      </c>
      <c r="O640" s="32">
        <f t="shared" si="304"/>
        <v>14</v>
      </c>
      <c r="P640" s="32">
        <f t="shared" si="304"/>
        <v>14</v>
      </c>
      <c r="Q640" s="38"/>
    </row>
    <row r="641" spans="1:17" ht="13.2">
      <c r="A641" s="49"/>
      <c r="B641" s="55" t="s">
        <v>522</v>
      </c>
      <c r="C641" s="55"/>
      <c r="D641" s="55"/>
      <c r="E641" s="55"/>
      <c r="F641" s="55"/>
      <c r="G641" s="55"/>
      <c r="H641" s="43">
        <f t="shared" ref="H641:P641" si="305">SUM(H640,H598,H521,H442)</f>
        <v>2243873.0519999997</v>
      </c>
      <c r="I641" s="43">
        <f t="shared" si="305"/>
        <v>2276002.9709999999</v>
      </c>
      <c r="J641" s="43">
        <f t="shared" si="305"/>
        <v>2352776.5649999995</v>
      </c>
      <c r="K641" s="43">
        <f t="shared" si="305"/>
        <v>2290884.196</v>
      </c>
      <c r="L641" s="43">
        <f t="shared" si="305"/>
        <v>2290884.196</v>
      </c>
      <c r="M641" s="44">
        <f t="shared" si="305"/>
        <v>96.15765457291559</v>
      </c>
      <c r="N641" s="45">
        <f t="shared" si="305"/>
        <v>96</v>
      </c>
      <c r="O641" s="45">
        <f t="shared" si="305"/>
        <v>96</v>
      </c>
      <c r="P641" s="45">
        <f t="shared" si="305"/>
        <v>96</v>
      </c>
      <c r="Q641" s="38"/>
    </row>
    <row r="642" spans="1:17" ht="13.2">
      <c r="A642" s="59" t="s">
        <v>523</v>
      </c>
      <c r="B642" s="59"/>
      <c r="C642" s="59"/>
      <c r="D642" s="59"/>
      <c r="E642" s="59"/>
      <c r="F642" s="59"/>
      <c r="G642" s="59"/>
      <c r="H642" s="35">
        <f t="shared" ref="H642:P642" si="306">SUM(H641,H372,H213)</f>
        <v>6206578.5189999994</v>
      </c>
      <c r="I642" s="35">
        <f t="shared" si="306"/>
        <v>6116198.9719999991</v>
      </c>
      <c r="J642" s="35">
        <f t="shared" si="306"/>
        <v>6260139.0829999996</v>
      </c>
      <c r="K642" s="35">
        <f t="shared" si="306"/>
        <v>6194305.524666667</v>
      </c>
      <c r="L642" s="35">
        <f t="shared" si="306"/>
        <v>6194305.524666667</v>
      </c>
      <c r="M642" s="36">
        <f t="shared" si="306"/>
        <v>260</v>
      </c>
      <c r="N642" s="37">
        <f t="shared" si="306"/>
        <v>260</v>
      </c>
      <c r="O642" s="37">
        <f t="shared" si="306"/>
        <v>260</v>
      </c>
      <c r="P642" s="37">
        <f t="shared" si="306"/>
        <v>260</v>
      </c>
      <c r="Q642" s="38"/>
    </row>
    <row r="643" spans="1:17">
      <c r="K643" s="40"/>
      <c r="L643" s="13">
        <v>260</v>
      </c>
      <c r="M643" s="4"/>
    </row>
    <row r="644" spans="1:17">
      <c r="K644" s="40"/>
    </row>
  </sheetData>
  <mergeCells count="820">
    <mergeCell ref="E639:G639"/>
    <mergeCell ref="C640:G640"/>
    <mergeCell ref="B641:G641"/>
    <mergeCell ref="A642:G642"/>
    <mergeCell ref="M628:M632"/>
    <mergeCell ref="N628:N632"/>
    <mergeCell ref="O628:O632"/>
    <mergeCell ref="P628:P632"/>
    <mergeCell ref="E633:E638"/>
    <mergeCell ref="L633:L638"/>
    <mergeCell ref="M633:M638"/>
    <mergeCell ref="N633:N638"/>
    <mergeCell ref="O633:O638"/>
    <mergeCell ref="P633:P638"/>
    <mergeCell ref="N622:N623"/>
    <mergeCell ref="O622:O623"/>
    <mergeCell ref="P622:P623"/>
    <mergeCell ref="E624:E627"/>
    <mergeCell ref="L624:L627"/>
    <mergeCell ref="M624:M627"/>
    <mergeCell ref="N624:N627"/>
    <mergeCell ref="O624:O627"/>
    <mergeCell ref="P624:P627"/>
    <mergeCell ref="M612:M620"/>
    <mergeCell ref="N612:N620"/>
    <mergeCell ref="O612:O620"/>
    <mergeCell ref="P612:P620"/>
    <mergeCell ref="E621:G621"/>
    <mergeCell ref="C622:C639"/>
    <mergeCell ref="D622:D639"/>
    <mergeCell ref="E622:E623"/>
    <mergeCell ref="L622:L623"/>
    <mergeCell ref="M622:M623"/>
    <mergeCell ref="M599:M602"/>
    <mergeCell ref="N599:N602"/>
    <mergeCell ref="O599:O602"/>
    <mergeCell ref="P599:P602"/>
    <mergeCell ref="E603:E611"/>
    <mergeCell ref="L603:L611"/>
    <mergeCell ref="M603:M611"/>
    <mergeCell ref="N603:N611"/>
    <mergeCell ref="O603:O611"/>
    <mergeCell ref="P603:P611"/>
    <mergeCell ref="C598:G598"/>
    <mergeCell ref="B599:B640"/>
    <mergeCell ref="C599:C621"/>
    <mergeCell ref="D599:D621"/>
    <mergeCell ref="E599:E602"/>
    <mergeCell ref="L599:L602"/>
    <mergeCell ref="E612:E620"/>
    <mergeCell ref="L612:L620"/>
    <mergeCell ref="E628:E632"/>
    <mergeCell ref="L628:L632"/>
    <mergeCell ref="N575:N584"/>
    <mergeCell ref="O575:O584"/>
    <mergeCell ref="P575:P584"/>
    <mergeCell ref="E585:E596"/>
    <mergeCell ref="L585:L596"/>
    <mergeCell ref="M585:M596"/>
    <mergeCell ref="N585:N596"/>
    <mergeCell ref="O585:O596"/>
    <mergeCell ref="P585:P596"/>
    <mergeCell ref="E574:G574"/>
    <mergeCell ref="C575:C597"/>
    <mergeCell ref="D575:D597"/>
    <mergeCell ref="E575:E584"/>
    <mergeCell ref="L575:L584"/>
    <mergeCell ref="M575:M584"/>
    <mergeCell ref="E597:G597"/>
    <mergeCell ref="O563:O568"/>
    <mergeCell ref="P563:P568"/>
    <mergeCell ref="E569:E573"/>
    <mergeCell ref="L569:L573"/>
    <mergeCell ref="M569:M573"/>
    <mergeCell ref="N569:N573"/>
    <mergeCell ref="O569:O573"/>
    <mergeCell ref="P569:P573"/>
    <mergeCell ref="N545:N561"/>
    <mergeCell ref="O545:O561"/>
    <mergeCell ref="P545:P561"/>
    <mergeCell ref="E562:G562"/>
    <mergeCell ref="C563:C574"/>
    <mergeCell ref="D563:D574"/>
    <mergeCell ref="E563:E568"/>
    <mergeCell ref="L563:L568"/>
    <mergeCell ref="M563:M568"/>
    <mergeCell ref="N563:N568"/>
    <mergeCell ref="E544:G544"/>
    <mergeCell ref="C545:C562"/>
    <mergeCell ref="D545:D562"/>
    <mergeCell ref="E545:E561"/>
    <mergeCell ref="L545:L561"/>
    <mergeCell ref="M545:M561"/>
    <mergeCell ref="E542:E543"/>
    <mergeCell ref="L542:L543"/>
    <mergeCell ref="M542:M543"/>
    <mergeCell ref="N542:N543"/>
    <mergeCell ref="O542:O543"/>
    <mergeCell ref="P542:P543"/>
    <mergeCell ref="E534:E541"/>
    <mergeCell ref="L534:L541"/>
    <mergeCell ref="M534:M541"/>
    <mergeCell ref="N534:N541"/>
    <mergeCell ref="O534:O541"/>
    <mergeCell ref="P534:P541"/>
    <mergeCell ref="M522:M529"/>
    <mergeCell ref="N522:N529"/>
    <mergeCell ref="O522:O529"/>
    <mergeCell ref="P522:P529"/>
    <mergeCell ref="E530:E533"/>
    <mergeCell ref="L530:L533"/>
    <mergeCell ref="M530:M533"/>
    <mergeCell ref="N530:N533"/>
    <mergeCell ref="O530:O533"/>
    <mergeCell ref="P530:P533"/>
    <mergeCell ref="N513:N519"/>
    <mergeCell ref="O513:O519"/>
    <mergeCell ref="P513:P519"/>
    <mergeCell ref="E520:G520"/>
    <mergeCell ref="C521:G521"/>
    <mergeCell ref="B522:B598"/>
    <mergeCell ref="C522:C544"/>
    <mergeCell ref="D522:D544"/>
    <mergeCell ref="E522:E529"/>
    <mergeCell ref="L522:L529"/>
    <mergeCell ref="N499:N503"/>
    <mergeCell ref="O499:O503"/>
    <mergeCell ref="P499:P503"/>
    <mergeCell ref="E504:E512"/>
    <mergeCell ref="L504:L512"/>
    <mergeCell ref="M504:M512"/>
    <mergeCell ref="N504:N512"/>
    <mergeCell ref="O504:O512"/>
    <mergeCell ref="P504:P512"/>
    <mergeCell ref="E498:G498"/>
    <mergeCell ref="C499:C520"/>
    <mergeCell ref="D499:D520"/>
    <mergeCell ref="E499:E503"/>
    <mergeCell ref="L499:L503"/>
    <mergeCell ref="M499:M503"/>
    <mergeCell ref="E513:E519"/>
    <mergeCell ref="L513:L519"/>
    <mergeCell ref="M513:M519"/>
    <mergeCell ref="E493:E497"/>
    <mergeCell ref="L493:L497"/>
    <mergeCell ref="M493:M497"/>
    <mergeCell ref="N493:N497"/>
    <mergeCell ref="O493:O497"/>
    <mergeCell ref="P493:P497"/>
    <mergeCell ref="E490:E492"/>
    <mergeCell ref="L490:L492"/>
    <mergeCell ref="M490:M492"/>
    <mergeCell ref="N490:N492"/>
    <mergeCell ref="O490:O492"/>
    <mergeCell ref="P490:P492"/>
    <mergeCell ref="E485:E489"/>
    <mergeCell ref="L485:L489"/>
    <mergeCell ref="M485:M489"/>
    <mergeCell ref="N485:N489"/>
    <mergeCell ref="O485:O489"/>
    <mergeCell ref="P485:P489"/>
    <mergeCell ref="E483:E484"/>
    <mergeCell ref="L483:L484"/>
    <mergeCell ref="M483:M484"/>
    <mergeCell ref="N483:N484"/>
    <mergeCell ref="O483:O484"/>
    <mergeCell ref="P483:P484"/>
    <mergeCell ref="E481:E482"/>
    <mergeCell ref="L481:L482"/>
    <mergeCell ref="M481:M482"/>
    <mergeCell ref="N481:N482"/>
    <mergeCell ref="O481:O482"/>
    <mergeCell ref="P481:P482"/>
    <mergeCell ref="E476:E480"/>
    <mergeCell ref="L476:L480"/>
    <mergeCell ref="M476:M480"/>
    <mergeCell ref="N476:N480"/>
    <mergeCell ref="O476:O480"/>
    <mergeCell ref="P476:P480"/>
    <mergeCell ref="L471:L474"/>
    <mergeCell ref="M471:M474"/>
    <mergeCell ref="N471:N474"/>
    <mergeCell ref="O471:O474"/>
    <mergeCell ref="P471:P474"/>
    <mergeCell ref="E475:G475"/>
    <mergeCell ref="P462:P466"/>
    <mergeCell ref="E467:E470"/>
    <mergeCell ref="L467:L470"/>
    <mergeCell ref="M467:M470"/>
    <mergeCell ref="N467:N470"/>
    <mergeCell ref="O467:O470"/>
    <mergeCell ref="P467:P470"/>
    <mergeCell ref="L459:L461"/>
    <mergeCell ref="M459:M461"/>
    <mergeCell ref="N459:N461"/>
    <mergeCell ref="O459:O461"/>
    <mergeCell ref="P459:P461"/>
    <mergeCell ref="E462:E466"/>
    <mergeCell ref="L462:L466"/>
    <mergeCell ref="M462:M466"/>
    <mergeCell ref="N462:N466"/>
    <mergeCell ref="O462:O466"/>
    <mergeCell ref="P447:P451"/>
    <mergeCell ref="E452:G452"/>
    <mergeCell ref="C453:C475"/>
    <mergeCell ref="D453:D475"/>
    <mergeCell ref="E453:E458"/>
    <mergeCell ref="L453:L458"/>
    <mergeCell ref="M453:M458"/>
    <mergeCell ref="N453:N458"/>
    <mergeCell ref="O453:O458"/>
    <mergeCell ref="P453:P458"/>
    <mergeCell ref="L443:L446"/>
    <mergeCell ref="M443:M446"/>
    <mergeCell ref="N443:N446"/>
    <mergeCell ref="O443:O446"/>
    <mergeCell ref="P443:P446"/>
    <mergeCell ref="E447:E451"/>
    <mergeCell ref="L447:L451"/>
    <mergeCell ref="M447:M451"/>
    <mergeCell ref="N447:N451"/>
    <mergeCell ref="O447:O451"/>
    <mergeCell ref="E441:G441"/>
    <mergeCell ref="C442:G442"/>
    <mergeCell ref="B443:B521"/>
    <mergeCell ref="C443:C452"/>
    <mergeCell ref="D443:D452"/>
    <mergeCell ref="E443:E446"/>
    <mergeCell ref="E459:E461"/>
    <mergeCell ref="E471:E474"/>
    <mergeCell ref="C476:C498"/>
    <mergeCell ref="D476:D498"/>
    <mergeCell ref="P433:P436"/>
    <mergeCell ref="E437:E440"/>
    <mergeCell ref="L437:L440"/>
    <mergeCell ref="M437:M440"/>
    <mergeCell ref="N437:N440"/>
    <mergeCell ref="O437:O440"/>
    <mergeCell ref="P437:P440"/>
    <mergeCell ref="O427:O431"/>
    <mergeCell ref="P427:P431"/>
    <mergeCell ref="E432:G432"/>
    <mergeCell ref="C433:C441"/>
    <mergeCell ref="D433:D441"/>
    <mergeCell ref="E433:E436"/>
    <mergeCell ref="L433:L436"/>
    <mergeCell ref="M433:M436"/>
    <mergeCell ref="N433:N436"/>
    <mergeCell ref="O433:O436"/>
    <mergeCell ref="O417:O423"/>
    <mergeCell ref="P417:P423"/>
    <mergeCell ref="E424:E426"/>
    <mergeCell ref="L424:L426"/>
    <mergeCell ref="M424:M426"/>
    <mergeCell ref="N424:N426"/>
    <mergeCell ref="O424:O426"/>
    <mergeCell ref="P424:P426"/>
    <mergeCell ref="C417:C432"/>
    <mergeCell ref="D417:D432"/>
    <mergeCell ref="E417:E423"/>
    <mergeCell ref="L417:L423"/>
    <mergeCell ref="M417:M423"/>
    <mergeCell ref="N417:N423"/>
    <mergeCell ref="E427:E431"/>
    <mergeCell ref="L427:L431"/>
    <mergeCell ref="M427:M431"/>
    <mergeCell ref="N427:N431"/>
    <mergeCell ref="P391:P397"/>
    <mergeCell ref="E398:E415"/>
    <mergeCell ref="L398:L415"/>
    <mergeCell ref="M398:M415"/>
    <mergeCell ref="N398:N415"/>
    <mergeCell ref="O398:O415"/>
    <mergeCell ref="P398:P415"/>
    <mergeCell ref="D391:D416"/>
    <mergeCell ref="E391:E397"/>
    <mergeCell ref="L391:L397"/>
    <mergeCell ref="M391:M397"/>
    <mergeCell ref="N391:N397"/>
    <mergeCell ref="O391:O397"/>
    <mergeCell ref="E416:G416"/>
    <mergeCell ref="M382:M385"/>
    <mergeCell ref="N382:N385"/>
    <mergeCell ref="O382:O385"/>
    <mergeCell ref="P382:P385"/>
    <mergeCell ref="E386:E389"/>
    <mergeCell ref="L386:L389"/>
    <mergeCell ref="M386:M389"/>
    <mergeCell ref="N386:N389"/>
    <mergeCell ref="O386:O389"/>
    <mergeCell ref="P386:P389"/>
    <mergeCell ref="M373:M377"/>
    <mergeCell ref="N373:N377"/>
    <mergeCell ref="O373:O377"/>
    <mergeCell ref="P373:P377"/>
    <mergeCell ref="E378:E381"/>
    <mergeCell ref="L378:L381"/>
    <mergeCell ref="M378:M381"/>
    <mergeCell ref="N378:N381"/>
    <mergeCell ref="O378:O381"/>
    <mergeCell ref="P378:P381"/>
    <mergeCell ref="A373:A641"/>
    <mergeCell ref="B373:B442"/>
    <mergeCell ref="C373:C390"/>
    <mergeCell ref="D373:D390"/>
    <mergeCell ref="E373:E377"/>
    <mergeCell ref="L373:L377"/>
    <mergeCell ref="E382:E385"/>
    <mergeCell ref="L382:L385"/>
    <mergeCell ref="E390:G390"/>
    <mergeCell ref="C391:C416"/>
    <mergeCell ref="N359:N369"/>
    <mergeCell ref="O359:O369"/>
    <mergeCell ref="P359:P369"/>
    <mergeCell ref="E370:G370"/>
    <mergeCell ref="C371:G371"/>
    <mergeCell ref="B372:G372"/>
    <mergeCell ref="E358:G358"/>
    <mergeCell ref="C359:C370"/>
    <mergeCell ref="D359:D370"/>
    <mergeCell ref="E359:E369"/>
    <mergeCell ref="L359:L369"/>
    <mergeCell ref="M359:M369"/>
    <mergeCell ref="E354:E357"/>
    <mergeCell ref="L354:L357"/>
    <mergeCell ref="M354:M357"/>
    <mergeCell ref="N354:N357"/>
    <mergeCell ref="O354:O357"/>
    <mergeCell ref="P354:P357"/>
    <mergeCell ref="E352:E353"/>
    <mergeCell ref="L352:L353"/>
    <mergeCell ref="M352:M353"/>
    <mergeCell ref="N352:N353"/>
    <mergeCell ref="O352:O353"/>
    <mergeCell ref="P352:P353"/>
    <mergeCell ref="E348:E351"/>
    <mergeCell ref="L348:L351"/>
    <mergeCell ref="M348:M351"/>
    <mergeCell ref="N348:N351"/>
    <mergeCell ref="O348:O351"/>
    <mergeCell ref="P348:P351"/>
    <mergeCell ref="E343:E347"/>
    <mergeCell ref="L343:L347"/>
    <mergeCell ref="M343:M347"/>
    <mergeCell ref="N343:N347"/>
    <mergeCell ref="O343:O347"/>
    <mergeCell ref="P343:P347"/>
    <mergeCell ref="N333:N337"/>
    <mergeCell ref="O333:O337"/>
    <mergeCell ref="P333:P337"/>
    <mergeCell ref="E338:E342"/>
    <mergeCell ref="L338:L342"/>
    <mergeCell ref="M338:M342"/>
    <mergeCell ref="N338:N342"/>
    <mergeCell ref="O338:O342"/>
    <mergeCell ref="P338:P342"/>
    <mergeCell ref="M323:M331"/>
    <mergeCell ref="N323:N331"/>
    <mergeCell ref="O323:O331"/>
    <mergeCell ref="P323:P331"/>
    <mergeCell ref="E332:G332"/>
    <mergeCell ref="C333:C358"/>
    <mergeCell ref="D333:D358"/>
    <mergeCell ref="E333:E337"/>
    <mergeCell ref="L333:L337"/>
    <mergeCell ref="M333:M337"/>
    <mergeCell ref="N319:N320"/>
    <mergeCell ref="O319:O320"/>
    <mergeCell ref="P319:P320"/>
    <mergeCell ref="E321:G321"/>
    <mergeCell ref="C322:G322"/>
    <mergeCell ref="B323:B371"/>
    <mergeCell ref="C323:C332"/>
    <mergeCell ref="D323:D332"/>
    <mergeCell ref="E323:E331"/>
    <mergeCell ref="L323:L331"/>
    <mergeCell ref="N314:N315"/>
    <mergeCell ref="O314:O315"/>
    <mergeCell ref="P314:P315"/>
    <mergeCell ref="E316:E318"/>
    <mergeCell ref="L316:L318"/>
    <mergeCell ref="M316:M318"/>
    <mergeCell ref="N316:N318"/>
    <mergeCell ref="O316:O318"/>
    <mergeCell ref="P316:P318"/>
    <mergeCell ref="E313:G313"/>
    <mergeCell ref="C314:C321"/>
    <mergeCell ref="D314:D321"/>
    <mergeCell ref="E314:E315"/>
    <mergeCell ref="L314:L315"/>
    <mergeCell ref="M314:M315"/>
    <mergeCell ref="E319:E320"/>
    <mergeCell ref="L319:L320"/>
    <mergeCell ref="M319:M320"/>
    <mergeCell ref="O304:O308"/>
    <mergeCell ref="P304:P308"/>
    <mergeCell ref="E309:E312"/>
    <mergeCell ref="L309:L312"/>
    <mergeCell ref="M309:M312"/>
    <mergeCell ref="N309:N312"/>
    <mergeCell ref="O309:O312"/>
    <mergeCell ref="P309:P312"/>
    <mergeCell ref="O295:O299"/>
    <mergeCell ref="P295:P299"/>
    <mergeCell ref="E300:E303"/>
    <mergeCell ref="L300:L303"/>
    <mergeCell ref="M300:M303"/>
    <mergeCell ref="N300:N303"/>
    <mergeCell ref="O300:O303"/>
    <mergeCell ref="P300:P303"/>
    <mergeCell ref="C295:C313"/>
    <mergeCell ref="D295:D313"/>
    <mergeCell ref="E295:E299"/>
    <mergeCell ref="L295:L299"/>
    <mergeCell ref="M295:M299"/>
    <mergeCell ref="N295:N299"/>
    <mergeCell ref="E304:E308"/>
    <mergeCell ref="L304:L308"/>
    <mergeCell ref="M304:M308"/>
    <mergeCell ref="N304:N308"/>
    <mergeCell ref="L290:L293"/>
    <mergeCell ref="M290:M293"/>
    <mergeCell ref="N290:N293"/>
    <mergeCell ref="O290:O293"/>
    <mergeCell ref="P290:P293"/>
    <mergeCell ref="E294:G294"/>
    <mergeCell ref="N284:N286"/>
    <mergeCell ref="O284:O286"/>
    <mergeCell ref="P284:P286"/>
    <mergeCell ref="E287:E289"/>
    <mergeCell ref="L287:L289"/>
    <mergeCell ref="M287:M289"/>
    <mergeCell ref="N287:N289"/>
    <mergeCell ref="O287:O289"/>
    <mergeCell ref="P287:P289"/>
    <mergeCell ref="N273:N278"/>
    <mergeCell ref="O273:O278"/>
    <mergeCell ref="P273:P278"/>
    <mergeCell ref="E279:E283"/>
    <mergeCell ref="L279:L283"/>
    <mergeCell ref="M279:M283"/>
    <mergeCell ref="N279:N283"/>
    <mergeCell ref="O279:O283"/>
    <mergeCell ref="P279:P283"/>
    <mergeCell ref="E272:G272"/>
    <mergeCell ref="C273:C294"/>
    <mergeCell ref="D273:D294"/>
    <mergeCell ref="E273:E278"/>
    <mergeCell ref="L273:L278"/>
    <mergeCell ref="M273:M278"/>
    <mergeCell ref="E284:E286"/>
    <mergeCell ref="L284:L286"/>
    <mergeCell ref="M284:M286"/>
    <mergeCell ref="E290:E293"/>
    <mergeCell ref="E265:E271"/>
    <mergeCell ref="L265:L271"/>
    <mergeCell ref="M265:M271"/>
    <mergeCell ref="N265:N271"/>
    <mergeCell ref="O265:O271"/>
    <mergeCell ref="P265:P271"/>
    <mergeCell ref="E261:E264"/>
    <mergeCell ref="L261:L264"/>
    <mergeCell ref="M261:M264"/>
    <mergeCell ref="N261:N264"/>
    <mergeCell ref="O261:O264"/>
    <mergeCell ref="P261:P264"/>
    <mergeCell ref="O254:O257"/>
    <mergeCell ref="P254:P257"/>
    <mergeCell ref="E258:E260"/>
    <mergeCell ref="L258:L260"/>
    <mergeCell ref="M258:M260"/>
    <mergeCell ref="N258:N260"/>
    <mergeCell ref="O258:O260"/>
    <mergeCell ref="P258:P260"/>
    <mergeCell ref="P244:P251"/>
    <mergeCell ref="E252:G252"/>
    <mergeCell ref="C253:G253"/>
    <mergeCell ref="B254:B322"/>
    <mergeCell ref="C254:C272"/>
    <mergeCell ref="D254:D272"/>
    <mergeCell ref="E254:E257"/>
    <mergeCell ref="L254:L257"/>
    <mergeCell ref="M254:M257"/>
    <mergeCell ref="N254:N257"/>
    <mergeCell ref="L241:L243"/>
    <mergeCell ref="M241:M243"/>
    <mergeCell ref="N241:N243"/>
    <mergeCell ref="O241:O243"/>
    <mergeCell ref="P241:P243"/>
    <mergeCell ref="E244:E251"/>
    <mergeCell ref="L244:L251"/>
    <mergeCell ref="M244:M251"/>
    <mergeCell ref="N244:N251"/>
    <mergeCell ref="O244:O251"/>
    <mergeCell ref="P221:P231"/>
    <mergeCell ref="E232:G232"/>
    <mergeCell ref="C233:C240"/>
    <mergeCell ref="D233:D240"/>
    <mergeCell ref="E233:E239"/>
    <mergeCell ref="L233:L239"/>
    <mergeCell ref="M233:M239"/>
    <mergeCell ref="N233:N239"/>
    <mergeCell ref="O233:O239"/>
    <mergeCell ref="P233:P239"/>
    <mergeCell ref="L214:L220"/>
    <mergeCell ref="M214:M220"/>
    <mergeCell ref="N214:N220"/>
    <mergeCell ref="O214:O220"/>
    <mergeCell ref="P214:P220"/>
    <mergeCell ref="E221:E231"/>
    <mergeCell ref="L221:L231"/>
    <mergeCell ref="M221:M231"/>
    <mergeCell ref="N221:N231"/>
    <mergeCell ref="O221:O231"/>
    <mergeCell ref="B213:G213"/>
    <mergeCell ref="A214:A372"/>
    <mergeCell ref="B214:B253"/>
    <mergeCell ref="C214:C232"/>
    <mergeCell ref="D214:D232"/>
    <mergeCell ref="E214:E220"/>
    <mergeCell ref="E240:G240"/>
    <mergeCell ref="C241:C252"/>
    <mergeCell ref="D241:D252"/>
    <mergeCell ref="E241:E243"/>
    <mergeCell ref="O205:O207"/>
    <mergeCell ref="P205:P207"/>
    <mergeCell ref="E208:E210"/>
    <mergeCell ref="L208:L210"/>
    <mergeCell ref="M208:M210"/>
    <mergeCell ref="N208:N210"/>
    <mergeCell ref="O208:O210"/>
    <mergeCell ref="P208:P210"/>
    <mergeCell ref="N200:N202"/>
    <mergeCell ref="O200:O202"/>
    <mergeCell ref="P200:P202"/>
    <mergeCell ref="E204:G204"/>
    <mergeCell ref="C205:C211"/>
    <mergeCell ref="D205:D211"/>
    <mergeCell ref="E205:E207"/>
    <mergeCell ref="L205:L207"/>
    <mergeCell ref="M205:M207"/>
    <mergeCell ref="N205:N207"/>
    <mergeCell ref="M192:M198"/>
    <mergeCell ref="N192:N198"/>
    <mergeCell ref="O192:O198"/>
    <mergeCell ref="P192:P198"/>
    <mergeCell ref="E199:G199"/>
    <mergeCell ref="C200:C204"/>
    <mergeCell ref="D200:D204"/>
    <mergeCell ref="E200:E202"/>
    <mergeCell ref="L200:L202"/>
    <mergeCell ref="M200:M202"/>
    <mergeCell ref="N181:N184"/>
    <mergeCell ref="O181:O184"/>
    <mergeCell ref="P181:P184"/>
    <mergeCell ref="E185:E191"/>
    <mergeCell ref="L185:L191"/>
    <mergeCell ref="M185:M191"/>
    <mergeCell ref="N185:N191"/>
    <mergeCell ref="O185:O191"/>
    <mergeCell ref="P185:P191"/>
    <mergeCell ref="M167:M179"/>
    <mergeCell ref="N167:N179"/>
    <mergeCell ref="O167:O179"/>
    <mergeCell ref="P167:P179"/>
    <mergeCell ref="E180:G180"/>
    <mergeCell ref="C181:C199"/>
    <mergeCell ref="D181:D199"/>
    <mergeCell ref="E181:E184"/>
    <mergeCell ref="L181:L184"/>
    <mergeCell ref="M181:M184"/>
    <mergeCell ref="C166:G166"/>
    <mergeCell ref="B167:B212"/>
    <mergeCell ref="C167:C180"/>
    <mergeCell ref="D167:D180"/>
    <mergeCell ref="E167:E179"/>
    <mergeCell ref="L167:L179"/>
    <mergeCell ref="E192:E198"/>
    <mergeCell ref="L192:L198"/>
    <mergeCell ref="E211:G211"/>
    <mergeCell ref="C212:G212"/>
    <mergeCell ref="N155:N157"/>
    <mergeCell ref="O155:O157"/>
    <mergeCell ref="P155:P157"/>
    <mergeCell ref="E158:E164"/>
    <mergeCell ref="L158:L164"/>
    <mergeCell ref="M158:M164"/>
    <mergeCell ref="N158:N164"/>
    <mergeCell ref="O158:O164"/>
    <mergeCell ref="P158:P164"/>
    <mergeCell ref="N146:N150"/>
    <mergeCell ref="O146:O150"/>
    <mergeCell ref="P146:P150"/>
    <mergeCell ref="E151:E154"/>
    <mergeCell ref="L151:L154"/>
    <mergeCell ref="M151:M154"/>
    <mergeCell ref="N151:N154"/>
    <mergeCell ref="O151:O154"/>
    <mergeCell ref="P151:P154"/>
    <mergeCell ref="E145:G145"/>
    <mergeCell ref="C146:C165"/>
    <mergeCell ref="D146:D165"/>
    <mergeCell ref="E146:E150"/>
    <mergeCell ref="L146:L150"/>
    <mergeCell ref="M146:M150"/>
    <mergeCell ref="E155:E157"/>
    <mergeCell ref="L155:L157"/>
    <mergeCell ref="M155:M157"/>
    <mergeCell ref="E165:G165"/>
    <mergeCell ref="E142:E144"/>
    <mergeCell ref="L142:L144"/>
    <mergeCell ref="M142:M144"/>
    <mergeCell ref="N142:N144"/>
    <mergeCell ref="O142:O144"/>
    <mergeCell ref="P142:P144"/>
    <mergeCell ref="E139:E141"/>
    <mergeCell ref="L139:L141"/>
    <mergeCell ref="M139:M141"/>
    <mergeCell ref="N139:N141"/>
    <mergeCell ref="O139:O141"/>
    <mergeCell ref="P139:P141"/>
    <mergeCell ref="E130:E138"/>
    <mergeCell ref="L130:L138"/>
    <mergeCell ref="M130:M138"/>
    <mergeCell ref="N130:N138"/>
    <mergeCell ref="O130:O138"/>
    <mergeCell ref="P130:P138"/>
    <mergeCell ref="E125:E129"/>
    <mergeCell ref="L125:L129"/>
    <mergeCell ref="M125:M129"/>
    <mergeCell ref="N125:N129"/>
    <mergeCell ref="O125:O129"/>
    <mergeCell ref="P125:P129"/>
    <mergeCell ref="N119:N121"/>
    <mergeCell ref="O119:O121"/>
    <mergeCell ref="P119:P121"/>
    <mergeCell ref="E122:E124"/>
    <mergeCell ref="L122:L124"/>
    <mergeCell ref="M122:M124"/>
    <mergeCell ref="N122:N124"/>
    <mergeCell ref="O122:O124"/>
    <mergeCell ref="P122:P124"/>
    <mergeCell ref="O107:O116"/>
    <mergeCell ref="P107:P116"/>
    <mergeCell ref="E117:G117"/>
    <mergeCell ref="C118:G118"/>
    <mergeCell ref="B119:B166"/>
    <mergeCell ref="C119:C145"/>
    <mergeCell ref="D119:D145"/>
    <mergeCell ref="E119:E121"/>
    <mergeCell ref="L119:L121"/>
    <mergeCell ref="M119:M121"/>
    <mergeCell ref="C107:C117"/>
    <mergeCell ref="D107:D117"/>
    <mergeCell ref="E107:E116"/>
    <mergeCell ref="L107:L116"/>
    <mergeCell ref="M107:M116"/>
    <mergeCell ref="N107:N116"/>
    <mergeCell ref="L104:L105"/>
    <mergeCell ref="M104:M105"/>
    <mergeCell ref="N104:N105"/>
    <mergeCell ref="O104:O105"/>
    <mergeCell ref="P104:P105"/>
    <mergeCell ref="E106:G106"/>
    <mergeCell ref="N97:N99"/>
    <mergeCell ref="O97:O99"/>
    <mergeCell ref="P97:P99"/>
    <mergeCell ref="E100:E103"/>
    <mergeCell ref="L100:L103"/>
    <mergeCell ref="M100:M103"/>
    <mergeCell ref="N100:N103"/>
    <mergeCell ref="O100:O103"/>
    <mergeCell ref="P100:P103"/>
    <mergeCell ref="N90:N91"/>
    <mergeCell ref="O90:O91"/>
    <mergeCell ref="P90:P91"/>
    <mergeCell ref="E92:E96"/>
    <mergeCell ref="L92:L96"/>
    <mergeCell ref="M92:M96"/>
    <mergeCell ref="N92:N96"/>
    <mergeCell ref="O92:O96"/>
    <mergeCell ref="P92:P96"/>
    <mergeCell ref="E89:G89"/>
    <mergeCell ref="C90:C106"/>
    <mergeCell ref="D90:D106"/>
    <mergeCell ref="E90:E91"/>
    <mergeCell ref="L90:L91"/>
    <mergeCell ref="M90:M91"/>
    <mergeCell ref="E97:E99"/>
    <mergeCell ref="L97:L99"/>
    <mergeCell ref="M97:M99"/>
    <mergeCell ref="E104:E105"/>
    <mergeCell ref="E83:E88"/>
    <mergeCell ref="L83:L88"/>
    <mergeCell ref="M83:M88"/>
    <mergeCell ref="N83:N88"/>
    <mergeCell ref="O83:O88"/>
    <mergeCell ref="P83:P88"/>
    <mergeCell ref="E81:E82"/>
    <mergeCell ref="L81:L82"/>
    <mergeCell ref="M81:M82"/>
    <mergeCell ref="N81:N82"/>
    <mergeCell ref="O81:O82"/>
    <mergeCell ref="P81:P82"/>
    <mergeCell ref="M74:M77"/>
    <mergeCell ref="N74:N77"/>
    <mergeCell ref="O74:O77"/>
    <mergeCell ref="P74:P77"/>
    <mergeCell ref="E78:E80"/>
    <mergeCell ref="L78:L80"/>
    <mergeCell ref="M78:M80"/>
    <mergeCell ref="N78:N80"/>
    <mergeCell ref="O78:O80"/>
    <mergeCell ref="P78:P80"/>
    <mergeCell ref="N66:N71"/>
    <mergeCell ref="O66:O71"/>
    <mergeCell ref="P66:P71"/>
    <mergeCell ref="E72:G72"/>
    <mergeCell ref="C73:G73"/>
    <mergeCell ref="B74:B118"/>
    <mergeCell ref="C74:C89"/>
    <mergeCell ref="D74:D89"/>
    <mergeCell ref="E74:E77"/>
    <mergeCell ref="L74:L77"/>
    <mergeCell ref="N54:N59"/>
    <mergeCell ref="O54:O59"/>
    <mergeCell ref="P54:P59"/>
    <mergeCell ref="E60:E65"/>
    <mergeCell ref="L60:L65"/>
    <mergeCell ref="M60:M65"/>
    <mergeCell ref="N60:N65"/>
    <mergeCell ref="O60:O65"/>
    <mergeCell ref="P60:P65"/>
    <mergeCell ref="E53:G53"/>
    <mergeCell ref="C54:C72"/>
    <mergeCell ref="D54:D72"/>
    <mergeCell ref="E54:E59"/>
    <mergeCell ref="L54:L59"/>
    <mergeCell ref="M54:M59"/>
    <mergeCell ref="E66:E71"/>
    <mergeCell ref="L66:L71"/>
    <mergeCell ref="M66:M71"/>
    <mergeCell ref="E50:E52"/>
    <mergeCell ref="L50:L52"/>
    <mergeCell ref="M50:M52"/>
    <mergeCell ref="N50:N52"/>
    <mergeCell ref="O50:O52"/>
    <mergeCell ref="P50:P52"/>
    <mergeCell ref="E45:E49"/>
    <mergeCell ref="L45:L49"/>
    <mergeCell ref="M45:M49"/>
    <mergeCell ref="N45:N49"/>
    <mergeCell ref="O45:O49"/>
    <mergeCell ref="P45:P49"/>
    <mergeCell ref="O34:O37"/>
    <mergeCell ref="P34:P37"/>
    <mergeCell ref="E38:E44"/>
    <mergeCell ref="L38:L44"/>
    <mergeCell ref="M38:M44"/>
    <mergeCell ref="N38:N44"/>
    <mergeCell ref="O38:O44"/>
    <mergeCell ref="P38:P44"/>
    <mergeCell ref="N25:N32"/>
    <mergeCell ref="O25:O32"/>
    <mergeCell ref="P25:P32"/>
    <mergeCell ref="E33:G33"/>
    <mergeCell ref="C34:C53"/>
    <mergeCell ref="D34:D53"/>
    <mergeCell ref="E34:E37"/>
    <mergeCell ref="L34:L37"/>
    <mergeCell ref="M34:M37"/>
    <mergeCell ref="N34:N37"/>
    <mergeCell ref="E24:G24"/>
    <mergeCell ref="C25:C33"/>
    <mergeCell ref="D25:D33"/>
    <mergeCell ref="E25:E32"/>
    <mergeCell ref="L25:L32"/>
    <mergeCell ref="M25:M32"/>
    <mergeCell ref="E20:E23"/>
    <mergeCell ref="L20:L23"/>
    <mergeCell ref="M20:M23"/>
    <mergeCell ref="N20:N23"/>
    <mergeCell ref="O20:O23"/>
    <mergeCell ref="P20:P23"/>
    <mergeCell ref="E15:E19"/>
    <mergeCell ref="L15:L19"/>
    <mergeCell ref="M15:M19"/>
    <mergeCell ref="N15:N19"/>
    <mergeCell ref="O15:O19"/>
    <mergeCell ref="P15:P19"/>
    <mergeCell ref="M6:M11"/>
    <mergeCell ref="N6:N11"/>
    <mergeCell ref="O6:O11"/>
    <mergeCell ref="P6:P11"/>
    <mergeCell ref="E12:E14"/>
    <mergeCell ref="L12:L14"/>
    <mergeCell ref="M12:M14"/>
    <mergeCell ref="N12:N14"/>
    <mergeCell ref="O12:O14"/>
    <mergeCell ref="P12:P14"/>
    <mergeCell ref="M4:M5"/>
    <mergeCell ref="N4:N5"/>
    <mergeCell ref="O4:P4"/>
    <mergeCell ref="V4:X4"/>
    <mergeCell ref="A6:A213"/>
    <mergeCell ref="B6:B73"/>
    <mergeCell ref="C6:C24"/>
    <mergeCell ref="D6:D24"/>
    <mergeCell ref="E6:E11"/>
    <mergeCell ref="L6:L11"/>
    <mergeCell ref="A1:P1"/>
    <mergeCell ref="A4:A5"/>
    <mergeCell ref="B4:B5"/>
    <mergeCell ref="C4:C5"/>
    <mergeCell ref="D4:D5"/>
    <mergeCell ref="E4:E5"/>
    <mergeCell ref="F4:F5"/>
    <mergeCell ref="G4:G5"/>
    <mergeCell ref="H4:K4"/>
    <mergeCell ref="L4:L5"/>
  </mergeCells>
  <printOptions horizontalCentered="1"/>
  <pageMargins left="0" right="0" top="0.25" bottom="0" header="0" footer="0"/>
  <pageSetup paperSize="9" orientation="portrait" r:id="rId1"/>
  <rowBreaks count="10" manualBreakCount="10">
    <brk id="59" max="15" man="1"/>
    <brk id="118" max="15" man="1"/>
    <brk id="180" max="15" man="1"/>
    <brk id="240" max="15" man="1"/>
    <brk id="299" max="15" man="1"/>
    <brk id="358" max="15" man="1"/>
    <brk id="416" max="15" man="1"/>
    <brk id="475" max="15" man="1"/>
    <brk id="533" max="15" man="1"/>
    <brk id="584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GCA</vt:lpstr>
      <vt:lpstr>1.0WS_TN</vt:lpstr>
      <vt:lpstr>1.0WP</vt:lpstr>
      <vt:lpstr>'1.0WP'!Print_Area</vt:lpstr>
      <vt:lpstr>'1.0WS_TN'!Print_Area</vt:lpstr>
      <vt:lpstr>'1.0WP'!Print_Titles</vt:lpstr>
      <vt:lpstr>'1.0WS_TN'!Print_Titles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Tamil Nadu</cp:lastModifiedBy>
  <cp:lastPrinted>2026-05-26T18:50:50Z</cp:lastPrinted>
  <dcterms:created xsi:type="dcterms:W3CDTF">1996-10-14T23:33:28Z</dcterms:created>
  <dcterms:modified xsi:type="dcterms:W3CDTF">2026-06-02T10:18:30Z</dcterms:modified>
</cp:coreProperties>
</file>
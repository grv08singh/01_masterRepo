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338F1C1A-24DA-4AF0-8A53-E236840426E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NTRAL 2.0" sheetId="4" r:id="rId1"/>
    <sheet name="STATE 2.0" sheetId="5" r:id="rId2"/>
  </sheets>
  <definedNames>
    <definedName name="_xlnm._FilterDatabase" localSheetId="1" hidden="1">'STATE 2.0'!$A$6:$Q$23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5" l="1"/>
  <c r="H25" i="5"/>
  <c r="J25" i="5"/>
  <c r="L25" i="5"/>
  <c r="D25" i="5"/>
  <c r="N24" i="5"/>
  <c r="N25" i="5" s="1"/>
  <c r="N10" i="5"/>
  <c r="N11" i="5"/>
  <c r="N12" i="5"/>
  <c r="N13" i="5"/>
  <c r="N14" i="5"/>
  <c r="N15" i="5"/>
  <c r="N16" i="5"/>
  <c r="N17" i="5"/>
  <c r="N18" i="5"/>
  <c r="N19" i="5"/>
  <c r="N20" i="5"/>
  <c r="N21" i="5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7" i="4"/>
  <c r="F41" i="4"/>
  <c r="H41" i="4"/>
  <c r="J41" i="4"/>
  <c r="L41" i="4"/>
  <c r="D41" i="4"/>
  <c r="N40" i="4"/>
  <c r="N39" i="4"/>
  <c r="N38" i="4"/>
  <c r="N18" i="4"/>
  <c r="N17" i="4"/>
  <c r="N16" i="4"/>
  <c r="N15" i="4"/>
  <c r="N14" i="4"/>
  <c r="N13" i="4"/>
  <c r="N12" i="4"/>
  <c r="N11" i="4"/>
  <c r="N10" i="4"/>
  <c r="N9" i="4"/>
  <c r="N8" i="4"/>
  <c r="F36" i="4"/>
  <c r="H36" i="4"/>
  <c r="J36" i="4"/>
  <c r="L36" i="4"/>
  <c r="D36" i="4"/>
  <c r="E26" i="5"/>
  <c r="G26" i="5"/>
  <c r="I26" i="5"/>
  <c r="K26" i="5"/>
  <c r="M26" i="5"/>
  <c r="F22" i="5"/>
  <c r="F26" i="5" s="1"/>
  <c r="H22" i="5"/>
  <c r="J22" i="5"/>
  <c r="L22" i="5"/>
  <c r="L26" i="5" s="1"/>
  <c r="D22" i="5"/>
  <c r="N7" i="5"/>
  <c r="N8" i="5"/>
  <c r="N9" i="5"/>
  <c r="N5" i="5"/>
  <c r="N5" i="4"/>
  <c r="D26" i="5" l="1"/>
  <c r="J26" i="5"/>
  <c r="H26" i="5"/>
  <c r="L42" i="4"/>
  <c r="J42" i="4"/>
  <c r="N41" i="4"/>
  <c r="H42" i="4"/>
  <c r="N36" i="4"/>
  <c r="F42" i="4"/>
  <c r="D42" i="4"/>
  <c r="N22" i="5"/>
  <c r="N26" i="5" s="1"/>
  <c r="N42" i="4" l="1"/>
</calcChain>
</file>

<file path=xl/sharedStrings.xml><?xml version="1.0" encoding="utf-8"?>
<sst xmlns="http://schemas.openxmlformats.org/spreadsheetml/2006/main" count="201" uniqueCount="98">
  <si>
    <t>No. of Exp.</t>
  </si>
  <si>
    <t>OS</t>
  </si>
  <si>
    <t>Taluka</t>
  </si>
  <si>
    <t>VILLAGE</t>
  </si>
  <si>
    <t>Circle</t>
  </si>
  <si>
    <t>PART- A</t>
  </si>
  <si>
    <t>PART- B</t>
  </si>
  <si>
    <t>Total Part- A</t>
  </si>
  <si>
    <t>Total</t>
  </si>
  <si>
    <t>Cotton (I)</t>
  </si>
  <si>
    <t>Castor</t>
  </si>
  <si>
    <t>Total Part-B</t>
  </si>
  <si>
    <t>Total Part- A + B</t>
  </si>
  <si>
    <t xml:space="preserve">      Name of crop,   No. of exp.  And Order of selection                                                          Season: Kharif  </t>
  </si>
  <si>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</si>
  <si>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>Year-2026-27</t>
  </si>
  <si>
    <t>3B</t>
  </si>
  <si>
    <t>2B</t>
  </si>
  <si>
    <t>1B</t>
  </si>
  <si>
    <t>4B</t>
  </si>
  <si>
    <t>2A</t>
  </si>
  <si>
    <t>BHABHAR</t>
  </si>
  <si>
    <t>Abasana</t>
  </si>
  <si>
    <t>Jorvada</t>
  </si>
  <si>
    <t>DANTA</t>
  </si>
  <si>
    <t>Balvantpura</t>
  </si>
  <si>
    <t>DANTIWADA</t>
  </si>
  <si>
    <t>Akoli</t>
  </si>
  <si>
    <t>DEESA</t>
  </si>
  <si>
    <t>Mahadeviya</t>
  </si>
  <si>
    <t>Ranpur Ugamno Vas</t>
  </si>
  <si>
    <t>Varnoda</t>
  </si>
  <si>
    <t>Viruna</t>
  </si>
  <si>
    <t>DEODAR</t>
  </si>
  <si>
    <t>Gangol</t>
  </si>
  <si>
    <t>Sardarpura (Jasali</t>
  </si>
  <si>
    <t>DHANERA</t>
  </si>
  <si>
    <t>ANAPURGADH</t>
  </si>
  <si>
    <t>JORAPURA (DHAKHA)</t>
  </si>
  <si>
    <t>RAMPURA (VAGHPURA)</t>
  </si>
  <si>
    <t>DHARNIDHAR</t>
  </si>
  <si>
    <t>Uchpa</t>
  </si>
  <si>
    <t>HADAD</t>
  </si>
  <si>
    <t>Begadiyavas</t>
  </si>
  <si>
    <t>KANKREJ</t>
  </si>
  <si>
    <t>Chimangadh</t>
  </si>
  <si>
    <t>LAKHANI</t>
  </si>
  <si>
    <t>Bhakadiyal</t>
  </si>
  <si>
    <t>Dharanva</t>
  </si>
  <si>
    <t>OGAD</t>
  </si>
  <si>
    <t>Padar</t>
  </si>
  <si>
    <t>PALANPUR</t>
  </si>
  <si>
    <t>Malan</t>
  </si>
  <si>
    <t>SUIGAM</t>
  </si>
  <si>
    <t>Mamana</t>
  </si>
  <si>
    <t>THARAD</t>
  </si>
  <si>
    <t>Bhapadi</t>
  </si>
  <si>
    <t>Karnasar</t>
  </si>
  <si>
    <t>Khanpur</t>
  </si>
  <si>
    <t>Patiyasara</t>
  </si>
  <si>
    <t>VADGAM</t>
  </si>
  <si>
    <t>Changwada</t>
  </si>
  <si>
    <t>Pirojpura</t>
  </si>
  <si>
    <t>VAV</t>
  </si>
  <si>
    <t>Ishvariya</t>
  </si>
  <si>
    <t>Vavdi</t>
  </si>
  <si>
    <t>Bordiyala</t>
  </si>
  <si>
    <t>Bhodaliya</t>
  </si>
  <si>
    <t>Nagel</t>
  </si>
  <si>
    <t>Pruthvirajgadh</t>
  </si>
  <si>
    <t>Ramsan(B)</t>
  </si>
  <si>
    <t>Samau Nanavas</t>
  </si>
  <si>
    <t>Bhagwanpura</t>
  </si>
  <si>
    <t>TALEGADH</t>
  </si>
  <si>
    <t>Dhima</t>
  </si>
  <si>
    <t>Gambhirpura</t>
  </si>
  <si>
    <t>Padardi</t>
  </si>
  <si>
    <t>Godha</t>
  </si>
  <si>
    <t>Matu</t>
  </si>
  <si>
    <t>Miyal</t>
  </si>
  <si>
    <t>Padadar</t>
  </si>
  <si>
    <t>Kodaram</t>
  </si>
  <si>
    <t>Chori</t>
  </si>
  <si>
    <t>MAIZE</t>
  </si>
  <si>
    <t>BAJARA</t>
  </si>
  <si>
    <t>GROUNDNUT</t>
  </si>
  <si>
    <t>Piluda</t>
  </si>
  <si>
    <t>Chhapi</t>
  </si>
  <si>
    <t>Shihori</t>
  </si>
  <si>
    <t>Thara</t>
  </si>
  <si>
    <t>Gola</t>
  </si>
  <si>
    <t>Ambaji</t>
  </si>
  <si>
    <t>Tadav</t>
  </si>
  <si>
    <t>vav</t>
  </si>
  <si>
    <t>Jherda</t>
  </si>
  <si>
    <t>Bhildi</t>
  </si>
  <si>
    <t>District: BANASKANTHA</t>
  </si>
  <si>
    <t>Danta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</si>
</sst>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2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opLeftCell="A16" zoomScaleNormal="100" workbookViewId="0">
      <selection activeCell="D38" sqref="D38"/>
    </sheetView>
  </sheetViews>
  <sheetFormatPr defaultRowHeight="15.75" x14ac:dyDescent="0.25"/>
  <cols>
    <col min="1" max="1" width="16" customWidth="1"/>
    <col min="2" max="2" width="17.125" customWidth="1"/>
    <col min="3" max="3" width="15.25" customWidth="1"/>
    <col min="4" max="13" width="7.125" customWidth="1"/>
    <col min="14" max="14" width="9.625" customWidth="1"/>
  </cols>
  <sheetData>
    <row r="1" spans="1:14" ht="25.5" customHeight="1" x14ac:dyDescent="0.25">
      <c r="A1" s="17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5.5" customHeight="1" x14ac:dyDescent="0.25">
      <c r="A2" s="17" t="s">
        <v>13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25.5" customHeight="1" x14ac:dyDescent="0.25">
      <c r="A3" s="18" t="s">
        <v>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</row>
    <row r="4" spans="1:14" ht="25.5" customHeight="1" x14ac:dyDescent="0.25">
      <c r="A4" s="26" t="s">
        <v>96</v>
      </c>
      <c r="B4" s="27"/>
      <c r="C4" s="24" t="s">
        <v>15</v>
      </c>
      <c r="D4" s="18">
        <v>6</v>
      </c>
      <c r="E4" s="20"/>
      <c r="F4" s="18">
        <v>22</v>
      </c>
      <c r="G4" s="20"/>
      <c r="H4" s="18">
        <v>20</v>
      </c>
      <c r="I4" s="20"/>
      <c r="J4" s="18">
        <v>24</v>
      </c>
      <c r="K4" s="20"/>
      <c r="L4" s="18">
        <v>8</v>
      </c>
      <c r="M4" s="20"/>
      <c r="N4" s="2" t="s">
        <v>8</v>
      </c>
    </row>
    <row r="5" spans="1:14" ht="25.5" customHeight="1" x14ac:dyDescent="0.25">
      <c r="A5" s="28"/>
      <c r="B5" s="29"/>
      <c r="C5" s="25"/>
      <c r="D5" s="22" t="s">
        <v>83</v>
      </c>
      <c r="E5" s="23"/>
      <c r="F5" s="22" t="s">
        <v>85</v>
      </c>
      <c r="G5" s="23"/>
      <c r="H5" s="22" t="s">
        <v>84</v>
      </c>
      <c r="I5" s="23"/>
      <c r="J5" s="22" t="s">
        <v>10</v>
      </c>
      <c r="K5" s="23"/>
      <c r="L5" s="22" t="s">
        <v>9</v>
      </c>
      <c r="M5" s="23"/>
      <c r="N5" s="2">
        <f>D4+F4+H4+J4+L4</f>
        <v>80</v>
      </c>
    </row>
    <row r="6" spans="1:14" ht="38.25" customHeight="1" x14ac:dyDescent="0.25">
      <c r="A6" s="4" t="s">
        <v>2</v>
      </c>
      <c r="B6" s="4" t="s">
        <v>4</v>
      </c>
      <c r="C6" s="3" t="s">
        <v>3</v>
      </c>
      <c r="D6" s="6" t="s">
        <v>0</v>
      </c>
      <c r="E6" s="7" t="s">
        <v>1</v>
      </c>
      <c r="F6" s="7" t="s">
        <v>0</v>
      </c>
      <c r="G6" s="7" t="s">
        <v>1</v>
      </c>
      <c r="H6" s="7" t="s">
        <v>0</v>
      </c>
      <c r="I6" s="7" t="s">
        <v>1</v>
      </c>
      <c r="J6" s="7" t="s">
        <v>0</v>
      </c>
      <c r="K6" s="7" t="s">
        <v>1</v>
      </c>
      <c r="L6" s="7" t="s">
        <v>0</v>
      </c>
      <c r="M6" s="7" t="s">
        <v>1</v>
      </c>
      <c r="N6" s="2"/>
    </row>
    <row r="7" spans="1:14" ht="17.25" customHeight="1" x14ac:dyDescent="0.25">
      <c r="A7" s="1" t="s">
        <v>21</v>
      </c>
      <c r="B7" s="1" t="s">
        <v>21</v>
      </c>
      <c r="C7" s="1" t="s">
        <v>22</v>
      </c>
      <c r="D7" s="1"/>
      <c r="E7" s="1"/>
      <c r="F7" s="1"/>
      <c r="G7" s="1"/>
      <c r="H7" s="1"/>
      <c r="I7" s="1"/>
      <c r="J7" s="1">
        <v>2</v>
      </c>
      <c r="K7" s="11">
        <v>4</v>
      </c>
      <c r="L7" s="1">
        <v>2</v>
      </c>
      <c r="M7" s="11" t="s">
        <v>16</v>
      </c>
      <c r="N7" s="8">
        <f t="shared" ref="N7:N35" si="0">+D7+F7+H7+J7+L7</f>
        <v>4</v>
      </c>
    </row>
    <row r="8" spans="1:14" ht="17.25" customHeight="1" x14ac:dyDescent="0.25">
      <c r="A8" s="1" t="s">
        <v>21</v>
      </c>
      <c r="B8" s="1" t="s">
        <v>21</v>
      </c>
      <c r="C8" s="1" t="s">
        <v>23</v>
      </c>
      <c r="D8" s="1"/>
      <c r="E8" s="1"/>
      <c r="F8" s="1"/>
      <c r="G8" s="1"/>
      <c r="H8" s="1"/>
      <c r="I8" s="1"/>
      <c r="J8" s="1">
        <v>2</v>
      </c>
      <c r="K8" s="11">
        <v>3</v>
      </c>
      <c r="L8" s="1">
        <v>2</v>
      </c>
      <c r="M8" s="11" t="s">
        <v>19</v>
      </c>
      <c r="N8" s="8">
        <f t="shared" si="0"/>
        <v>4</v>
      </c>
    </row>
    <row r="9" spans="1:14" ht="17.25" customHeight="1" x14ac:dyDescent="0.25">
      <c r="A9" s="1" t="s">
        <v>24</v>
      </c>
      <c r="B9" s="1" t="s">
        <v>24</v>
      </c>
      <c r="C9" s="1" t="s">
        <v>25</v>
      </c>
      <c r="D9" s="1"/>
      <c r="E9" s="1"/>
      <c r="F9" s="1">
        <v>2</v>
      </c>
      <c r="G9" s="11">
        <v>3</v>
      </c>
      <c r="H9" s="1"/>
      <c r="I9" s="1"/>
      <c r="J9" s="1"/>
      <c r="K9" s="1"/>
      <c r="L9" s="1"/>
      <c r="M9" s="1"/>
      <c r="N9" s="8">
        <f t="shared" si="0"/>
        <v>2</v>
      </c>
    </row>
    <row r="10" spans="1:14" ht="17.25" customHeight="1" x14ac:dyDescent="0.25">
      <c r="A10" s="1" t="s">
        <v>26</v>
      </c>
      <c r="B10" s="1" t="s">
        <v>26</v>
      </c>
      <c r="C10" s="1" t="s">
        <v>27</v>
      </c>
      <c r="D10" s="1"/>
      <c r="E10" s="1"/>
      <c r="F10" s="1">
        <v>2</v>
      </c>
      <c r="G10" s="11">
        <v>8</v>
      </c>
      <c r="H10" s="1">
        <v>2</v>
      </c>
      <c r="I10" s="11">
        <v>5</v>
      </c>
      <c r="J10" s="1">
        <v>2</v>
      </c>
      <c r="K10" s="11">
        <v>1</v>
      </c>
      <c r="L10" s="1"/>
      <c r="M10" s="1"/>
      <c r="N10" s="8">
        <f t="shared" si="0"/>
        <v>6</v>
      </c>
    </row>
    <row r="11" spans="1:14" ht="17.25" customHeight="1" x14ac:dyDescent="0.25">
      <c r="A11" s="1" t="s">
        <v>28</v>
      </c>
      <c r="B11" s="1" t="s">
        <v>28</v>
      </c>
      <c r="C11" s="1" t="s">
        <v>29</v>
      </c>
      <c r="D11" s="1"/>
      <c r="E11" s="1"/>
      <c r="F11" s="1"/>
      <c r="G11" s="11"/>
      <c r="H11" s="1">
        <v>2</v>
      </c>
      <c r="I11" s="11">
        <v>2</v>
      </c>
      <c r="J11" s="1"/>
      <c r="K11" s="11"/>
      <c r="L11" s="1"/>
      <c r="M11" s="1"/>
      <c r="N11" s="8">
        <f t="shared" si="0"/>
        <v>2</v>
      </c>
    </row>
    <row r="12" spans="1:14" ht="17.25" customHeight="1" x14ac:dyDescent="0.25">
      <c r="A12" s="1" t="s">
        <v>28</v>
      </c>
      <c r="B12" s="1" t="s">
        <v>28</v>
      </c>
      <c r="C12" s="1" t="s">
        <v>30</v>
      </c>
      <c r="D12" s="1"/>
      <c r="E12" s="1"/>
      <c r="F12" s="1"/>
      <c r="G12" s="11"/>
      <c r="H12" s="1">
        <v>2</v>
      </c>
      <c r="I12" s="11">
        <v>7</v>
      </c>
      <c r="J12" s="1"/>
      <c r="K12" s="11"/>
      <c r="L12" s="1"/>
      <c r="M12" s="1"/>
      <c r="N12" s="8">
        <f t="shared" si="0"/>
        <v>2</v>
      </c>
    </row>
    <row r="13" spans="1:14" ht="17.25" customHeight="1" x14ac:dyDescent="0.25">
      <c r="A13" s="1" t="s">
        <v>28</v>
      </c>
      <c r="B13" s="1" t="s">
        <v>28</v>
      </c>
      <c r="C13" s="1" t="s">
        <v>31</v>
      </c>
      <c r="D13" s="1"/>
      <c r="E13" s="1"/>
      <c r="F13" s="1"/>
      <c r="G13" s="11"/>
      <c r="H13" s="1"/>
      <c r="I13" s="11"/>
      <c r="J13" s="1"/>
      <c r="K13" s="11"/>
      <c r="L13" s="1"/>
      <c r="M13" s="1"/>
      <c r="N13" s="8">
        <f t="shared" si="0"/>
        <v>0</v>
      </c>
    </row>
    <row r="14" spans="1:14" ht="17.25" customHeight="1" x14ac:dyDescent="0.25">
      <c r="A14" s="1" t="s">
        <v>28</v>
      </c>
      <c r="B14" s="1" t="s">
        <v>28</v>
      </c>
      <c r="C14" s="1" t="s">
        <v>32</v>
      </c>
      <c r="D14" s="1"/>
      <c r="E14" s="1"/>
      <c r="F14" s="1"/>
      <c r="G14" s="11"/>
      <c r="H14" s="1"/>
      <c r="I14" s="11"/>
      <c r="J14" s="1">
        <v>2</v>
      </c>
      <c r="K14" s="11">
        <v>10</v>
      </c>
      <c r="L14" s="1"/>
      <c r="M14" s="1"/>
      <c r="N14" s="8">
        <f t="shared" si="0"/>
        <v>2</v>
      </c>
    </row>
    <row r="15" spans="1:14" ht="17.25" customHeight="1" x14ac:dyDescent="0.25">
      <c r="A15" s="1" t="s">
        <v>33</v>
      </c>
      <c r="B15" s="1" t="s">
        <v>33</v>
      </c>
      <c r="C15" s="1" t="s">
        <v>34</v>
      </c>
      <c r="D15" s="1"/>
      <c r="E15" s="1"/>
      <c r="F15" s="1"/>
      <c r="G15" s="11"/>
      <c r="H15" s="1"/>
      <c r="I15" s="11"/>
      <c r="J15" s="1">
        <v>2</v>
      </c>
      <c r="K15" s="11">
        <v>2</v>
      </c>
      <c r="L15" s="1"/>
      <c r="M15" s="1"/>
      <c r="N15" s="8">
        <f t="shared" si="0"/>
        <v>2</v>
      </c>
    </row>
    <row r="16" spans="1:14" ht="17.25" customHeight="1" x14ac:dyDescent="0.25">
      <c r="A16" s="1" t="s">
        <v>33</v>
      </c>
      <c r="B16" s="1" t="s">
        <v>33</v>
      </c>
      <c r="C16" s="1" t="s">
        <v>35</v>
      </c>
      <c r="D16" s="1"/>
      <c r="E16" s="1"/>
      <c r="F16" s="1"/>
      <c r="G16" s="11"/>
      <c r="H16" s="1"/>
      <c r="I16" s="11"/>
      <c r="J16" s="1"/>
      <c r="K16" s="11"/>
      <c r="L16" s="1"/>
      <c r="M16" s="1"/>
      <c r="N16" s="8">
        <f t="shared" si="0"/>
        <v>0</v>
      </c>
    </row>
    <row r="17" spans="1:14" ht="17.25" customHeight="1" x14ac:dyDescent="0.25">
      <c r="A17" s="1" t="s">
        <v>36</v>
      </c>
      <c r="B17" s="1" t="s">
        <v>36</v>
      </c>
      <c r="C17" s="1" t="s">
        <v>37</v>
      </c>
      <c r="D17" s="1"/>
      <c r="E17" s="1"/>
      <c r="F17" s="1">
        <v>2</v>
      </c>
      <c r="G17" s="11">
        <v>7</v>
      </c>
      <c r="H17" s="1">
        <v>2</v>
      </c>
      <c r="I17" s="11">
        <v>10</v>
      </c>
      <c r="J17" s="1"/>
      <c r="K17" s="11"/>
      <c r="L17" s="1"/>
      <c r="M17" s="1"/>
      <c r="N17" s="8">
        <f t="shared" si="0"/>
        <v>4</v>
      </c>
    </row>
    <row r="18" spans="1:14" ht="17.25" customHeight="1" x14ac:dyDescent="0.25">
      <c r="A18" s="1" t="s">
        <v>36</v>
      </c>
      <c r="B18" s="1" t="s">
        <v>36</v>
      </c>
      <c r="C18" s="1" t="s">
        <v>38</v>
      </c>
      <c r="D18" s="1"/>
      <c r="E18" s="1"/>
      <c r="F18" s="1">
        <v>2</v>
      </c>
      <c r="G18" s="11">
        <v>2</v>
      </c>
      <c r="H18" s="1"/>
      <c r="I18" s="11"/>
      <c r="J18" s="1"/>
      <c r="K18" s="11"/>
      <c r="L18" s="1"/>
      <c r="M18" s="1"/>
      <c r="N18" s="8">
        <f t="shared" si="0"/>
        <v>2</v>
      </c>
    </row>
    <row r="19" spans="1:14" ht="17.25" customHeight="1" x14ac:dyDescent="0.25">
      <c r="A19" s="1" t="s">
        <v>36</v>
      </c>
      <c r="B19" s="1" t="s">
        <v>36</v>
      </c>
      <c r="C19" s="1" t="s">
        <v>39</v>
      </c>
      <c r="D19" s="1"/>
      <c r="E19" s="1"/>
      <c r="F19" s="1"/>
      <c r="G19" s="11"/>
      <c r="H19" s="1">
        <v>2</v>
      </c>
      <c r="I19" s="11">
        <v>6</v>
      </c>
      <c r="J19" s="1"/>
      <c r="K19" s="11"/>
      <c r="L19" s="1"/>
      <c r="M19" s="1"/>
      <c r="N19" s="8">
        <f t="shared" si="0"/>
        <v>2</v>
      </c>
    </row>
    <row r="20" spans="1:14" ht="17.25" customHeight="1" x14ac:dyDescent="0.25">
      <c r="A20" s="1" t="s">
        <v>40</v>
      </c>
      <c r="B20" s="1" t="s">
        <v>40</v>
      </c>
      <c r="C20" s="1" t="s">
        <v>41</v>
      </c>
      <c r="D20" s="1"/>
      <c r="E20" s="1"/>
      <c r="F20" s="1"/>
      <c r="G20" s="11"/>
      <c r="H20" s="1">
        <v>2</v>
      </c>
      <c r="I20" s="11">
        <v>3</v>
      </c>
      <c r="J20" s="1">
        <v>2</v>
      </c>
      <c r="K20" s="11">
        <v>12</v>
      </c>
      <c r="L20" s="1"/>
      <c r="M20" s="1"/>
      <c r="N20" s="8">
        <f t="shared" si="0"/>
        <v>4</v>
      </c>
    </row>
    <row r="21" spans="1:14" ht="17.25" customHeight="1" x14ac:dyDescent="0.25">
      <c r="A21" s="1" t="s">
        <v>42</v>
      </c>
      <c r="B21" s="14" t="s">
        <v>91</v>
      </c>
      <c r="C21" s="1" t="s">
        <v>43</v>
      </c>
      <c r="D21" s="1">
        <v>2</v>
      </c>
      <c r="E21" s="10">
        <v>1</v>
      </c>
      <c r="F21" s="1"/>
      <c r="G21" s="11"/>
      <c r="H21" s="1"/>
      <c r="I21" s="1"/>
      <c r="J21" s="1"/>
      <c r="K21" s="11"/>
      <c r="L21" s="1"/>
      <c r="M21" s="1"/>
      <c r="N21" s="8">
        <f t="shared" si="0"/>
        <v>2</v>
      </c>
    </row>
    <row r="22" spans="1:14" ht="17.25" customHeight="1" x14ac:dyDescent="0.25">
      <c r="A22" s="1" t="s">
        <v>44</v>
      </c>
      <c r="B22" s="13" t="s">
        <v>88</v>
      </c>
      <c r="C22" s="1" t="s">
        <v>45</v>
      </c>
      <c r="D22" s="1"/>
      <c r="E22" s="10"/>
      <c r="F22" s="1"/>
      <c r="G22" s="11"/>
      <c r="H22" s="1"/>
      <c r="I22" s="1"/>
      <c r="J22" s="1"/>
      <c r="K22" s="11"/>
      <c r="L22" s="1"/>
      <c r="M22" s="1"/>
      <c r="N22" s="8">
        <f t="shared" si="0"/>
        <v>0</v>
      </c>
    </row>
    <row r="23" spans="1:14" ht="17.25" customHeight="1" x14ac:dyDescent="0.25">
      <c r="A23" s="1" t="s">
        <v>46</v>
      </c>
      <c r="B23" s="1" t="s">
        <v>46</v>
      </c>
      <c r="C23" s="1" t="s">
        <v>47</v>
      </c>
      <c r="D23" s="1"/>
      <c r="E23" s="10"/>
      <c r="F23" s="1"/>
      <c r="G23" s="11"/>
      <c r="H23" s="1">
        <v>2</v>
      </c>
      <c r="I23" s="11">
        <v>9</v>
      </c>
      <c r="J23" s="1"/>
      <c r="K23" s="11"/>
      <c r="L23" s="1">
        <v>2</v>
      </c>
      <c r="M23" s="11" t="s">
        <v>18</v>
      </c>
      <c r="N23" s="8">
        <f t="shared" si="0"/>
        <v>4</v>
      </c>
    </row>
    <row r="24" spans="1:14" ht="17.25" customHeight="1" x14ac:dyDescent="0.25">
      <c r="A24" s="1" t="s">
        <v>46</v>
      </c>
      <c r="B24" s="1" t="s">
        <v>46</v>
      </c>
      <c r="C24" s="1" t="s">
        <v>48</v>
      </c>
      <c r="D24" s="1"/>
      <c r="E24" s="10"/>
      <c r="F24" s="1">
        <v>2</v>
      </c>
      <c r="G24" s="11">
        <v>4</v>
      </c>
      <c r="H24" s="1"/>
      <c r="I24" s="11"/>
      <c r="J24" s="1">
        <v>2</v>
      </c>
      <c r="K24" s="11">
        <v>6</v>
      </c>
      <c r="L24" s="1">
        <v>2</v>
      </c>
      <c r="M24" s="11" t="s">
        <v>20</v>
      </c>
      <c r="N24" s="8">
        <f t="shared" si="0"/>
        <v>6</v>
      </c>
    </row>
    <row r="25" spans="1:14" ht="17.25" customHeight="1" x14ac:dyDescent="0.25">
      <c r="A25" s="1" t="s">
        <v>49</v>
      </c>
      <c r="B25" s="15" t="s">
        <v>89</v>
      </c>
      <c r="C25" s="1" t="s">
        <v>50</v>
      </c>
      <c r="D25" s="1"/>
      <c r="E25" s="10"/>
      <c r="F25" s="1"/>
      <c r="G25" s="1"/>
      <c r="H25" s="1"/>
      <c r="I25" s="11"/>
      <c r="J25" s="1">
        <v>2</v>
      </c>
      <c r="K25" s="11">
        <v>11</v>
      </c>
      <c r="L25" s="1"/>
      <c r="M25" s="11"/>
      <c r="N25" s="8">
        <f t="shared" si="0"/>
        <v>2</v>
      </c>
    </row>
    <row r="26" spans="1:14" ht="17.25" customHeight="1" x14ac:dyDescent="0.25">
      <c r="A26" s="1" t="s">
        <v>51</v>
      </c>
      <c r="B26" s="13" t="s">
        <v>90</v>
      </c>
      <c r="C26" s="1" t="s">
        <v>52</v>
      </c>
      <c r="D26" s="1"/>
      <c r="E26" s="10"/>
      <c r="F26" s="1"/>
      <c r="G26" s="1"/>
      <c r="H26" s="1"/>
      <c r="I26" s="11"/>
      <c r="J26" s="1"/>
      <c r="K26" s="11"/>
      <c r="L26" s="1"/>
      <c r="M26" s="1"/>
      <c r="N26" s="8">
        <f t="shared" si="0"/>
        <v>0</v>
      </c>
    </row>
    <row r="27" spans="1:14" ht="17.25" customHeight="1" x14ac:dyDescent="0.25">
      <c r="A27" s="1" t="s">
        <v>53</v>
      </c>
      <c r="B27" s="1" t="s">
        <v>53</v>
      </c>
      <c r="C27" s="1" t="s">
        <v>54</v>
      </c>
      <c r="D27" s="1"/>
      <c r="E27" s="10"/>
      <c r="F27" s="1"/>
      <c r="G27" s="1"/>
      <c r="H27" s="1">
        <v>2</v>
      </c>
      <c r="I27" s="11">
        <v>8</v>
      </c>
      <c r="J27" s="1"/>
      <c r="K27" s="11"/>
      <c r="L27" s="1"/>
      <c r="M27" s="1"/>
      <c r="N27" s="8">
        <f t="shared" si="0"/>
        <v>2</v>
      </c>
    </row>
    <row r="28" spans="1:14" ht="17.25" customHeight="1" x14ac:dyDescent="0.25">
      <c r="A28" s="1" t="s">
        <v>55</v>
      </c>
      <c r="B28" s="13" t="s">
        <v>86</v>
      </c>
      <c r="C28" s="1" t="s">
        <v>56</v>
      </c>
      <c r="D28" s="1"/>
      <c r="E28" s="10"/>
      <c r="F28" s="1">
        <v>2</v>
      </c>
      <c r="G28" s="11">
        <v>10</v>
      </c>
      <c r="H28" s="1"/>
      <c r="I28" s="1"/>
      <c r="J28" s="1">
        <v>2</v>
      </c>
      <c r="K28" s="11">
        <v>8</v>
      </c>
      <c r="L28" s="1"/>
      <c r="M28" s="1"/>
      <c r="N28" s="8">
        <f t="shared" si="0"/>
        <v>4</v>
      </c>
    </row>
    <row r="29" spans="1:14" ht="17.25" customHeight="1" x14ac:dyDescent="0.25">
      <c r="A29" s="1" t="s">
        <v>55</v>
      </c>
      <c r="B29" s="1" t="s">
        <v>55</v>
      </c>
      <c r="C29" s="1" t="s">
        <v>57</v>
      </c>
      <c r="D29" s="1"/>
      <c r="E29" s="10"/>
      <c r="F29" s="1">
        <v>2</v>
      </c>
      <c r="G29" s="11">
        <v>6</v>
      </c>
      <c r="H29" s="1">
        <v>2</v>
      </c>
      <c r="I29" s="11">
        <v>1</v>
      </c>
      <c r="J29" s="1"/>
      <c r="K29" s="11"/>
      <c r="L29" s="1"/>
      <c r="M29" s="1"/>
      <c r="N29" s="8">
        <f t="shared" si="0"/>
        <v>4</v>
      </c>
    </row>
    <row r="30" spans="1:14" ht="17.25" customHeight="1" x14ac:dyDescent="0.25">
      <c r="A30" s="1" t="s">
        <v>55</v>
      </c>
      <c r="B30" s="1" t="s">
        <v>55</v>
      </c>
      <c r="C30" s="1" t="s">
        <v>58</v>
      </c>
      <c r="D30" s="1"/>
      <c r="E30" s="10"/>
      <c r="F30" s="1">
        <v>2</v>
      </c>
      <c r="G30" s="11">
        <v>5</v>
      </c>
      <c r="H30" s="1">
        <v>2</v>
      </c>
      <c r="I30" s="11">
        <v>4</v>
      </c>
      <c r="J30" s="1"/>
      <c r="K30" s="11"/>
      <c r="L30" s="1"/>
      <c r="M30" s="1"/>
      <c r="N30" s="8">
        <f t="shared" si="0"/>
        <v>4</v>
      </c>
    </row>
    <row r="31" spans="1:14" ht="17.25" customHeight="1" x14ac:dyDescent="0.25">
      <c r="A31" s="1" t="s">
        <v>55</v>
      </c>
      <c r="B31" s="16" t="s">
        <v>86</v>
      </c>
      <c r="C31" s="1" t="s">
        <v>59</v>
      </c>
      <c r="D31" s="1"/>
      <c r="E31" s="10"/>
      <c r="F31" s="1"/>
      <c r="G31" s="1"/>
      <c r="H31" s="1"/>
      <c r="I31" s="1"/>
      <c r="J31" s="1">
        <v>2</v>
      </c>
      <c r="K31" s="11">
        <v>9</v>
      </c>
      <c r="L31" s="1"/>
      <c r="M31" s="1"/>
      <c r="N31" s="8">
        <f t="shared" si="0"/>
        <v>2</v>
      </c>
    </row>
    <row r="32" spans="1:14" ht="17.25" customHeight="1" x14ac:dyDescent="0.25">
      <c r="A32" s="1" t="s">
        <v>60</v>
      </c>
      <c r="B32" s="16" t="s">
        <v>87</v>
      </c>
      <c r="C32" s="1" t="s">
        <v>61</v>
      </c>
      <c r="D32" s="1"/>
      <c r="E32" s="10"/>
      <c r="F32" s="1">
        <v>2</v>
      </c>
      <c r="G32" s="2">
        <v>1</v>
      </c>
      <c r="H32" s="1"/>
      <c r="I32" s="1"/>
      <c r="J32" s="1">
        <v>2</v>
      </c>
      <c r="K32" s="11">
        <v>5</v>
      </c>
      <c r="L32" s="1"/>
      <c r="M32" s="1"/>
      <c r="N32" s="8">
        <f t="shared" si="0"/>
        <v>4</v>
      </c>
    </row>
    <row r="33" spans="1:14" ht="17.25" customHeight="1" x14ac:dyDescent="0.25">
      <c r="A33" s="1" t="s">
        <v>60</v>
      </c>
      <c r="B33" s="16" t="s">
        <v>87</v>
      </c>
      <c r="C33" s="1" t="s">
        <v>62</v>
      </c>
      <c r="D33" s="1">
        <v>2</v>
      </c>
      <c r="E33" s="10">
        <v>2</v>
      </c>
      <c r="F33" s="1"/>
      <c r="G33" s="1"/>
      <c r="H33" s="1"/>
      <c r="I33" s="1"/>
      <c r="J33" s="1"/>
      <c r="K33" s="11"/>
      <c r="L33" s="1"/>
      <c r="M33" s="1"/>
      <c r="N33" s="8">
        <f t="shared" si="0"/>
        <v>2</v>
      </c>
    </row>
    <row r="34" spans="1:14" ht="17.25" customHeight="1" x14ac:dyDescent="0.25">
      <c r="A34" s="1" t="s">
        <v>63</v>
      </c>
      <c r="B34" s="1" t="s">
        <v>63</v>
      </c>
      <c r="C34" s="1" t="s">
        <v>64</v>
      </c>
      <c r="D34" s="1"/>
      <c r="E34" s="10"/>
      <c r="F34" s="1">
        <v>2</v>
      </c>
      <c r="G34" s="11">
        <v>9</v>
      </c>
      <c r="H34" s="1"/>
      <c r="I34" s="1"/>
      <c r="J34" s="1"/>
      <c r="K34" s="11"/>
      <c r="L34" s="1"/>
      <c r="M34" s="1"/>
      <c r="N34" s="8">
        <f t="shared" si="0"/>
        <v>2</v>
      </c>
    </row>
    <row r="35" spans="1:14" ht="17.25" customHeight="1" x14ac:dyDescent="0.25">
      <c r="A35" s="1" t="s">
        <v>63</v>
      </c>
      <c r="B35" s="1" t="s">
        <v>63</v>
      </c>
      <c r="C35" s="1" t="s">
        <v>65</v>
      </c>
      <c r="D35" s="1"/>
      <c r="E35" s="1"/>
      <c r="F35" s="1">
        <v>2</v>
      </c>
      <c r="G35" s="11">
        <v>11</v>
      </c>
      <c r="H35" s="1"/>
      <c r="I35" s="11"/>
      <c r="J35" s="1">
        <v>2</v>
      </c>
      <c r="K35" s="11">
        <v>7</v>
      </c>
      <c r="L35" s="1"/>
      <c r="M35" s="1"/>
      <c r="N35" s="8">
        <f t="shared" si="0"/>
        <v>4</v>
      </c>
    </row>
    <row r="36" spans="1:14" ht="17.25" customHeight="1" x14ac:dyDescent="0.25">
      <c r="A36" s="21" t="s">
        <v>7</v>
      </c>
      <c r="B36" s="21"/>
      <c r="C36" s="21"/>
      <c r="D36" s="2">
        <f>SUM(D7:D35)</f>
        <v>4</v>
      </c>
      <c r="E36" s="2"/>
      <c r="F36" s="2">
        <f>SUM(F7:F35)</f>
        <v>22</v>
      </c>
      <c r="G36" s="2"/>
      <c r="H36" s="2">
        <f>SUM(H7:H35)</f>
        <v>20</v>
      </c>
      <c r="I36" s="2"/>
      <c r="J36" s="2">
        <f>SUM(J7:J35)</f>
        <v>24</v>
      </c>
      <c r="K36" s="2"/>
      <c r="L36" s="2">
        <f>SUM(L7:L35)</f>
        <v>8</v>
      </c>
      <c r="M36" s="2"/>
      <c r="N36" s="2">
        <f>SUM(N7:N35)</f>
        <v>78</v>
      </c>
    </row>
    <row r="37" spans="1:14" ht="17.25" customHeight="1" x14ac:dyDescent="0.25">
      <c r="A37" s="30" t="s">
        <v>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14" ht="17.25" customHeight="1" x14ac:dyDescent="0.25">
      <c r="A38" s="8" t="s">
        <v>42</v>
      </c>
      <c r="B38" s="31" t="s">
        <v>91</v>
      </c>
      <c r="C38" s="8" t="s">
        <v>66</v>
      </c>
      <c r="D38" s="8">
        <v>2</v>
      </c>
      <c r="E38" s="12">
        <v>3</v>
      </c>
      <c r="F38" s="8"/>
      <c r="G38" s="8"/>
      <c r="H38" s="8"/>
      <c r="I38" s="8"/>
      <c r="J38" s="8"/>
      <c r="K38" s="8"/>
      <c r="L38" s="8"/>
      <c r="M38" s="8"/>
      <c r="N38" s="8">
        <f t="shared" ref="N38:N40" si="1">+D38+F38+H38+J38+L38</f>
        <v>2</v>
      </c>
    </row>
    <row r="39" spans="1:14" ht="17.25" customHeight="1" x14ac:dyDescent="0.25">
      <c r="A39" s="5"/>
      <c r="B39" s="5"/>
      <c r="C39" s="2"/>
      <c r="D39" s="2"/>
      <c r="E39" s="2"/>
      <c r="F39" s="2"/>
      <c r="G39" s="2"/>
      <c r="H39" s="2"/>
      <c r="I39" s="2"/>
      <c r="J39" s="1"/>
      <c r="K39" s="2"/>
      <c r="L39" s="1"/>
      <c r="M39" s="2"/>
      <c r="N39" s="8">
        <f t="shared" si="1"/>
        <v>0</v>
      </c>
    </row>
    <row r="40" spans="1:14" ht="17.25" customHeight="1" x14ac:dyDescent="0.25">
      <c r="A40" s="5"/>
      <c r="B40" s="5"/>
      <c r="C40" s="2"/>
      <c r="D40" s="2"/>
      <c r="E40" s="2"/>
      <c r="F40" s="2"/>
      <c r="G40" s="2"/>
      <c r="H40" s="2"/>
      <c r="I40" s="2"/>
      <c r="J40" s="1"/>
      <c r="K40" s="2"/>
      <c r="L40" s="2"/>
      <c r="M40" s="2"/>
      <c r="N40" s="8">
        <f t="shared" si="1"/>
        <v>0</v>
      </c>
    </row>
    <row r="41" spans="1:14" ht="17.25" customHeight="1" x14ac:dyDescent="0.25">
      <c r="A41" s="18" t="s">
        <v>11</v>
      </c>
      <c r="B41" s="19"/>
      <c r="C41" s="20"/>
      <c r="D41" s="2">
        <f>SUM(D38:D40)</f>
        <v>2</v>
      </c>
      <c r="E41" s="2"/>
      <c r="F41" s="2">
        <f t="shared" ref="F41" si="2">SUM(F38:F40)</f>
        <v>0</v>
      </c>
      <c r="G41" s="2"/>
      <c r="H41" s="2">
        <f t="shared" ref="H41" si="3">SUM(H38:H40)</f>
        <v>0</v>
      </c>
      <c r="I41" s="2"/>
      <c r="J41" s="2">
        <f t="shared" ref="J41" si="4">SUM(J38:J40)</f>
        <v>0</v>
      </c>
      <c r="K41" s="2"/>
      <c r="L41" s="2">
        <f t="shared" ref="L41" si="5">SUM(L38:L40)</f>
        <v>0</v>
      </c>
      <c r="M41" s="2"/>
      <c r="N41" s="2">
        <f t="shared" ref="N41" si="6">SUM(N38:N40)</f>
        <v>2</v>
      </c>
    </row>
    <row r="42" spans="1:14" ht="17.25" customHeight="1" x14ac:dyDescent="0.25">
      <c r="A42" s="18" t="s">
        <v>12</v>
      </c>
      <c r="B42" s="19"/>
      <c r="C42" s="20"/>
      <c r="D42" s="2">
        <f>+D36+D41</f>
        <v>6</v>
      </c>
      <c r="E42" s="2"/>
      <c r="F42" s="2">
        <f t="shared" ref="F42" si="7">+F36+F41</f>
        <v>22</v>
      </c>
      <c r="G42" s="2"/>
      <c r="H42" s="2">
        <f t="shared" ref="H42" si="8">+H36+H41</f>
        <v>20</v>
      </c>
      <c r="I42" s="2"/>
      <c r="J42" s="2">
        <f t="shared" ref="J42" si="9">+J36+J41</f>
        <v>24</v>
      </c>
      <c r="K42" s="2"/>
      <c r="L42" s="2">
        <f t="shared" ref="L42" si="10">+L36+L41</f>
        <v>8</v>
      </c>
      <c r="M42" s="2"/>
      <c r="N42" s="2">
        <f t="shared" ref="N42" si="11">+N36+N41</f>
        <v>80</v>
      </c>
    </row>
  </sheetData>
  <mergeCells count="19">
    <mergeCell ref="A37:N37"/>
    <mergeCell ref="A41:C41"/>
    <mergeCell ref="A42:C42"/>
    <mergeCell ref="A1:N1"/>
    <mergeCell ref="A2:N2"/>
    <mergeCell ref="A3:N3"/>
    <mergeCell ref="A36:C36"/>
    <mergeCell ref="L4:M4"/>
    <mergeCell ref="J4:K4"/>
    <mergeCell ref="H4:I4"/>
    <mergeCell ref="F4:G4"/>
    <mergeCell ref="D4:E4"/>
    <mergeCell ref="L5:M5"/>
    <mergeCell ref="J5:K5"/>
    <mergeCell ref="H5:I5"/>
    <mergeCell ref="F5:G5"/>
    <mergeCell ref="D5:E5"/>
    <mergeCell ref="C4:C5"/>
    <mergeCell ref="A4:B5"/>
  </mergeCells>
  <pageMargins left="0.7" right="0.7" top="0.75" bottom="0.75" header="0.3" footer="0.3"/>
  <pageSetup paperSize="9" scale="9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tabSelected="1" topLeftCell="A9" zoomScaleNormal="100" workbookViewId="0">
      <selection activeCell="B24" sqref="B24"/>
    </sheetView>
  </sheetViews>
  <sheetFormatPr defaultRowHeight="15.75" x14ac:dyDescent="0.25"/>
  <cols>
    <col min="1" max="1" width="15.625" customWidth="1"/>
    <col min="2" max="2" width="12.125" customWidth="1"/>
    <col min="3" max="3" width="13.625" customWidth="1"/>
    <col min="4" max="14" width="7.5" customWidth="1"/>
  </cols>
  <sheetData>
    <row r="1" spans="1:14" ht="28.5" customHeight="1" x14ac:dyDescent="0.25">
      <c r="A1" s="17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8.5" customHeight="1" x14ac:dyDescent="0.25">
      <c r="A2" s="17" t="s">
        <v>13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28.5" customHeight="1" x14ac:dyDescent="0.25">
      <c r="A3" s="30" t="s">
        <v>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28.5" customHeight="1" x14ac:dyDescent="0.25">
      <c r="A4" s="26" t="s">
        <v>96</v>
      </c>
      <c r="B4" s="27"/>
      <c r="C4" s="24" t="s">
        <v>15</v>
      </c>
      <c r="D4" s="21">
        <v>4</v>
      </c>
      <c r="E4" s="21"/>
      <c r="F4" s="21">
        <v>12</v>
      </c>
      <c r="G4" s="21"/>
      <c r="H4" s="21">
        <v>8</v>
      </c>
      <c r="I4" s="21"/>
      <c r="J4" s="21">
        <v>14</v>
      </c>
      <c r="K4" s="21"/>
      <c r="L4" s="21">
        <v>6</v>
      </c>
      <c r="M4" s="21"/>
      <c r="N4" s="5" t="s">
        <v>8</v>
      </c>
    </row>
    <row r="5" spans="1:14" ht="28.5" customHeight="1" x14ac:dyDescent="0.25">
      <c r="A5" s="28"/>
      <c r="B5" s="29"/>
      <c r="C5" s="25"/>
      <c r="D5" s="22" t="s">
        <v>83</v>
      </c>
      <c r="E5" s="23"/>
      <c r="F5" s="22" t="s">
        <v>85</v>
      </c>
      <c r="G5" s="23"/>
      <c r="H5" s="22" t="s">
        <v>84</v>
      </c>
      <c r="I5" s="23"/>
      <c r="J5" s="22" t="s">
        <v>10</v>
      </c>
      <c r="K5" s="23"/>
      <c r="L5" s="22" t="s">
        <v>9</v>
      </c>
      <c r="M5" s="23"/>
      <c r="N5" s="5">
        <f>D4+F4+H4+J4+L4</f>
        <v>44</v>
      </c>
    </row>
    <row r="6" spans="1:14" ht="28.5" customHeight="1" x14ac:dyDescent="0.25">
      <c r="A6" s="5" t="s">
        <v>2</v>
      </c>
      <c r="B6" s="5" t="s">
        <v>4</v>
      </c>
      <c r="C6" s="5" t="s">
        <v>3</v>
      </c>
      <c r="D6" s="9" t="s">
        <v>0</v>
      </c>
      <c r="E6" s="9" t="s">
        <v>1</v>
      </c>
      <c r="F6" s="9" t="s">
        <v>0</v>
      </c>
      <c r="G6" s="9" t="s">
        <v>1</v>
      </c>
      <c r="H6" s="9" t="s">
        <v>0</v>
      </c>
      <c r="I6" s="9" t="s">
        <v>1</v>
      </c>
      <c r="J6" s="9" t="s">
        <v>0</v>
      </c>
      <c r="K6" s="9" t="s">
        <v>1</v>
      </c>
      <c r="L6" s="9" t="s">
        <v>0</v>
      </c>
      <c r="M6" s="9" t="s">
        <v>1</v>
      </c>
      <c r="N6" s="8"/>
    </row>
    <row r="7" spans="1:14" ht="28.5" customHeight="1" x14ac:dyDescent="0.25">
      <c r="A7" s="1" t="s">
        <v>21</v>
      </c>
      <c r="B7" s="1" t="s">
        <v>21</v>
      </c>
      <c r="C7" s="1" t="s">
        <v>67</v>
      </c>
      <c r="D7" s="1"/>
      <c r="E7" s="1"/>
      <c r="F7" s="1"/>
      <c r="G7" s="11"/>
      <c r="H7" s="1"/>
      <c r="I7" s="1"/>
      <c r="J7" s="1">
        <v>2</v>
      </c>
      <c r="K7" s="11">
        <v>5</v>
      </c>
      <c r="L7" s="1">
        <v>2</v>
      </c>
      <c r="M7" s="11" t="s">
        <v>18</v>
      </c>
      <c r="N7" s="8">
        <f t="shared" ref="N7:N21" si="0">+D7+F7+H7+J7+L7</f>
        <v>4</v>
      </c>
    </row>
    <row r="8" spans="1:14" ht="28.5" customHeight="1" x14ac:dyDescent="0.25">
      <c r="A8" s="1" t="s">
        <v>24</v>
      </c>
      <c r="B8" s="1" t="s">
        <v>24</v>
      </c>
      <c r="C8" s="1" t="s">
        <v>68</v>
      </c>
      <c r="D8" s="1"/>
      <c r="E8" s="1"/>
      <c r="F8" s="1"/>
      <c r="G8" s="11"/>
      <c r="H8" s="1"/>
      <c r="I8" s="1"/>
      <c r="J8" s="1">
        <v>2</v>
      </c>
      <c r="K8" s="11">
        <v>1</v>
      </c>
      <c r="L8" s="1"/>
      <c r="M8" s="11"/>
      <c r="N8" s="8">
        <f t="shared" si="0"/>
        <v>2</v>
      </c>
    </row>
    <row r="9" spans="1:14" ht="28.5" customHeight="1" x14ac:dyDescent="0.25">
      <c r="A9" s="1" t="s">
        <v>24</v>
      </c>
      <c r="B9" s="1" t="s">
        <v>24</v>
      </c>
      <c r="C9" s="1" t="s">
        <v>69</v>
      </c>
      <c r="D9" s="1">
        <v>2</v>
      </c>
      <c r="E9" s="11">
        <v>1</v>
      </c>
      <c r="F9" s="1"/>
      <c r="G9" s="1"/>
      <c r="H9" s="1"/>
      <c r="I9" s="1"/>
      <c r="J9" s="1"/>
      <c r="K9" s="11"/>
      <c r="L9" s="1">
        <v>2</v>
      </c>
      <c r="M9" s="11" t="s">
        <v>17</v>
      </c>
      <c r="N9" s="8">
        <f t="shared" si="0"/>
        <v>4</v>
      </c>
    </row>
    <row r="10" spans="1:14" ht="28.5" customHeight="1" x14ac:dyDescent="0.25">
      <c r="A10" s="1" t="s">
        <v>28</v>
      </c>
      <c r="B10" s="15" t="s">
        <v>94</v>
      </c>
      <c r="C10" s="1" t="s">
        <v>70</v>
      </c>
      <c r="D10" s="1"/>
      <c r="E10" s="1"/>
      <c r="F10" s="1"/>
      <c r="G10" s="1"/>
      <c r="H10" s="1"/>
      <c r="I10" s="1"/>
      <c r="J10" s="1">
        <v>2</v>
      </c>
      <c r="K10" s="11">
        <v>3</v>
      </c>
      <c r="L10" s="1"/>
      <c r="M10" s="11"/>
      <c r="N10" s="8">
        <f t="shared" si="0"/>
        <v>2</v>
      </c>
    </row>
    <row r="11" spans="1:14" ht="28.5" customHeight="1" x14ac:dyDescent="0.25">
      <c r="A11" s="1" t="s">
        <v>28</v>
      </c>
      <c r="B11" s="13" t="s">
        <v>95</v>
      </c>
      <c r="C11" s="1" t="s">
        <v>71</v>
      </c>
      <c r="D11" s="1"/>
      <c r="E11" s="1"/>
      <c r="F11" s="1">
        <v>2</v>
      </c>
      <c r="G11" s="11">
        <v>6</v>
      </c>
      <c r="H11" s="1"/>
      <c r="I11" s="1"/>
      <c r="J11" s="1"/>
      <c r="K11" s="11"/>
      <c r="L11" s="1"/>
      <c r="M11" s="11"/>
      <c r="N11" s="8">
        <f t="shared" si="0"/>
        <v>2</v>
      </c>
    </row>
    <row r="12" spans="1:14" ht="28.5" customHeight="1" x14ac:dyDescent="0.25">
      <c r="A12" s="1" t="s">
        <v>33</v>
      </c>
      <c r="B12" s="1" t="s">
        <v>33</v>
      </c>
      <c r="C12" s="1" t="s">
        <v>72</v>
      </c>
      <c r="D12" s="1"/>
      <c r="E12" s="1"/>
      <c r="F12" s="1"/>
      <c r="G12" s="1"/>
      <c r="H12" s="1"/>
      <c r="I12" s="1"/>
      <c r="J12" s="1">
        <v>2</v>
      </c>
      <c r="K12" s="11">
        <v>7</v>
      </c>
      <c r="L12" s="1"/>
      <c r="M12" s="11"/>
      <c r="N12" s="8">
        <f t="shared" si="0"/>
        <v>2</v>
      </c>
    </row>
    <row r="13" spans="1:14" ht="28.5" customHeight="1" x14ac:dyDescent="0.25">
      <c r="A13" s="1" t="s">
        <v>36</v>
      </c>
      <c r="B13" s="1" t="s">
        <v>36</v>
      </c>
      <c r="C13" s="1" t="s">
        <v>73</v>
      </c>
      <c r="D13" s="1"/>
      <c r="E13" s="1"/>
      <c r="F13" s="1">
        <v>2</v>
      </c>
      <c r="G13" s="11">
        <v>5</v>
      </c>
      <c r="H13" s="1"/>
      <c r="I13" s="1"/>
      <c r="J13" s="1"/>
      <c r="K13" s="1"/>
      <c r="L13" s="1"/>
      <c r="M13" s="11"/>
      <c r="N13" s="8">
        <f t="shared" si="0"/>
        <v>2</v>
      </c>
    </row>
    <row r="14" spans="1:14" ht="28.5" customHeight="1" x14ac:dyDescent="0.25">
      <c r="A14" s="1" t="s">
        <v>40</v>
      </c>
      <c r="B14" s="13" t="s">
        <v>92</v>
      </c>
      <c r="C14" s="1" t="s">
        <v>74</v>
      </c>
      <c r="D14" s="1"/>
      <c r="E14" s="1"/>
      <c r="F14" s="1">
        <v>2</v>
      </c>
      <c r="G14" s="11">
        <v>4</v>
      </c>
      <c r="H14" s="1"/>
      <c r="I14" s="11"/>
      <c r="J14" s="1">
        <v>2</v>
      </c>
      <c r="K14" s="11">
        <v>2</v>
      </c>
      <c r="L14" s="1"/>
      <c r="M14" s="11"/>
      <c r="N14" s="8">
        <f t="shared" si="0"/>
        <v>4</v>
      </c>
    </row>
    <row r="15" spans="1:14" ht="28.5" customHeight="1" x14ac:dyDescent="0.25">
      <c r="A15" s="1" t="s">
        <v>40</v>
      </c>
      <c r="B15" s="1" t="s">
        <v>93</v>
      </c>
      <c r="C15" s="1" t="s">
        <v>75</v>
      </c>
      <c r="D15" s="1"/>
      <c r="E15" s="1"/>
      <c r="F15" s="1"/>
      <c r="G15" s="11"/>
      <c r="H15" s="1">
        <v>2</v>
      </c>
      <c r="I15" s="11">
        <v>2</v>
      </c>
      <c r="J15" s="1"/>
      <c r="K15" s="11"/>
      <c r="L15" s="1"/>
      <c r="M15" s="11"/>
      <c r="N15" s="8">
        <f t="shared" si="0"/>
        <v>2</v>
      </c>
    </row>
    <row r="16" spans="1:14" ht="28.5" customHeight="1" x14ac:dyDescent="0.25">
      <c r="A16" s="1" t="s">
        <v>44</v>
      </c>
      <c r="B16" s="15" t="s">
        <v>88</v>
      </c>
      <c r="C16" s="1" t="s">
        <v>76</v>
      </c>
      <c r="D16" s="1"/>
      <c r="E16" s="1"/>
      <c r="F16" s="1">
        <v>2</v>
      </c>
      <c r="G16" s="11">
        <v>2</v>
      </c>
      <c r="H16" s="1"/>
      <c r="I16" s="1"/>
      <c r="J16" s="1"/>
      <c r="K16" s="11"/>
      <c r="L16" s="1"/>
      <c r="M16" s="1"/>
      <c r="N16" s="8">
        <f t="shared" si="0"/>
        <v>2</v>
      </c>
    </row>
    <row r="17" spans="1:14" ht="28.5" customHeight="1" x14ac:dyDescent="0.25">
      <c r="A17" s="1" t="s">
        <v>46</v>
      </c>
      <c r="B17" s="1" t="s">
        <v>46</v>
      </c>
      <c r="C17" s="1" t="s">
        <v>77</v>
      </c>
      <c r="D17" s="1"/>
      <c r="E17" s="1"/>
      <c r="F17" s="1">
        <v>2</v>
      </c>
      <c r="G17" s="11">
        <v>3</v>
      </c>
      <c r="H17" s="1">
        <v>2</v>
      </c>
      <c r="I17" s="11">
        <v>3</v>
      </c>
      <c r="J17" s="1">
        <v>2</v>
      </c>
      <c r="K17" s="11">
        <v>4</v>
      </c>
      <c r="L17" s="1"/>
      <c r="M17" s="11"/>
      <c r="N17" s="8">
        <f t="shared" si="0"/>
        <v>6</v>
      </c>
    </row>
    <row r="18" spans="1:14" ht="28.5" customHeight="1" x14ac:dyDescent="0.25">
      <c r="A18" s="1" t="s">
        <v>46</v>
      </c>
      <c r="B18" s="1" t="s">
        <v>46</v>
      </c>
      <c r="C18" s="1" t="s">
        <v>78</v>
      </c>
      <c r="D18" s="1"/>
      <c r="E18" s="1"/>
      <c r="F18" s="1">
        <v>2</v>
      </c>
      <c r="G18" s="11">
        <v>1</v>
      </c>
      <c r="H18" s="1"/>
      <c r="I18" s="1"/>
      <c r="J18" s="1"/>
      <c r="K18" s="1"/>
      <c r="L18" s="1">
        <v>2</v>
      </c>
      <c r="M18" s="11" t="s">
        <v>16</v>
      </c>
      <c r="N18" s="8">
        <f t="shared" si="0"/>
        <v>4</v>
      </c>
    </row>
    <row r="19" spans="1:14" ht="28.5" customHeight="1" x14ac:dyDescent="0.25">
      <c r="A19" s="1" t="s">
        <v>55</v>
      </c>
      <c r="B19" s="1" t="s">
        <v>55</v>
      </c>
      <c r="C19" s="1" t="s">
        <v>79</v>
      </c>
      <c r="D19" s="1"/>
      <c r="E19" s="1"/>
      <c r="F19" s="1"/>
      <c r="G19" s="1"/>
      <c r="H19" s="1">
        <v>2</v>
      </c>
      <c r="I19" s="11">
        <v>4</v>
      </c>
      <c r="J19" s="1"/>
      <c r="K19" s="11"/>
      <c r="L19" s="1"/>
      <c r="M19" s="1"/>
      <c r="N19" s="8">
        <f t="shared" si="0"/>
        <v>2</v>
      </c>
    </row>
    <row r="20" spans="1:14" ht="28.5" customHeight="1" x14ac:dyDescent="0.25">
      <c r="A20" s="1" t="s">
        <v>55</v>
      </c>
      <c r="B20" s="1" t="s">
        <v>55</v>
      </c>
      <c r="C20" s="1" t="s">
        <v>80</v>
      </c>
      <c r="D20" s="1"/>
      <c r="E20" s="1"/>
      <c r="F20" s="1"/>
      <c r="G20" s="1"/>
      <c r="H20" s="1">
        <v>2</v>
      </c>
      <c r="I20" s="11">
        <v>1</v>
      </c>
      <c r="J20" s="1"/>
      <c r="K20" s="1"/>
      <c r="L20" s="1"/>
      <c r="M20" s="1"/>
      <c r="N20" s="8">
        <f t="shared" si="0"/>
        <v>2</v>
      </c>
    </row>
    <row r="21" spans="1:14" ht="28.5" customHeight="1" x14ac:dyDescent="0.25">
      <c r="A21" s="1" t="s">
        <v>60</v>
      </c>
      <c r="B21" s="15" t="s">
        <v>87</v>
      </c>
      <c r="C21" s="1" t="s">
        <v>81</v>
      </c>
      <c r="D21" s="1"/>
      <c r="E21" s="1"/>
      <c r="F21" s="1"/>
      <c r="G21" s="1"/>
      <c r="H21" s="1"/>
      <c r="I21" s="11"/>
      <c r="J21" s="1">
        <v>2</v>
      </c>
      <c r="K21" s="11">
        <v>6</v>
      </c>
      <c r="L21" s="1"/>
      <c r="M21" s="1"/>
      <c r="N21" s="8">
        <f t="shared" si="0"/>
        <v>2</v>
      </c>
    </row>
    <row r="22" spans="1:14" ht="28.5" customHeight="1" x14ac:dyDescent="0.25">
      <c r="A22" s="21" t="s">
        <v>7</v>
      </c>
      <c r="B22" s="21"/>
      <c r="C22" s="21"/>
      <c r="D22" s="2">
        <f>SUM(D7:D21)</f>
        <v>2</v>
      </c>
      <c r="E22" s="2"/>
      <c r="F22" s="2">
        <f>SUM(F7:F21)</f>
        <v>12</v>
      </c>
      <c r="G22" s="2"/>
      <c r="H22" s="2">
        <f>SUM(H7:H21)</f>
        <v>8</v>
      </c>
      <c r="I22" s="2"/>
      <c r="J22" s="2">
        <f>SUM(J7:J21)</f>
        <v>14</v>
      </c>
      <c r="K22" s="2"/>
      <c r="L22" s="2">
        <f>SUM(L7:L21)</f>
        <v>6</v>
      </c>
      <c r="M22" s="2"/>
      <c r="N22" s="2">
        <f>SUM(N7:N21)</f>
        <v>42</v>
      </c>
    </row>
    <row r="23" spans="1:14" ht="28.5" customHeight="1" x14ac:dyDescent="0.25">
      <c r="A23" s="30" t="s">
        <v>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spans="1:14" ht="28.5" customHeight="1" x14ac:dyDescent="0.25">
      <c r="A24" s="8" t="s">
        <v>24</v>
      </c>
      <c r="B24" s="31" t="s">
        <v>97</v>
      </c>
      <c r="C24" s="8" t="s">
        <v>82</v>
      </c>
      <c r="D24" s="8">
        <v>2</v>
      </c>
      <c r="E24" s="12">
        <v>2</v>
      </c>
      <c r="F24" s="8"/>
      <c r="G24" s="8"/>
      <c r="H24" s="8"/>
      <c r="I24" s="8"/>
      <c r="J24" s="8"/>
      <c r="K24" s="8"/>
      <c r="L24" s="8"/>
      <c r="M24" s="8"/>
      <c r="N24" s="8">
        <f t="shared" ref="N24" si="1">+D24+F24+H24+J24+L24</f>
        <v>2</v>
      </c>
    </row>
    <row r="25" spans="1:14" ht="28.5" customHeight="1" x14ac:dyDescent="0.25">
      <c r="A25" s="18" t="s">
        <v>11</v>
      </c>
      <c r="B25" s="19"/>
      <c r="C25" s="20"/>
      <c r="D25" s="2">
        <f>SUM(D24)</f>
        <v>2</v>
      </c>
      <c r="E25" s="2"/>
      <c r="F25" s="2">
        <f t="shared" ref="F25" si="2">SUM(F24)</f>
        <v>0</v>
      </c>
      <c r="G25" s="2"/>
      <c r="H25" s="2">
        <f t="shared" ref="H25" si="3">SUM(H24)</f>
        <v>0</v>
      </c>
      <c r="I25" s="2"/>
      <c r="J25" s="2">
        <f t="shared" ref="J25" si="4">SUM(J24)</f>
        <v>0</v>
      </c>
      <c r="K25" s="2"/>
      <c r="L25" s="2">
        <f t="shared" ref="L25" si="5">SUM(L24)</f>
        <v>0</v>
      </c>
      <c r="M25" s="2"/>
      <c r="N25" s="2">
        <f t="shared" ref="N25" si="6">SUM(N24)</f>
        <v>2</v>
      </c>
    </row>
    <row r="26" spans="1:14" ht="28.5" customHeight="1" x14ac:dyDescent="0.25">
      <c r="A26" s="18" t="s">
        <v>12</v>
      </c>
      <c r="B26" s="19"/>
      <c r="C26" s="20"/>
      <c r="D26" s="2">
        <f t="shared" ref="D26:N26" si="7">+D22+D25</f>
        <v>4</v>
      </c>
      <c r="E26" s="2">
        <f t="shared" si="7"/>
        <v>0</v>
      </c>
      <c r="F26" s="2">
        <f t="shared" si="7"/>
        <v>12</v>
      </c>
      <c r="G26" s="2">
        <f t="shared" si="7"/>
        <v>0</v>
      </c>
      <c r="H26" s="2">
        <f t="shared" si="7"/>
        <v>8</v>
      </c>
      <c r="I26" s="2">
        <f t="shared" si="7"/>
        <v>0</v>
      </c>
      <c r="J26" s="2">
        <f t="shared" si="7"/>
        <v>14</v>
      </c>
      <c r="K26" s="2">
        <f t="shared" si="7"/>
        <v>0</v>
      </c>
      <c r="L26" s="2">
        <f t="shared" si="7"/>
        <v>6</v>
      </c>
      <c r="M26" s="2">
        <f t="shared" si="7"/>
        <v>0</v>
      </c>
      <c r="N26" s="2">
        <f t="shared" si="7"/>
        <v>44</v>
      </c>
    </row>
  </sheetData>
  <autoFilter ref="A6:Q23" xr:uid="{00000000-0009-0000-0000-000001000000}"/>
  <mergeCells count="19">
    <mergeCell ref="A22:C22"/>
    <mergeCell ref="A23:N23"/>
    <mergeCell ref="A25:C25"/>
    <mergeCell ref="A26:C26"/>
    <mergeCell ref="A4:B5"/>
    <mergeCell ref="C4:C5"/>
    <mergeCell ref="A1:N1"/>
    <mergeCell ref="A2:N2"/>
    <mergeCell ref="A3:N3"/>
    <mergeCell ref="L5:M5"/>
    <mergeCell ref="D4:E4"/>
    <mergeCell ref="F4:G4"/>
    <mergeCell ref="H4:I4"/>
    <mergeCell ref="J4:K4"/>
    <mergeCell ref="L4:M4"/>
    <mergeCell ref="D5:E5"/>
    <mergeCell ref="F5:G5"/>
    <mergeCell ref="H5:I5"/>
    <mergeCell ref="J5:K5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2026-09-20T08:50:19Z</dcterms:created>
  <dcterms:modified xsi:type="dcterms:W3CDTF">2026-09-21T12:46:09Z</dcterms:modified>
</cp:coreProperties>
</file>
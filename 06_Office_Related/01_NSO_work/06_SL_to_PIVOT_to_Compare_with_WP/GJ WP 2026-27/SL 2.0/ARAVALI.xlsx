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D3F0070D-44EC-4ABC-AD00-EFAB8E7B47F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CENTRAL 2.0" sheetId="1" r:id="rId1"/>
    <sheet name="STATE2.0" sheetId="2" r:id="rId2"/>
  </sheets>
  <definedNames>
    <definedName name="_xlnm._FilterDatabase" localSheetId="0" hidden="1">'CENTRAL 2.0'!$A$14:$AD$25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2" l="1"/>
  <c r="H18" i="2"/>
  <c r="J18" i="2"/>
  <c r="L18" i="2"/>
  <c r="D18" i="2"/>
  <c r="N16" i="2"/>
  <c r="N15" i="2"/>
  <c r="N18" i="2" s="1"/>
  <c r="N14" i="2"/>
  <c r="N11" i="2"/>
  <c r="N10" i="2"/>
  <c r="N9" i="2"/>
  <c r="N8" i="2"/>
  <c r="N7" i="2"/>
  <c r="L12" i="2"/>
  <c r="L19" i="2" s="1"/>
  <c r="J12" i="2"/>
  <c r="J19" i="2" s="1"/>
  <c r="H12" i="2"/>
  <c r="H19" i="2" s="1"/>
  <c r="F12" i="2"/>
  <c r="F19" i="2" s="1"/>
  <c r="D12" i="2"/>
  <c r="N12" i="2" s="1"/>
  <c r="N5" i="2"/>
  <c r="N25" i="1"/>
  <c r="N24" i="1"/>
  <c r="N23" i="1"/>
  <c r="N22" i="1"/>
  <c r="N21" i="1"/>
  <c r="N20" i="1"/>
  <c r="N19" i="1"/>
  <c r="N18" i="1"/>
  <c r="N17" i="1"/>
  <c r="N16" i="1"/>
  <c r="N15" i="1"/>
  <c r="N14" i="1"/>
  <c r="L27" i="1"/>
  <c r="J27" i="1"/>
  <c r="H27" i="1"/>
  <c r="F27" i="1"/>
  <c r="D27" i="1"/>
  <c r="D28" i="1" s="1"/>
  <c r="L12" i="1"/>
  <c r="J12" i="1"/>
  <c r="H12" i="1"/>
  <c r="F12" i="1"/>
  <c r="N8" i="1"/>
  <c r="N9" i="1"/>
  <c r="N10" i="1"/>
  <c r="N11" i="1"/>
  <c r="N7" i="1"/>
  <c r="D12" i="1"/>
  <c r="N5" i="1"/>
  <c r="N19" i="2" l="1"/>
  <c r="N12" i="1"/>
  <c r="D19" i="2"/>
  <c r="F28" i="1"/>
  <c r="J28" i="1"/>
  <c r="H28" i="1"/>
  <c r="L28" i="1"/>
  <c r="N27" i="1"/>
  <c r="N28" i="1" s="1"/>
</calcChain>
</file>

<file path=xl/sharedStrings.xml><?xml version="1.0" encoding="utf-8"?>
<sst xmlns="http://schemas.openxmlformats.org/spreadsheetml/2006/main" count="137" uniqueCount="60">
  <si>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</si>
  <si>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 xml:space="preserve">      Name of crop,   No. of exp.  And Order of selection                                                          Season: Kharif  </t>
  </si>
  <si>
    <t>PART- A</t>
  </si>
  <si>
    <t>Total</t>
  </si>
  <si>
    <t>Castor</t>
  </si>
  <si>
    <t>Tur</t>
  </si>
  <si>
    <t>Taluka</t>
  </si>
  <si>
    <t>Circle</t>
  </si>
  <si>
    <t>VILLAGE</t>
  </si>
  <si>
    <t>No. of Exp.</t>
  </si>
  <si>
    <t>OS</t>
  </si>
  <si>
    <t>Bhiloda</t>
  </si>
  <si>
    <t>Abhapur</t>
  </si>
  <si>
    <t>Dhansura</t>
  </si>
  <si>
    <t>Borvai</t>
  </si>
  <si>
    <t>Kidi</t>
  </si>
  <si>
    <t>Meghraj</t>
  </si>
  <si>
    <t>Dungragod</t>
  </si>
  <si>
    <t>Shamlaji</t>
  </si>
  <si>
    <t>Shamalaji</t>
  </si>
  <si>
    <t>MAIZE</t>
  </si>
  <si>
    <t>GROUNUT</t>
  </si>
  <si>
    <t>Cotton (IR)</t>
  </si>
  <si>
    <t>Total Part- A</t>
  </si>
  <si>
    <t>PART- B</t>
  </si>
  <si>
    <t>Total Part-B</t>
  </si>
  <si>
    <t>Total Part- A + B</t>
  </si>
  <si>
    <t>Bayad</t>
  </si>
  <si>
    <t>Choila</t>
  </si>
  <si>
    <t>Dolpur (Ramas)</t>
  </si>
  <si>
    <t>Jantral</t>
  </si>
  <si>
    <t>Bhanmer</t>
  </si>
  <si>
    <t>Karoli</t>
  </si>
  <si>
    <t>Malpur</t>
  </si>
  <si>
    <t>Tunadar</t>
  </si>
  <si>
    <t>Limbodara (Ramgadhi)</t>
  </si>
  <si>
    <t>Zeriyawada</t>
  </si>
  <si>
    <t>Modasa</t>
  </si>
  <si>
    <t>Davli</t>
  </si>
  <si>
    <t>Vallavanta</t>
  </si>
  <si>
    <t>Gali Semro</t>
  </si>
  <si>
    <t>4A</t>
  </si>
  <si>
    <t>3B</t>
  </si>
  <si>
    <t>1B</t>
  </si>
  <si>
    <t>2B</t>
  </si>
  <si>
    <t>District: ARAVELI</t>
  </si>
  <si>
    <t>Munai</t>
  </si>
  <si>
    <t>Butal</t>
  </si>
  <si>
    <t>Gadhada Kot</t>
  </si>
  <si>
    <t>Jalampura (Ambaliyara)</t>
  </si>
  <si>
    <t>Mathasuliya</t>
  </si>
  <si>
    <t>Antisara</t>
  </si>
  <si>
    <t>Ambaliya</t>
  </si>
  <si>
    <t>Navagam (Kasana)</t>
  </si>
  <si>
    <t>1A</t>
  </si>
  <si>
    <t xml:space="preserve">                               GUJARAT                                              STATEMENT NO. 4                                             STATE                                                                                    </t>
  </si>
  <si>
    <t>Year-2026-27</t>
  </si>
  <si>
    <t>Takatuka</t>
  </si>
  <si>
    <t>GROUNDNUT</t>
  </si>
  <si>
    <t>Cotton (I)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</si>
</sst>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3" borderId="11" xfId="0" applyFill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zoomScale="70" zoomScaleNormal="70" workbookViewId="0">
      <selection activeCell="O15" sqref="O15"/>
    </sheetView>
  </sheetViews>
  <sheetFormatPr defaultRowHeight="14.4" x14ac:dyDescent="0.3"/>
  <cols>
    <col min="3" max="3" width="12.33203125" style="13" customWidth="1"/>
  </cols>
  <sheetData>
    <row r="1" spans="1:14" ht="18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18" x14ac:dyDescent="0.3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 ht="15.6" x14ac:dyDescent="0.3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 ht="31.2" x14ac:dyDescent="0.3">
      <c r="A4" s="19" t="s">
        <v>45</v>
      </c>
      <c r="B4" s="20"/>
      <c r="C4" s="9" t="s">
        <v>56</v>
      </c>
      <c r="D4" s="23">
        <v>10</v>
      </c>
      <c r="E4" s="23"/>
      <c r="F4" s="23">
        <v>12</v>
      </c>
      <c r="G4" s="23"/>
      <c r="H4" s="23">
        <v>8</v>
      </c>
      <c r="I4" s="23"/>
      <c r="J4" s="23">
        <v>4</v>
      </c>
      <c r="K4" s="23"/>
      <c r="L4" s="23">
        <v>8</v>
      </c>
      <c r="M4" s="23"/>
      <c r="N4" s="1" t="s">
        <v>3</v>
      </c>
    </row>
    <row r="5" spans="1:14" ht="15.6" x14ac:dyDescent="0.3">
      <c r="A5" s="21"/>
      <c r="B5" s="22"/>
      <c r="C5" s="10"/>
      <c r="D5" s="32" t="s">
        <v>20</v>
      </c>
      <c r="E5" s="33"/>
      <c r="F5" s="35" t="s">
        <v>58</v>
      </c>
      <c r="G5" s="36"/>
      <c r="H5" s="34" t="s">
        <v>4</v>
      </c>
      <c r="I5" s="34"/>
      <c r="J5" s="32" t="s">
        <v>5</v>
      </c>
      <c r="K5" s="33"/>
      <c r="L5" s="32" t="s">
        <v>59</v>
      </c>
      <c r="M5" s="33"/>
      <c r="N5" s="1">
        <f>D4+F4+H4+J4+L4</f>
        <v>42</v>
      </c>
    </row>
    <row r="6" spans="1:14" ht="31.2" x14ac:dyDescent="0.3">
      <c r="A6" s="1" t="s">
        <v>6</v>
      </c>
      <c r="B6" s="1" t="s">
        <v>7</v>
      </c>
      <c r="C6" s="2" t="s">
        <v>8</v>
      </c>
      <c r="D6" s="2" t="s">
        <v>9</v>
      </c>
      <c r="E6" s="2" t="s">
        <v>10</v>
      </c>
      <c r="F6" s="2" t="s">
        <v>9</v>
      </c>
      <c r="G6" s="2" t="s">
        <v>10</v>
      </c>
      <c r="H6" s="2" t="s">
        <v>9</v>
      </c>
      <c r="I6" s="2" t="s">
        <v>10</v>
      </c>
      <c r="J6" s="2" t="s">
        <v>9</v>
      </c>
      <c r="K6" s="2" t="s">
        <v>10</v>
      </c>
      <c r="L6" s="2" t="s">
        <v>9</v>
      </c>
      <c r="M6" s="2" t="s">
        <v>10</v>
      </c>
      <c r="N6" s="3"/>
    </row>
    <row r="7" spans="1:14" ht="18" x14ac:dyDescent="0.3">
      <c r="A7" s="4" t="s">
        <v>11</v>
      </c>
      <c r="B7" s="16" t="s">
        <v>57</v>
      </c>
      <c r="C7" s="11" t="s">
        <v>12</v>
      </c>
      <c r="D7" s="4"/>
      <c r="E7" s="4"/>
      <c r="F7" s="4">
        <v>2</v>
      </c>
      <c r="G7" s="5">
        <v>1</v>
      </c>
      <c r="H7" s="4"/>
      <c r="I7" s="4"/>
      <c r="J7" s="4"/>
      <c r="K7" s="4"/>
      <c r="L7" s="4"/>
      <c r="M7" s="4"/>
      <c r="N7" s="4">
        <f>+D7+F7+H7+J7+L7</f>
        <v>2</v>
      </c>
    </row>
    <row r="8" spans="1:14" ht="18" x14ac:dyDescent="0.3">
      <c r="A8" s="4" t="s">
        <v>13</v>
      </c>
      <c r="B8" s="4" t="s">
        <v>13</v>
      </c>
      <c r="C8" s="11" t="s">
        <v>14</v>
      </c>
      <c r="D8" s="4">
        <v>2</v>
      </c>
      <c r="E8" s="5">
        <v>1</v>
      </c>
      <c r="F8" s="4">
        <v>2</v>
      </c>
      <c r="G8" s="5">
        <v>2</v>
      </c>
      <c r="H8" s="4"/>
      <c r="I8" s="4"/>
      <c r="J8" s="4"/>
      <c r="K8" s="4"/>
      <c r="L8" s="4"/>
      <c r="M8" s="4"/>
      <c r="N8" s="4">
        <f t="shared" ref="N8:N12" si="0">+D8+F8+H8+J8+L8</f>
        <v>4</v>
      </c>
    </row>
    <row r="9" spans="1:14" ht="18" x14ac:dyDescent="0.3">
      <c r="A9" s="4" t="s">
        <v>13</v>
      </c>
      <c r="B9" s="4" t="s">
        <v>13</v>
      </c>
      <c r="C9" s="11" t="s">
        <v>15</v>
      </c>
      <c r="D9" s="4"/>
      <c r="E9" s="5"/>
      <c r="F9" s="4"/>
      <c r="G9" s="4"/>
      <c r="H9" s="4">
        <v>2</v>
      </c>
      <c r="I9" s="5">
        <v>1</v>
      </c>
      <c r="J9" s="4"/>
      <c r="K9" s="4"/>
      <c r="L9" s="4">
        <v>2</v>
      </c>
      <c r="M9" s="5" t="s">
        <v>43</v>
      </c>
      <c r="N9" s="4">
        <f t="shared" si="0"/>
        <v>4</v>
      </c>
    </row>
    <row r="10" spans="1:14" ht="18" x14ac:dyDescent="0.3">
      <c r="A10" s="4" t="s">
        <v>16</v>
      </c>
      <c r="B10" s="4" t="s">
        <v>16</v>
      </c>
      <c r="C10" s="11" t="s">
        <v>17</v>
      </c>
      <c r="D10" s="4"/>
      <c r="E10" s="5"/>
      <c r="F10" s="4"/>
      <c r="G10" s="4"/>
      <c r="H10" s="4"/>
      <c r="I10" s="4"/>
      <c r="J10" s="4">
        <v>2</v>
      </c>
      <c r="K10" s="5">
        <v>1</v>
      </c>
      <c r="L10" s="4">
        <v>2</v>
      </c>
      <c r="M10" s="5" t="s">
        <v>44</v>
      </c>
      <c r="N10" s="4">
        <f t="shared" si="0"/>
        <v>4</v>
      </c>
    </row>
    <row r="11" spans="1:14" ht="18" x14ac:dyDescent="0.3">
      <c r="A11" s="4" t="s">
        <v>18</v>
      </c>
      <c r="B11" s="4" t="s">
        <v>18</v>
      </c>
      <c r="C11" s="11" t="s">
        <v>19</v>
      </c>
      <c r="D11" s="4">
        <v>2</v>
      </c>
      <c r="E11" s="5">
        <v>2</v>
      </c>
      <c r="F11" s="4"/>
      <c r="G11" s="4"/>
      <c r="H11" s="4"/>
      <c r="I11" s="4"/>
      <c r="J11" s="4"/>
      <c r="K11" s="4"/>
      <c r="L11" s="4"/>
      <c r="M11" s="4"/>
      <c r="N11" s="4">
        <f t="shared" si="0"/>
        <v>2</v>
      </c>
    </row>
    <row r="12" spans="1:14" ht="15.6" x14ac:dyDescent="0.3">
      <c r="A12" s="23" t="s">
        <v>23</v>
      </c>
      <c r="B12" s="23"/>
      <c r="C12" s="23"/>
      <c r="D12" s="6">
        <f>SUM(D7:D11)</f>
        <v>4</v>
      </c>
      <c r="E12" s="6"/>
      <c r="F12" s="6">
        <f>SUM(F7:F11)</f>
        <v>4</v>
      </c>
      <c r="G12" s="6"/>
      <c r="H12" s="6">
        <f>SUM(H7:H11)</f>
        <v>2</v>
      </c>
      <c r="I12" s="6"/>
      <c r="J12" s="6">
        <f>SUM(J7:J11)</f>
        <v>2</v>
      </c>
      <c r="K12" s="6"/>
      <c r="L12" s="6">
        <f>SUM(L7:L11)</f>
        <v>4</v>
      </c>
      <c r="M12" s="6"/>
      <c r="N12" s="4">
        <f t="shared" si="0"/>
        <v>16</v>
      </c>
    </row>
    <row r="13" spans="1:14" ht="15.6" x14ac:dyDescent="0.3">
      <c r="A13" s="18" t="s">
        <v>24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 spans="1:14" ht="15.6" x14ac:dyDescent="0.3">
      <c r="A14" s="4" t="s">
        <v>27</v>
      </c>
      <c r="B14" s="4" t="s">
        <v>27</v>
      </c>
      <c r="C14" s="11" t="s">
        <v>28</v>
      </c>
      <c r="D14" s="4"/>
      <c r="E14" s="4"/>
      <c r="F14" s="4">
        <v>2</v>
      </c>
      <c r="G14" s="6">
        <v>5</v>
      </c>
      <c r="H14" s="4"/>
      <c r="I14" s="4"/>
      <c r="J14" s="4"/>
      <c r="K14" s="4"/>
      <c r="L14" s="4"/>
      <c r="M14" s="4"/>
      <c r="N14" s="4">
        <f t="shared" ref="N14:N25" si="1">+D14+F14+H14+J14+L14</f>
        <v>2</v>
      </c>
    </row>
    <row r="15" spans="1:14" ht="28.8" x14ac:dyDescent="0.3">
      <c r="A15" s="4" t="s">
        <v>27</v>
      </c>
      <c r="B15" s="4" t="s">
        <v>27</v>
      </c>
      <c r="C15" s="11" t="s">
        <v>29</v>
      </c>
      <c r="D15" s="4"/>
      <c r="E15" s="4"/>
      <c r="F15" s="4">
        <v>2</v>
      </c>
      <c r="G15" s="6">
        <v>4</v>
      </c>
      <c r="H15" s="4">
        <v>2</v>
      </c>
      <c r="I15" s="6">
        <v>4</v>
      </c>
      <c r="J15" s="4"/>
      <c r="K15" s="4"/>
      <c r="L15" s="4"/>
      <c r="M15" s="4"/>
      <c r="N15" s="4">
        <f t="shared" si="1"/>
        <v>4</v>
      </c>
    </row>
    <row r="16" spans="1:14" ht="15.6" x14ac:dyDescent="0.3">
      <c r="A16" s="4" t="s">
        <v>27</v>
      </c>
      <c r="B16" s="4" t="s">
        <v>27</v>
      </c>
      <c r="C16" s="11" t="s">
        <v>30</v>
      </c>
      <c r="D16" s="4"/>
      <c r="E16" s="4"/>
      <c r="F16" s="4"/>
      <c r="G16" s="4"/>
      <c r="H16" s="4">
        <v>2</v>
      </c>
      <c r="I16" s="6">
        <v>2</v>
      </c>
      <c r="J16" s="4"/>
      <c r="K16" s="4"/>
      <c r="L16" s="4"/>
      <c r="M16" s="4"/>
      <c r="N16" s="4">
        <f t="shared" si="1"/>
        <v>2</v>
      </c>
    </row>
    <row r="17" spans="1:14" ht="15.6" x14ac:dyDescent="0.3">
      <c r="A17" s="4" t="s">
        <v>11</v>
      </c>
      <c r="B17" s="4" t="s">
        <v>11</v>
      </c>
      <c r="C17" s="11" t="s">
        <v>31</v>
      </c>
      <c r="D17" s="4">
        <v>2</v>
      </c>
      <c r="E17" s="6">
        <v>4</v>
      </c>
      <c r="F17" s="4"/>
      <c r="G17" s="4"/>
      <c r="H17" s="4"/>
      <c r="I17" s="4"/>
      <c r="J17" s="4"/>
      <c r="K17" s="4"/>
      <c r="L17" s="4"/>
      <c r="M17" s="4"/>
      <c r="N17" s="4">
        <f t="shared" si="1"/>
        <v>2</v>
      </c>
    </row>
    <row r="18" spans="1:14" ht="15.6" x14ac:dyDescent="0.3">
      <c r="A18" s="4" t="s">
        <v>13</v>
      </c>
      <c r="B18" s="4" t="s">
        <v>13</v>
      </c>
      <c r="C18" s="11" t="s">
        <v>13</v>
      </c>
      <c r="D18" s="4"/>
      <c r="E18" s="4"/>
      <c r="F18" s="4"/>
      <c r="G18" s="4"/>
      <c r="H18" s="4"/>
      <c r="I18" s="4"/>
      <c r="J18" s="4">
        <v>2</v>
      </c>
      <c r="K18" s="6">
        <v>2</v>
      </c>
      <c r="L18" s="4"/>
      <c r="M18" s="4"/>
      <c r="N18" s="4">
        <f t="shared" si="1"/>
        <v>2</v>
      </c>
    </row>
    <row r="19" spans="1:14" ht="15.6" x14ac:dyDescent="0.3">
      <c r="A19" s="4" t="s">
        <v>13</v>
      </c>
      <c r="B19" s="4" t="s">
        <v>13</v>
      </c>
      <c r="C19" s="11" t="s">
        <v>32</v>
      </c>
      <c r="D19" s="4"/>
      <c r="E19" s="4"/>
      <c r="F19" s="4"/>
      <c r="G19" s="4"/>
      <c r="H19" s="4"/>
      <c r="I19" s="4"/>
      <c r="J19" s="4"/>
      <c r="K19" s="4"/>
      <c r="L19" s="4">
        <v>2</v>
      </c>
      <c r="M19" s="6" t="s">
        <v>41</v>
      </c>
      <c r="N19" s="4">
        <f t="shared" si="1"/>
        <v>2</v>
      </c>
    </row>
    <row r="20" spans="1:14" ht="15.6" x14ac:dyDescent="0.3">
      <c r="A20" s="4" t="s">
        <v>33</v>
      </c>
      <c r="B20" s="4" t="s">
        <v>33</v>
      </c>
      <c r="C20" s="11" t="s">
        <v>34</v>
      </c>
      <c r="D20" s="4"/>
      <c r="E20" s="4"/>
      <c r="F20" s="4">
        <v>2</v>
      </c>
      <c r="G20" s="6">
        <v>6</v>
      </c>
      <c r="H20" s="4"/>
      <c r="I20" s="4"/>
      <c r="J20" s="4"/>
      <c r="K20" s="4"/>
      <c r="L20" s="4"/>
      <c r="M20" s="4"/>
      <c r="N20" s="4">
        <f t="shared" si="1"/>
        <v>2</v>
      </c>
    </row>
    <row r="21" spans="1:14" ht="28.8" x14ac:dyDescent="0.3">
      <c r="A21" s="4" t="s">
        <v>16</v>
      </c>
      <c r="B21" s="4" t="s">
        <v>16</v>
      </c>
      <c r="C21" s="11" t="s">
        <v>35</v>
      </c>
      <c r="D21" s="4"/>
      <c r="E21" s="4"/>
      <c r="F21" s="4"/>
      <c r="G21" s="4"/>
      <c r="H21" s="4"/>
      <c r="I21" s="4"/>
      <c r="J21" s="4"/>
      <c r="K21" s="4"/>
      <c r="L21" s="4">
        <v>2</v>
      </c>
      <c r="M21" s="6" t="s">
        <v>42</v>
      </c>
      <c r="N21" s="4">
        <f t="shared" si="1"/>
        <v>2</v>
      </c>
    </row>
    <row r="22" spans="1:14" ht="15.6" x14ac:dyDescent="0.3">
      <c r="A22" s="4" t="s">
        <v>16</v>
      </c>
      <c r="B22" s="4" t="s">
        <v>16</v>
      </c>
      <c r="C22" s="11" t="s">
        <v>36</v>
      </c>
      <c r="D22" s="4">
        <v>2</v>
      </c>
      <c r="E22" s="6">
        <v>5</v>
      </c>
      <c r="F22" s="4"/>
      <c r="G22" s="4"/>
      <c r="H22" s="4"/>
      <c r="I22" s="4"/>
      <c r="J22" s="4"/>
      <c r="K22" s="4"/>
      <c r="L22" s="4"/>
      <c r="M22" s="4"/>
      <c r="N22" s="4">
        <f t="shared" si="1"/>
        <v>2</v>
      </c>
    </row>
    <row r="23" spans="1:14" ht="15.6" x14ac:dyDescent="0.3">
      <c r="A23" s="4" t="s">
        <v>37</v>
      </c>
      <c r="B23" s="4" t="s">
        <v>37</v>
      </c>
      <c r="C23" s="11" t="s">
        <v>38</v>
      </c>
      <c r="D23" s="4"/>
      <c r="E23" s="4"/>
      <c r="F23" s="4">
        <v>2</v>
      </c>
      <c r="G23" s="6">
        <v>3</v>
      </c>
      <c r="H23" s="4"/>
      <c r="I23" s="4"/>
      <c r="J23" s="4"/>
      <c r="K23" s="4"/>
      <c r="L23" s="4"/>
      <c r="M23" s="4"/>
      <c r="N23" s="4">
        <f t="shared" si="1"/>
        <v>2</v>
      </c>
    </row>
    <row r="24" spans="1:14" ht="15.6" x14ac:dyDescent="0.3">
      <c r="A24" s="4" t="s">
        <v>37</v>
      </c>
      <c r="B24" s="4" t="s">
        <v>37</v>
      </c>
      <c r="C24" s="11" t="s">
        <v>39</v>
      </c>
      <c r="D24" s="4"/>
      <c r="E24" s="4"/>
      <c r="F24" s="4"/>
      <c r="G24" s="4"/>
      <c r="H24" s="4">
        <v>2</v>
      </c>
      <c r="I24" s="6">
        <v>3</v>
      </c>
      <c r="J24" s="4"/>
      <c r="K24" s="4"/>
      <c r="L24" s="4"/>
      <c r="M24" s="4"/>
      <c r="N24" s="4">
        <f t="shared" si="1"/>
        <v>2</v>
      </c>
    </row>
    <row r="25" spans="1:14" ht="15.6" x14ac:dyDescent="0.3">
      <c r="A25" s="4" t="s">
        <v>18</v>
      </c>
      <c r="B25" s="4" t="s">
        <v>18</v>
      </c>
      <c r="C25" s="11" t="s">
        <v>40</v>
      </c>
      <c r="D25" s="4">
        <v>2</v>
      </c>
      <c r="E25" s="6">
        <v>3</v>
      </c>
      <c r="F25" s="4"/>
      <c r="G25" s="4"/>
      <c r="H25" s="4"/>
      <c r="I25" s="4"/>
      <c r="J25" s="4"/>
      <c r="K25" s="4"/>
      <c r="L25" s="4"/>
      <c r="M25" s="4"/>
      <c r="N25" s="4">
        <f t="shared" si="1"/>
        <v>2</v>
      </c>
    </row>
    <row r="26" spans="1:14" ht="15.6" x14ac:dyDescent="0.3">
      <c r="A26" s="7"/>
      <c r="B26" s="8"/>
      <c r="C26" s="12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ht="15.6" x14ac:dyDescent="0.3">
      <c r="A27" s="24" t="s">
        <v>25</v>
      </c>
      <c r="B27" s="25"/>
      <c r="C27" s="26"/>
      <c r="D27" s="6">
        <f>SUM(D14:D25)</f>
        <v>6</v>
      </c>
      <c r="E27" s="6"/>
      <c r="F27" s="6">
        <f>SUM(F14:F25)</f>
        <v>8</v>
      </c>
      <c r="G27" s="6"/>
      <c r="H27" s="6">
        <f>SUM(H14:H25)</f>
        <v>6</v>
      </c>
      <c r="I27" s="6"/>
      <c r="J27" s="6">
        <f>SUM(J14:J25)</f>
        <v>2</v>
      </c>
      <c r="K27" s="6"/>
      <c r="L27" s="6">
        <f>SUM(L14:L25)</f>
        <v>4</v>
      </c>
      <c r="M27" s="6"/>
      <c r="N27" s="6">
        <f>SUM(N14:N25)</f>
        <v>26</v>
      </c>
    </row>
    <row r="28" spans="1:14" ht="15.6" x14ac:dyDescent="0.3">
      <c r="A28" s="24" t="s">
        <v>26</v>
      </c>
      <c r="B28" s="25"/>
      <c r="C28" s="26"/>
      <c r="D28" s="6">
        <f>+D12+D27</f>
        <v>10</v>
      </c>
      <c r="E28" s="6"/>
      <c r="F28" s="6">
        <f t="shared" ref="F28" si="2">+F12+F27</f>
        <v>12</v>
      </c>
      <c r="G28" s="6"/>
      <c r="H28" s="6">
        <f t="shared" ref="H28" si="3">+H12+H27</f>
        <v>8</v>
      </c>
      <c r="I28" s="6"/>
      <c r="J28" s="6">
        <f t="shared" ref="J28" si="4">+J12+J27</f>
        <v>4</v>
      </c>
      <c r="K28" s="6"/>
      <c r="L28" s="6">
        <f t="shared" ref="L28" si="5">+L12+L27</f>
        <v>8</v>
      </c>
      <c r="M28" s="6"/>
      <c r="N28" s="6">
        <f t="shared" ref="N28" si="6">+N12+N27</f>
        <v>42</v>
      </c>
    </row>
  </sheetData>
  <mergeCells count="18">
    <mergeCell ref="A12:C12"/>
    <mergeCell ref="A13:N13"/>
    <mergeCell ref="A27:C27"/>
    <mergeCell ref="A28:C28"/>
    <mergeCell ref="L5:M5"/>
    <mergeCell ref="J5:K5"/>
    <mergeCell ref="D5:E5"/>
    <mergeCell ref="H5:I5"/>
    <mergeCell ref="F5:G5"/>
    <mergeCell ref="A1:N1"/>
    <mergeCell ref="A2:N2"/>
    <mergeCell ref="A3:N3"/>
    <mergeCell ref="A4:B5"/>
    <mergeCell ref="D4:E4"/>
    <mergeCell ref="F4:G4"/>
    <mergeCell ref="H4:I4"/>
    <mergeCell ref="J4:K4"/>
    <mergeCell ref="L4:M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zoomScale="70" zoomScaleNormal="70" workbookViewId="0">
      <selection activeCell="K24" sqref="K24"/>
    </sheetView>
  </sheetViews>
  <sheetFormatPr defaultRowHeight="14.4" x14ac:dyDescent="0.3"/>
  <cols>
    <col min="3" max="3" width="14.6640625" customWidth="1"/>
  </cols>
  <sheetData>
    <row r="1" spans="1:14" ht="18" x14ac:dyDescent="0.3">
      <c r="A1" s="17" t="s">
        <v>55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18" x14ac:dyDescent="0.3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 ht="15.6" x14ac:dyDescent="0.3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 ht="15.6" x14ac:dyDescent="0.3">
      <c r="A4" s="19" t="s">
        <v>45</v>
      </c>
      <c r="B4" s="20"/>
      <c r="C4" s="9" t="s">
        <v>56</v>
      </c>
      <c r="D4" s="23">
        <v>6</v>
      </c>
      <c r="E4" s="23"/>
      <c r="F4" s="23">
        <v>6</v>
      </c>
      <c r="G4" s="23"/>
      <c r="H4" s="23">
        <v>6</v>
      </c>
      <c r="I4" s="23"/>
      <c r="J4" s="23">
        <v>4</v>
      </c>
      <c r="K4" s="23"/>
      <c r="L4" s="23">
        <v>4</v>
      </c>
      <c r="M4" s="23"/>
      <c r="N4" s="1" t="s">
        <v>3</v>
      </c>
    </row>
    <row r="5" spans="1:14" ht="18" x14ac:dyDescent="0.3">
      <c r="A5" s="21"/>
      <c r="B5" s="22"/>
      <c r="C5" s="10"/>
      <c r="D5" s="27" t="s">
        <v>20</v>
      </c>
      <c r="E5" s="28"/>
      <c r="F5" s="29" t="s">
        <v>21</v>
      </c>
      <c r="G5" s="30"/>
      <c r="H5" s="31" t="s">
        <v>4</v>
      </c>
      <c r="I5" s="31"/>
      <c r="J5" s="27" t="s">
        <v>5</v>
      </c>
      <c r="K5" s="28"/>
      <c r="L5" s="27" t="s">
        <v>22</v>
      </c>
      <c r="M5" s="28"/>
      <c r="N5" s="1">
        <f>D4+F4+H4+J4+L4</f>
        <v>26</v>
      </c>
    </row>
    <row r="6" spans="1:14" ht="31.2" x14ac:dyDescent="0.3">
      <c r="A6" s="1" t="s">
        <v>6</v>
      </c>
      <c r="B6" s="1" t="s">
        <v>7</v>
      </c>
      <c r="C6" s="2" t="s">
        <v>8</v>
      </c>
      <c r="D6" s="2" t="s">
        <v>9</v>
      </c>
      <c r="E6" s="2" t="s">
        <v>10</v>
      </c>
      <c r="F6" s="2" t="s">
        <v>9</v>
      </c>
      <c r="G6" s="2" t="s">
        <v>10</v>
      </c>
      <c r="H6" s="2" t="s">
        <v>9</v>
      </c>
      <c r="I6" s="2" t="s">
        <v>10</v>
      </c>
      <c r="J6" s="2" t="s">
        <v>9</v>
      </c>
      <c r="K6" s="2" t="s">
        <v>10</v>
      </c>
      <c r="L6" s="2" t="s">
        <v>9</v>
      </c>
      <c r="M6" s="2" t="s">
        <v>10</v>
      </c>
      <c r="N6" s="3"/>
    </row>
    <row r="7" spans="1:14" ht="18" x14ac:dyDescent="0.3">
      <c r="A7" s="3" t="s">
        <v>11</v>
      </c>
      <c r="B7" s="3" t="s">
        <v>11</v>
      </c>
      <c r="C7" s="14" t="s">
        <v>46</v>
      </c>
      <c r="D7" s="3">
        <v>2</v>
      </c>
      <c r="E7" s="15">
        <v>1</v>
      </c>
      <c r="F7" s="3">
        <v>2</v>
      </c>
      <c r="G7" s="15">
        <v>3</v>
      </c>
      <c r="H7" s="3"/>
      <c r="I7" s="3"/>
      <c r="J7" s="3"/>
      <c r="K7" s="3"/>
      <c r="L7" s="3"/>
      <c r="M7" s="3"/>
      <c r="N7" s="4">
        <f t="shared" ref="N7:N12" si="0">+D7+F7+H7+J7+L7</f>
        <v>4</v>
      </c>
    </row>
    <row r="8" spans="1:14" ht="18" x14ac:dyDescent="0.3">
      <c r="A8" s="3" t="s">
        <v>13</v>
      </c>
      <c r="B8" s="3" t="s">
        <v>13</v>
      </c>
      <c r="C8" s="14" t="s">
        <v>47</v>
      </c>
      <c r="D8" s="3"/>
      <c r="E8" s="3"/>
      <c r="F8" s="3"/>
      <c r="G8" s="3"/>
      <c r="H8" s="3"/>
      <c r="I8" s="3"/>
      <c r="J8" s="3">
        <v>2</v>
      </c>
      <c r="K8" s="15">
        <v>1</v>
      </c>
      <c r="L8" s="3"/>
      <c r="M8" s="3"/>
      <c r="N8" s="4">
        <f t="shared" si="0"/>
        <v>2</v>
      </c>
    </row>
    <row r="9" spans="1:14" ht="18" x14ac:dyDescent="0.3">
      <c r="A9" s="3" t="s">
        <v>13</v>
      </c>
      <c r="B9" s="3" t="s">
        <v>13</v>
      </c>
      <c r="C9" s="14" t="s">
        <v>48</v>
      </c>
      <c r="D9" s="3"/>
      <c r="E9" s="3"/>
      <c r="F9" s="3">
        <v>2</v>
      </c>
      <c r="G9" s="15">
        <v>2</v>
      </c>
      <c r="H9" s="3">
        <v>2</v>
      </c>
      <c r="I9" s="15">
        <v>1</v>
      </c>
      <c r="J9" s="3"/>
      <c r="K9" s="3"/>
      <c r="L9" s="3">
        <v>2</v>
      </c>
      <c r="M9" s="15" t="s">
        <v>54</v>
      </c>
      <c r="N9" s="4">
        <f t="shared" si="0"/>
        <v>6</v>
      </c>
    </row>
    <row r="10" spans="1:14" ht="28.8" x14ac:dyDescent="0.3">
      <c r="A10" s="3" t="s">
        <v>13</v>
      </c>
      <c r="B10" s="3" t="s">
        <v>13</v>
      </c>
      <c r="C10" s="14" t="s">
        <v>49</v>
      </c>
      <c r="D10" s="3"/>
      <c r="E10" s="3"/>
      <c r="F10" s="3">
        <v>2</v>
      </c>
      <c r="G10" s="15">
        <v>1</v>
      </c>
      <c r="H10" s="3">
        <v>2</v>
      </c>
      <c r="I10" s="15">
        <v>2</v>
      </c>
      <c r="J10" s="3"/>
      <c r="K10" s="3"/>
      <c r="L10" s="3"/>
      <c r="M10" s="15"/>
      <c r="N10" s="4">
        <f t="shared" si="0"/>
        <v>4</v>
      </c>
    </row>
    <row r="11" spans="1:14" ht="18" x14ac:dyDescent="0.3">
      <c r="A11" s="3" t="s">
        <v>37</v>
      </c>
      <c r="B11" s="3" t="s">
        <v>37</v>
      </c>
      <c r="C11" s="14" t="s">
        <v>50</v>
      </c>
      <c r="D11" s="3"/>
      <c r="E11" s="3"/>
      <c r="F11" s="3"/>
      <c r="G11" s="3"/>
      <c r="H11" s="3">
        <v>2</v>
      </c>
      <c r="I11" s="15">
        <v>3</v>
      </c>
      <c r="J11" s="3"/>
      <c r="K11" s="3"/>
      <c r="L11" s="3">
        <v>2</v>
      </c>
      <c r="M11" s="15" t="s">
        <v>44</v>
      </c>
      <c r="N11" s="4">
        <f t="shared" si="0"/>
        <v>4</v>
      </c>
    </row>
    <row r="12" spans="1:14" ht="15.6" x14ac:dyDescent="0.3">
      <c r="A12" s="23" t="s">
        <v>23</v>
      </c>
      <c r="B12" s="23"/>
      <c r="C12" s="23"/>
      <c r="D12" s="1">
        <f>SUM(D7:D11)</f>
        <v>2</v>
      </c>
      <c r="E12" s="1"/>
      <c r="F12" s="1">
        <f>SUM(F7:F11)</f>
        <v>6</v>
      </c>
      <c r="G12" s="1"/>
      <c r="H12" s="1">
        <f>SUM(H7:H11)</f>
        <v>6</v>
      </c>
      <c r="I12" s="1"/>
      <c r="J12" s="1">
        <f>SUM(J7:J11)</f>
        <v>2</v>
      </c>
      <c r="K12" s="1"/>
      <c r="L12" s="1">
        <f>SUM(L7:L11)</f>
        <v>4</v>
      </c>
      <c r="M12" s="1"/>
      <c r="N12" s="4">
        <f t="shared" si="0"/>
        <v>20</v>
      </c>
    </row>
    <row r="13" spans="1:14" ht="15.6" x14ac:dyDescent="0.3">
      <c r="A13" s="23" t="s">
        <v>24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</row>
    <row r="14" spans="1:14" ht="15.6" x14ac:dyDescent="0.3">
      <c r="A14" s="3" t="s">
        <v>13</v>
      </c>
      <c r="B14" s="3" t="s">
        <v>13</v>
      </c>
      <c r="C14" s="3" t="s">
        <v>51</v>
      </c>
      <c r="D14" s="3"/>
      <c r="E14" s="3"/>
      <c r="F14" s="3"/>
      <c r="G14" s="3"/>
      <c r="H14" s="3"/>
      <c r="I14" s="3"/>
      <c r="J14" s="3">
        <v>2</v>
      </c>
      <c r="K14" s="1">
        <v>2</v>
      </c>
      <c r="L14" s="3"/>
      <c r="M14" s="3"/>
      <c r="N14" s="4">
        <f>+D14+F14+H14+J14+L14</f>
        <v>2</v>
      </c>
    </row>
    <row r="15" spans="1:14" ht="15.6" x14ac:dyDescent="0.3">
      <c r="A15" s="3" t="s">
        <v>33</v>
      </c>
      <c r="B15" s="3" t="s">
        <v>33</v>
      </c>
      <c r="C15" s="3" t="s">
        <v>52</v>
      </c>
      <c r="D15" s="3">
        <v>2</v>
      </c>
      <c r="E15" s="1">
        <v>2</v>
      </c>
      <c r="F15" s="3"/>
      <c r="G15" s="3"/>
      <c r="H15" s="3"/>
      <c r="I15" s="3"/>
      <c r="J15" s="3"/>
      <c r="K15" s="3"/>
      <c r="L15" s="3"/>
      <c r="M15" s="3"/>
      <c r="N15" s="4">
        <f>+D15+F15+H15+J15+L15</f>
        <v>2</v>
      </c>
    </row>
    <row r="16" spans="1:14" ht="15.6" x14ac:dyDescent="0.3">
      <c r="A16" s="3" t="s">
        <v>16</v>
      </c>
      <c r="B16" s="3" t="s">
        <v>16</v>
      </c>
      <c r="C16" s="3" t="s">
        <v>53</v>
      </c>
      <c r="D16" s="3">
        <v>2</v>
      </c>
      <c r="E16" s="1">
        <v>3</v>
      </c>
      <c r="F16" s="3"/>
      <c r="G16" s="3"/>
      <c r="H16" s="3"/>
      <c r="I16" s="3"/>
      <c r="J16" s="3"/>
      <c r="K16" s="3"/>
      <c r="L16" s="3"/>
      <c r="M16" s="3"/>
      <c r="N16" s="4">
        <f>+D16+F16+H16+J16+L16</f>
        <v>2</v>
      </c>
    </row>
    <row r="18" spans="1:14" ht="15.6" x14ac:dyDescent="0.3">
      <c r="A18" s="24" t="s">
        <v>25</v>
      </c>
      <c r="B18" s="25"/>
      <c r="C18" s="26"/>
      <c r="D18" s="6">
        <f>SUM(D14:D16)</f>
        <v>4</v>
      </c>
      <c r="E18" s="6"/>
      <c r="F18" s="6">
        <f t="shared" ref="F18" si="1">SUM(F14:F16)</f>
        <v>0</v>
      </c>
      <c r="G18" s="6"/>
      <c r="H18" s="6">
        <f t="shared" ref="H18" si="2">SUM(H14:H16)</f>
        <v>0</v>
      </c>
      <c r="I18" s="6"/>
      <c r="J18" s="6">
        <f t="shared" ref="J18" si="3">SUM(J14:J16)</f>
        <v>2</v>
      </c>
      <c r="K18" s="6"/>
      <c r="L18" s="6">
        <f t="shared" ref="L18" si="4">SUM(L14:L16)</f>
        <v>0</v>
      </c>
      <c r="M18" s="6"/>
      <c r="N18" s="6">
        <f t="shared" ref="N18" si="5">SUM(N14:N16)</f>
        <v>6</v>
      </c>
    </row>
    <row r="19" spans="1:14" ht="15.6" x14ac:dyDescent="0.3">
      <c r="A19" s="24" t="s">
        <v>26</v>
      </c>
      <c r="B19" s="25"/>
      <c r="C19" s="26"/>
      <c r="D19" s="6">
        <f>+D12+D18</f>
        <v>6</v>
      </c>
      <c r="E19" s="6"/>
      <c r="F19" s="6">
        <f t="shared" ref="F19" si="6">+F12+F18</f>
        <v>6</v>
      </c>
      <c r="G19" s="6"/>
      <c r="H19" s="6">
        <f t="shared" ref="H19" si="7">+H12+H18</f>
        <v>6</v>
      </c>
      <c r="I19" s="6"/>
      <c r="J19" s="6">
        <f t="shared" ref="J19" si="8">+J12+J18</f>
        <v>4</v>
      </c>
      <c r="K19" s="6"/>
      <c r="L19" s="6">
        <f t="shared" ref="L19" si="9">+L12+L18</f>
        <v>4</v>
      </c>
      <c r="M19" s="6"/>
      <c r="N19" s="6">
        <f t="shared" ref="N19" si="10">+N12+N18</f>
        <v>26</v>
      </c>
    </row>
  </sheetData>
  <mergeCells count="18">
    <mergeCell ref="A13:N13"/>
    <mergeCell ref="A18:C18"/>
    <mergeCell ref="A19:C19"/>
    <mergeCell ref="D5:E5"/>
    <mergeCell ref="F5:G5"/>
    <mergeCell ref="H5:I5"/>
    <mergeCell ref="J5:K5"/>
    <mergeCell ref="L5:M5"/>
    <mergeCell ref="A12:C12"/>
    <mergeCell ref="A1:N1"/>
    <mergeCell ref="A2:N2"/>
    <mergeCell ref="A3:N3"/>
    <mergeCell ref="A4:B5"/>
    <mergeCell ref="D4:E4"/>
    <mergeCell ref="F4:G4"/>
    <mergeCell ref="H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2026-09-22T11:52:40Z</dcterms:modified>
</cp:coreProperties>
</file>
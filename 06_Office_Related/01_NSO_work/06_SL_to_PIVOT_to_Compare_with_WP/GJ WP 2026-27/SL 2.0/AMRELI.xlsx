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FF3A429F-A139-4E7F-A8C9-D88217BF24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RAL 2.0" sheetId="2" r:id="rId1"/>
    <sheet name="state 2.0" sheetId="1" r:id="rId2"/>
  </sheets>
  <definedNames>
    <definedName name="_xlnm._FilterDatabase" localSheetId="0" hidden="1">'CENTRAL 2.0'!$A$6:$L$24</definedName>
    <definedName name="_xlnm._FilterDatabase" localSheetId="1" hidden="1">'state 2.0'!$A$6:$L$22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2" l="1"/>
  <c r="H28" i="2"/>
  <c r="F28" i="2"/>
  <c r="D28" i="2"/>
  <c r="J23" i="2"/>
  <c r="J30" i="2" s="1"/>
  <c r="H23" i="2"/>
  <c r="H30" i="2" s="1"/>
  <c r="F23" i="2"/>
  <c r="F30" i="2" s="1"/>
  <c r="L27" i="2"/>
  <c r="L26" i="2"/>
  <c r="L28" i="2" s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7" i="2"/>
  <c r="D23" i="2"/>
  <c r="D30" i="2" s="1"/>
  <c r="L5" i="2"/>
  <c r="L5" i="1"/>
  <c r="L23" i="2" l="1"/>
  <c r="L30" i="2" s="1"/>
  <c r="L17" i="1" l="1"/>
  <c r="L22" i="1"/>
  <c r="J18" i="1"/>
  <c r="H18" i="1"/>
  <c r="F18" i="1"/>
  <c r="D18" i="1"/>
  <c r="J22" i="1"/>
  <c r="H22" i="1"/>
  <c r="F22" i="1"/>
  <c r="D22" i="1"/>
  <c r="L8" i="1"/>
  <c r="L9" i="1"/>
  <c r="L10" i="1"/>
  <c r="L11" i="1"/>
  <c r="L12" i="1"/>
  <c r="L13" i="1"/>
  <c r="L14" i="1"/>
  <c r="L15" i="1"/>
  <c r="L16" i="1"/>
  <c r="L7" i="1"/>
  <c r="L18" i="1" l="1"/>
  <c r="L24" i="1" s="1"/>
  <c r="H24" i="1"/>
  <c r="J24" i="1"/>
  <c r="F24" i="1"/>
  <c r="D24" i="1" l="1"/>
</calcChain>
</file>

<file path=xl/sharedStrings.xml><?xml version="1.0" encoding="utf-8"?>
<sst xmlns="http://schemas.openxmlformats.org/spreadsheetml/2006/main" count="182" uniqueCount="88">
  <si>
    <t>EXP</t>
  </si>
  <si>
    <t xml:space="preserve">DISTRICT </t>
  </si>
  <si>
    <t xml:space="preserve">TALUKA </t>
  </si>
  <si>
    <t xml:space="preserve">VILLEGE </t>
  </si>
  <si>
    <t>OS</t>
  </si>
  <si>
    <t>Amreli</t>
  </si>
  <si>
    <t>Malvan</t>
  </si>
  <si>
    <t>Vankiya</t>
  </si>
  <si>
    <t>Babra</t>
  </si>
  <si>
    <t>Fuljhar</t>
  </si>
  <si>
    <t>Taivadar</t>
  </si>
  <si>
    <t>Bagasara</t>
  </si>
  <si>
    <t>Samadhiyala</t>
  </si>
  <si>
    <t>Dhari</t>
  </si>
  <si>
    <t>Ingorala(Dungri)</t>
  </si>
  <si>
    <t>Khambha</t>
  </si>
  <si>
    <t>Kunkavav Vadia</t>
  </si>
  <si>
    <t>Devgam</t>
  </si>
  <si>
    <t>Lilia</t>
  </si>
  <si>
    <t>Gundran</t>
  </si>
  <si>
    <t>Rajula</t>
  </si>
  <si>
    <t>Balapar</t>
  </si>
  <si>
    <t>Savar Kundla</t>
  </si>
  <si>
    <t>Pithvadi</t>
  </si>
  <si>
    <t>Jafrabad</t>
  </si>
  <si>
    <t>Babarkot</t>
  </si>
  <si>
    <t>Sokhda</t>
  </si>
  <si>
    <t>total A</t>
  </si>
  <si>
    <t xml:space="preserve">      Name of crop,   No. of exp.  And Order of selection                                                          Season: Kharif  </t>
  </si>
  <si>
    <t>PART- A</t>
  </si>
  <si>
    <t>Total</t>
  </si>
  <si>
    <t>Cotton (I)</t>
  </si>
  <si>
    <t>Groundnut</t>
  </si>
  <si>
    <t>Bajra</t>
  </si>
  <si>
    <t>District: Amreli</t>
  </si>
  <si>
    <t xml:space="preserve">                               GUJARAT                                              STATEMENT NO. 4                                                  state                                                                                      </t>
  </si>
  <si>
    <t xml:space="preserve">                               GUJARAT                                              STATEMENT NO. 4                                          CENTRAL                                                                                           </t>
  </si>
  <si>
    <t>Amarpur</t>
  </si>
  <si>
    <t>Rikadiya</t>
  </si>
  <si>
    <t>Khambhala</t>
  </si>
  <si>
    <t>Khijadiya Kotda</t>
  </si>
  <si>
    <t>Charan Pipali</t>
  </si>
  <si>
    <t>Jethiavadar</t>
  </si>
  <si>
    <t>Babarpur</t>
  </si>
  <si>
    <t/>
  </si>
  <si>
    <t>Khajuri</t>
  </si>
  <si>
    <t>Vadia</t>
  </si>
  <si>
    <t>Lathi</t>
  </si>
  <si>
    <t>Dudhala Lathi</t>
  </si>
  <si>
    <t>Muliyapat</t>
  </si>
  <si>
    <t>Kadiyali</t>
  </si>
  <si>
    <t>Zampodar</t>
  </si>
  <si>
    <t>Dadhiya</t>
  </si>
  <si>
    <t>Khalpar</t>
  </si>
  <si>
    <t>Vijayanagar</t>
  </si>
  <si>
    <t>Rohisa</t>
  </si>
  <si>
    <t>Varahsvarup</t>
  </si>
  <si>
    <t>4A</t>
  </si>
  <si>
    <t>2A</t>
  </si>
  <si>
    <t>8B</t>
  </si>
  <si>
    <t>6B</t>
  </si>
  <si>
    <t>10B</t>
  </si>
  <si>
    <t>1B</t>
  </si>
  <si>
    <t>3B</t>
  </si>
  <si>
    <t>9B</t>
  </si>
  <si>
    <t>8A</t>
  </si>
  <si>
    <t>5B</t>
  </si>
  <si>
    <t>2B</t>
  </si>
  <si>
    <t>6A</t>
  </si>
  <si>
    <t>10A</t>
  </si>
  <si>
    <t>4B</t>
  </si>
  <si>
    <t>7B</t>
  </si>
  <si>
    <t>1A</t>
  </si>
  <si>
    <t>5A</t>
  </si>
  <si>
    <t>Year-2026-27</t>
  </si>
  <si>
    <t>Dungar</t>
  </si>
  <si>
    <t>Vijapdi</t>
  </si>
  <si>
    <t>Vanda</t>
  </si>
  <si>
    <t>Jaliya</t>
  </si>
  <si>
    <t>Chalala</t>
  </si>
  <si>
    <t>Kunkavav Moti</t>
  </si>
  <si>
    <t>Cotton (UI)</t>
  </si>
  <si>
    <t>TOTAL A+B</t>
  </si>
  <si>
    <t>TOTAL- B</t>
  </si>
  <si>
    <t>Part - B</t>
  </si>
  <si>
    <t>Part B</t>
  </si>
  <si>
    <t>Total A</t>
  </si>
  <si>
    <t>NOTE: NO CCE PLANNIG OF BAJRA DONE IN GIR SOMNATH SO TRANSFERRED TO AMRELI AND NO PLANNING OF SEASAMUM DONE IN AMRELI SO TRANSFERE TO BOTAD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</si>
</sst>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6" tint="-0.249977111117893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0" fillId="3" borderId="0" xfId="0" applyFill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1" xfId="0" applyFill="1" applyBorder="1"/>
    <xf numFmtId="0" fontId="0" fillId="7" borderId="11" xfId="0" applyFill="1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2" xfId="1" applyFont="1" applyBorder="1"/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2">
    <cellStyle name="Normal" xfId="0" builtinId="0"/>
    <cellStyle name="Normal 2" xfId="1" xr:uid="{FF2D07CB-06B7-4CF9-A211-BCB3F886C9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abSelected="1" zoomScale="55" zoomScaleNormal="55" workbookViewId="0">
      <selection activeCell="D7" sqref="D7"/>
    </sheetView>
  </sheetViews>
  <sheetFormatPr defaultRowHeight="14.4" x14ac:dyDescent="0.3"/>
  <cols>
    <col min="3" max="3" width="14.33203125" customWidth="1"/>
  </cols>
  <sheetData>
    <row r="1" spans="1:12" ht="28.5" customHeight="1" x14ac:dyDescent="0.3">
      <c r="A1" s="44" t="s">
        <v>36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2" ht="28.5" customHeight="1" x14ac:dyDescent="0.3">
      <c r="A2" s="47" t="s">
        <v>28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9"/>
    </row>
    <row r="3" spans="1:12" ht="28.5" customHeight="1" x14ac:dyDescent="0.3">
      <c r="A3" s="29" t="s">
        <v>29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ht="28.5" customHeight="1" x14ac:dyDescent="0.3">
      <c r="A4" s="50" t="s">
        <v>34</v>
      </c>
      <c r="B4" s="51"/>
      <c r="C4" s="13" t="s">
        <v>74</v>
      </c>
      <c r="D4" s="29">
        <v>20</v>
      </c>
      <c r="E4" s="29"/>
      <c r="F4" s="29">
        <v>4</v>
      </c>
      <c r="G4" s="29"/>
      <c r="H4" s="29">
        <v>20</v>
      </c>
      <c r="I4" s="29"/>
      <c r="J4" s="29">
        <v>20</v>
      </c>
      <c r="K4" s="29"/>
      <c r="L4" s="3" t="s">
        <v>30</v>
      </c>
    </row>
    <row r="5" spans="1:12" ht="28.5" customHeight="1" x14ac:dyDescent="0.3">
      <c r="A5" s="52"/>
      <c r="B5" s="53"/>
      <c r="C5" s="14"/>
      <c r="D5" s="54" t="s">
        <v>32</v>
      </c>
      <c r="E5" s="54"/>
      <c r="F5" s="54" t="s">
        <v>33</v>
      </c>
      <c r="G5" s="54"/>
      <c r="H5" s="54" t="s">
        <v>31</v>
      </c>
      <c r="I5" s="54"/>
      <c r="J5" s="54" t="s">
        <v>81</v>
      </c>
      <c r="K5" s="54"/>
      <c r="L5" s="3">
        <f t="shared" ref="L5" si="0">B4+D4+F4+H4+J4</f>
        <v>64</v>
      </c>
    </row>
    <row r="6" spans="1:12" ht="31.2" x14ac:dyDescent="0.3">
      <c r="A6" s="4" t="s">
        <v>1</v>
      </c>
      <c r="B6" s="4" t="s">
        <v>2</v>
      </c>
      <c r="C6" s="4" t="s">
        <v>3</v>
      </c>
      <c r="D6" s="1" t="s">
        <v>0</v>
      </c>
      <c r="E6" s="1" t="s">
        <v>4</v>
      </c>
      <c r="F6" s="1" t="s">
        <v>0</v>
      </c>
      <c r="G6" s="1" t="s">
        <v>4</v>
      </c>
      <c r="H6" s="1" t="s">
        <v>0</v>
      </c>
      <c r="I6" s="1" t="s">
        <v>4</v>
      </c>
      <c r="J6" s="1" t="s">
        <v>0</v>
      </c>
      <c r="K6" s="1" t="s">
        <v>4</v>
      </c>
      <c r="L6" s="1"/>
    </row>
    <row r="7" spans="1:12" ht="18" x14ac:dyDescent="0.3">
      <c r="A7" s="6" t="s">
        <v>5</v>
      </c>
      <c r="B7" s="6" t="s">
        <v>5</v>
      </c>
      <c r="C7" s="6" t="s">
        <v>37</v>
      </c>
      <c r="D7" s="7">
        <v>2</v>
      </c>
      <c r="E7" s="8">
        <v>10</v>
      </c>
      <c r="F7" s="7"/>
      <c r="G7" s="7"/>
      <c r="H7" s="7">
        <v>2</v>
      </c>
      <c r="I7" s="3" t="s">
        <v>57</v>
      </c>
      <c r="J7" s="7"/>
      <c r="K7" s="9"/>
      <c r="L7" s="9">
        <f>+D7+F7+H7+J7</f>
        <v>4</v>
      </c>
    </row>
    <row r="8" spans="1:12" ht="18" x14ac:dyDescent="0.3">
      <c r="A8" s="6" t="s">
        <v>5</v>
      </c>
      <c r="B8" s="6" t="s">
        <v>5</v>
      </c>
      <c r="C8" s="6" t="s">
        <v>38</v>
      </c>
      <c r="D8" s="7">
        <v>2</v>
      </c>
      <c r="E8" s="8">
        <v>3</v>
      </c>
      <c r="F8" s="7"/>
      <c r="G8" s="7"/>
      <c r="H8" s="7">
        <v>2</v>
      </c>
      <c r="I8" s="3" t="s">
        <v>60</v>
      </c>
      <c r="J8" s="7"/>
      <c r="K8" s="9"/>
      <c r="L8" s="9">
        <f t="shared" ref="L8:L23" si="1">+D8+F8+H8+J8</f>
        <v>4</v>
      </c>
    </row>
    <row r="9" spans="1:12" ht="18" x14ac:dyDescent="0.3">
      <c r="A9" s="6" t="s">
        <v>8</v>
      </c>
      <c r="B9" s="6" t="s">
        <v>8</v>
      </c>
      <c r="C9" s="6" t="s">
        <v>39</v>
      </c>
      <c r="D9" s="7">
        <v>2</v>
      </c>
      <c r="E9" s="8">
        <v>4</v>
      </c>
      <c r="F9" s="7"/>
      <c r="G9" s="7"/>
      <c r="H9" s="7">
        <v>2</v>
      </c>
      <c r="I9" s="3" t="s">
        <v>61</v>
      </c>
      <c r="J9" s="7">
        <v>2</v>
      </c>
      <c r="K9" s="8" t="s">
        <v>62</v>
      </c>
      <c r="L9" s="9">
        <f t="shared" si="1"/>
        <v>6</v>
      </c>
    </row>
    <row r="10" spans="1:12" ht="18" x14ac:dyDescent="0.3">
      <c r="A10" s="6" t="s">
        <v>8</v>
      </c>
      <c r="B10" s="6" t="s">
        <v>8</v>
      </c>
      <c r="C10" s="6" t="s">
        <v>40</v>
      </c>
      <c r="D10" s="7">
        <v>2</v>
      </c>
      <c r="E10" s="8">
        <v>6</v>
      </c>
      <c r="F10" s="7"/>
      <c r="G10" s="7"/>
      <c r="H10" s="7"/>
      <c r="I10" s="3"/>
      <c r="J10" s="7">
        <v>2</v>
      </c>
      <c r="K10" s="8" t="s">
        <v>58</v>
      </c>
      <c r="L10" s="9">
        <f t="shared" si="1"/>
        <v>4</v>
      </c>
    </row>
    <row r="11" spans="1:12" ht="18" x14ac:dyDescent="0.3">
      <c r="A11" s="6" t="s">
        <v>11</v>
      </c>
      <c r="B11" s="6" t="s">
        <v>11</v>
      </c>
      <c r="C11" s="6" t="s">
        <v>41</v>
      </c>
      <c r="D11" s="7">
        <v>2</v>
      </c>
      <c r="E11" s="8">
        <v>5</v>
      </c>
      <c r="F11" s="7"/>
      <c r="G11" s="7"/>
      <c r="H11" s="7">
        <v>2</v>
      </c>
      <c r="I11" s="3" t="s">
        <v>62</v>
      </c>
      <c r="J11" s="7">
        <v>2</v>
      </c>
      <c r="K11" s="8" t="s">
        <v>63</v>
      </c>
      <c r="L11" s="9">
        <f t="shared" si="1"/>
        <v>6</v>
      </c>
    </row>
    <row r="12" spans="1:12" ht="18" x14ac:dyDescent="0.3">
      <c r="A12" s="6" t="s">
        <v>11</v>
      </c>
      <c r="B12" s="6" t="s">
        <v>11</v>
      </c>
      <c r="C12" s="6" t="s">
        <v>42</v>
      </c>
      <c r="D12" s="7"/>
      <c r="E12" s="8"/>
      <c r="F12" s="7"/>
      <c r="G12" s="7"/>
      <c r="H12" s="7">
        <v>2</v>
      </c>
      <c r="I12" s="3" t="s">
        <v>63</v>
      </c>
      <c r="J12" s="7">
        <v>2</v>
      </c>
      <c r="K12" s="8" t="s">
        <v>70</v>
      </c>
      <c r="L12" s="9">
        <f t="shared" si="1"/>
        <v>4</v>
      </c>
    </row>
    <row r="13" spans="1:12" ht="18" x14ac:dyDescent="0.3">
      <c r="A13" s="6" t="s">
        <v>15</v>
      </c>
      <c r="B13" s="6" t="s">
        <v>15</v>
      </c>
      <c r="C13" s="6" t="s">
        <v>43</v>
      </c>
      <c r="D13" s="7"/>
      <c r="E13" s="8"/>
      <c r="F13" s="7"/>
      <c r="G13" s="7"/>
      <c r="H13" s="7">
        <v>2</v>
      </c>
      <c r="I13" s="3" t="s">
        <v>64</v>
      </c>
      <c r="J13" s="7"/>
      <c r="K13" s="8" t="s">
        <v>44</v>
      </c>
      <c r="L13" s="9">
        <f t="shared" si="1"/>
        <v>2</v>
      </c>
    </row>
    <row r="14" spans="1:12" ht="18" x14ac:dyDescent="0.3">
      <c r="A14" s="6" t="s">
        <v>16</v>
      </c>
      <c r="B14" s="6" t="s">
        <v>46</v>
      </c>
      <c r="C14" s="6" t="s">
        <v>45</v>
      </c>
      <c r="D14" s="7"/>
      <c r="E14" s="8"/>
      <c r="F14" s="7"/>
      <c r="G14" s="7"/>
      <c r="H14" s="7">
        <v>2</v>
      </c>
      <c r="I14" s="3" t="s">
        <v>65</v>
      </c>
      <c r="J14" s="7">
        <v>2</v>
      </c>
      <c r="K14" s="8" t="s">
        <v>66</v>
      </c>
      <c r="L14" s="9">
        <f t="shared" si="1"/>
        <v>4</v>
      </c>
    </row>
    <row r="15" spans="1:12" ht="18" x14ac:dyDescent="0.3">
      <c r="A15" s="6" t="s">
        <v>16</v>
      </c>
      <c r="B15" s="6" t="s">
        <v>46</v>
      </c>
      <c r="C15" s="6" t="s">
        <v>46</v>
      </c>
      <c r="D15" s="7">
        <v>2</v>
      </c>
      <c r="E15" s="8">
        <v>2</v>
      </c>
      <c r="F15" s="7"/>
      <c r="G15" s="7"/>
      <c r="H15" s="7"/>
      <c r="I15" s="3"/>
      <c r="J15" s="7">
        <v>2</v>
      </c>
      <c r="K15" s="8" t="s">
        <v>68</v>
      </c>
      <c r="L15" s="9">
        <f t="shared" si="1"/>
        <v>4</v>
      </c>
    </row>
    <row r="16" spans="1:12" ht="18" x14ac:dyDescent="0.3">
      <c r="A16" s="6" t="s">
        <v>47</v>
      </c>
      <c r="B16" s="6" t="s">
        <v>47</v>
      </c>
      <c r="C16" s="6" t="s">
        <v>48</v>
      </c>
      <c r="D16" s="7">
        <v>2</v>
      </c>
      <c r="E16" s="8">
        <v>9</v>
      </c>
      <c r="F16" s="7"/>
      <c r="G16" s="7"/>
      <c r="H16" s="7">
        <v>2</v>
      </c>
      <c r="I16" s="3" t="s">
        <v>66</v>
      </c>
      <c r="J16" s="7">
        <v>2</v>
      </c>
      <c r="K16" s="8" t="s">
        <v>71</v>
      </c>
      <c r="L16" s="9">
        <f t="shared" si="1"/>
        <v>6</v>
      </c>
    </row>
    <row r="17" spans="1:12" ht="18" x14ac:dyDescent="0.3">
      <c r="A17" s="6" t="s">
        <v>47</v>
      </c>
      <c r="B17" s="6" t="s">
        <v>47</v>
      </c>
      <c r="C17" s="6" t="s">
        <v>49</v>
      </c>
      <c r="D17" s="7">
        <v>2</v>
      </c>
      <c r="E17" s="8">
        <v>8</v>
      </c>
      <c r="F17" s="7"/>
      <c r="G17" s="7"/>
      <c r="H17" s="7"/>
      <c r="I17" s="3"/>
      <c r="J17" s="7"/>
      <c r="K17" s="8" t="s">
        <v>44</v>
      </c>
      <c r="L17" s="9">
        <f t="shared" si="1"/>
        <v>2</v>
      </c>
    </row>
    <row r="18" spans="1:12" ht="18" x14ac:dyDescent="0.3">
      <c r="A18" s="6" t="s">
        <v>20</v>
      </c>
      <c r="B18" s="17" t="s">
        <v>75</v>
      </c>
      <c r="C18" s="6" t="s">
        <v>50</v>
      </c>
      <c r="D18" s="7"/>
      <c r="E18" s="8"/>
      <c r="F18" s="7"/>
      <c r="G18" s="7"/>
      <c r="H18" s="7">
        <v>2</v>
      </c>
      <c r="I18" s="3" t="s">
        <v>67</v>
      </c>
      <c r="J18" s="7">
        <v>2</v>
      </c>
      <c r="K18" s="8" t="s">
        <v>59</v>
      </c>
      <c r="L18" s="9">
        <f t="shared" si="1"/>
        <v>4</v>
      </c>
    </row>
    <row r="19" spans="1:12" ht="18" x14ac:dyDescent="0.3">
      <c r="A19" s="6" t="s">
        <v>20</v>
      </c>
      <c r="B19" s="6" t="s">
        <v>20</v>
      </c>
      <c r="C19" s="6" t="s">
        <v>51</v>
      </c>
      <c r="D19" s="7">
        <v>2</v>
      </c>
      <c r="E19" s="8">
        <v>7</v>
      </c>
      <c r="F19" s="7"/>
      <c r="G19" s="7"/>
      <c r="H19" s="7"/>
      <c r="I19" s="3"/>
      <c r="J19" s="7">
        <v>2</v>
      </c>
      <c r="K19" s="8" t="s">
        <v>64</v>
      </c>
      <c r="L19" s="9">
        <f t="shared" si="1"/>
        <v>4</v>
      </c>
    </row>
    <row r="20" spans="1:12" ht="18" x14ac:dyDescent="0.3">
      <c r="A20" s="6" t="s">
        <v>22</v>
      </c>
      <c r="B20" s="18" t="s">
        <v>76</v>
      </c>
      <c r="C20" s="6" t="s">
        <v>52</v>
      </c>
      <c r="D20" s="7">
        <v>2</v>
      </c>
      <c r="E20" s="8">
        <v>1</v>
      </c>
      <c r="F20" s="7"/>
      <c r="G20" s="7"/>
      <c r="H20" s="7"/>
      <c r="I20" s="3"/>
      <c r="J20" s="7"/>
      <c r="K20" s="8" t="s">
        <v>44</v>
      </c>
      <c r="L20" s="9">
        <f t="shared" si="1"/>
        <v>2</v>
      </c>
    </row>
    <row r="21" spans="1:12" ht="18" x14ac:dyDescent="0.3">
      <c r="A21" s="6" t="s">
        <v>22</v>
      </c>
      <c r="B21" s="17" t="s">
        <v>77</v>
      </c>
      <c r="C21" s="6" t="s">
        <v>53</v>
      </c>
      <c r="D21" s="7"/>
      <c r="E21" s="7"/>
      <c r="F21" s="7"/>
      <c r="G21" s="7"/>
      <c r="H21" s="7"/>
      <c r="I21" s="3"/>
      <c r="J21" s="7">
        <v>2</v>
      </c>
      <c r="K21" s="8" t="s">
        <v>69</v>
      </c>
      <c r="L21" s="9">
        <f t="shared" si="1"/>
        <v>2</v>
      </c>
    </row>
    <row r="22" spans="1:12" ht="15.6" x14ac:dyDescent="0.3">
      <c r="A22" s="6" t="s">
        <v>22</v>
      </c>
      <c r="B22" s="6" t="s">
        <v>22</v>
      </c>
      <c r="C22" s="6" t="s">
        <v>54</v>
      </c>
      <c r="D22" s="7"/>
      <c r="E22" s="7"/>
      <c r="F22" s="7"/>
      <c r="G22" s="7"/>
      <c r="H22" s="7">
        <v>2</v>
      </c>
      <c r="I22" s="3" t="s">
        <v>71</v>
      </c>
      <c r="J22" s="7"/>
      <c r="K22" s="9"/>
      <c r="L22" s="9">
        <f t="shared" si="1"/>
        <v>2</v>
      </c>
    </row>
    <row r="23" spans="1:12" x14ac:dyDescent="0.3">
      <c r="A23" s="2"/>
      <c r="B23" s="2"/>
      <c r="C23" s="2" t="s">
        <v>27</v>
      </c>
      <c r="D23" s="2">
        <f>SUM(D7:D22)</f>
        <v>20</v>
      </c>
      <c r="E23" s="2"/>
      <c r="F23" s="2">
        <f>SUM(F7:F22)</f>
        <v>0</v>
      </c>
      <c r="G23" s="2"/>
      <c r="H23" s="2">
        <f>SUM(H7:H22)</f>
        <v>20</v>
      </c>
      <c r="I23" s="2"/>
      <c r="J23" s="2">
        <f>SUM(J7:J22)</f>
        <v>20</v>
      </c>
      <c r="K23" s="2"/>
      <c r="L23" s="9">
        <f t="shared" si="1"/>
        <v>60</v>
      </c>
    </row>
    <row r="24" spans="1:12" ht="21" x14ac:dyDescent="0.4">
      <c r="A24" s="2"/>
      <c r="B24" s="2"/>
      <c r="C24" s="55" t="s">
        <v>84</v>
      </c>
      <c r="D24" s="56"/>
      <c r="E24" s="56"/>
      <c r="F24" s="56"/>
      <c r="G24" s="56"/>
      <c r="H24" s="56"/>
      <c r="I24" s="57"/>
      <c r="J24" s="2"/>
      <c r="K24" s="2"/>
      <c r="L24" s="2"/>
    </row>
    <row r="25" spans="1:12" x14ac:dyDescent="0.3">
      <c r="A25" s="5"/>
      <c r="B25" s="5"/>
      <c r="C25" s="5"/>
      <c r="D25" s="10"/>
      <c r="E25" s="10"/>
      <c r="F25" s="10"/>
      <c r="G25" s="10"/>
      <c r="H25" s="10"/>
      <c r="I25" s="10"/>
      <c r="J25" s="10"/>
      <c r="K25" s="5"/>
      <c r="L25" s="5"/>
    </row>
    <row r="26" spans="1:12" ht="18" x14ac:dyDescent="0.3">
      <c r="A26" s="7" t="s">
        <v>24</v>
      </c>
      <c r="B26" s="22" t="s">
        <v>24</v>
      </c>
      <c r="C26" s="7" t="s">
        <v>55</v>
      </c>
      <c r="D26" s="7"/>
      <c r="E26" s="7"/>
      <c r="F26" s="7">
        <v>2</v>
      </c>
      <c r="G26" s="8">
        <v>2</v>
      </c>
      <c r="H26" s="7"/>
      <c r="I26" s="7"/>
      <c r="J26" s="7"/>
      <c r="K26" s="7"/>
      <c r="L26" s="7">
        <f t="shared" ref="L26:L27" si="2">+D26+F26+H26+J26</f>
        <v>2</v>
      </c>
    </row>
    <row r="27" spans="1:12" ht="18" x14ac:dyDescent="0.3">
      <c r="A27" s="7" t="s">
        <v>24</v>
      </c>
      <c r="B27" s="22" t="s">
        <v>24</v>
      </c>
      <c r="C27" s="7" t="s">
        <v>56</v>
      </c>
      <c r="D27" s="7"/>
      <c r="E27" s="7"/>
      <c r="F27" s="7">
        <v>2</v>
      </c>
      <c r="G27" s="8">
        <v>1</v>
      </c>
      <c r="H27" s="7"/>
      <c r="I27" s="7"/>
      <c r="J27" s="7"/>
      <c r="K27" s="7"/>
      <c r="L27" s="7">
        <f t="shared" si="2"/>
        <v>2</v>
      </c>
    </row>
    <row r="28" spans="1:12" x14ac:dyDescent="0.3">
      <c r="A28" s="40" t="s">
        <v>83</v>
      </c>
      <c r="B28" s="40"/>
      <c r="C28" s="40"/>
      <c r="D28" s="15">
        <f>SUM(D26:D27)</f>
        <v>0</v>
      </c>
      <c r="E28" s="15"/>
      <c r="F28" s="15">
        <f>SUM(F26:F27)</f>
        <v>4</v>
      </c>
      <c r="G28" s="15"/>
      <c r="H28" s="15">
        <f>SUM(H26:H27)</f>
        <v>0</v>
      </c>
      <c r="I28" s="15"/>
      <c r="J28" s="15">
        <f>SUM(J26:J27)</f>
        <v>0</v>
      </c>
      <c r="K28" s="15"/>
      <c r="L28" s="15">
        <f>SUM(L26:L27)</f>
        <v>4</v>
      </c>
    </row>
    <row r="29" spans="1:12" x14ac:dyDescent="0.3">
      <c r="A29" s="2"/>
      <c r="B29" s="2"/>
      <c r="C29" s="2"/>
      <c r="D29" s="15"/>
      <c r="E29" s="15"/>
      <c r="F29" s="15"/>
      <c r="G29" s="15"/>
      <c r="H29" s="15"/>
      <c r="I29" s="15"/>
      <c r="J29" s="15"/>
      <c r="K29" s="15"/>
      <c r="L29" s="15"/>
    </row>
    <row r="30" spans="1:12" x14ac:dyDescent="0.3">
      <c r="A30" s="40" t="s">
        <v>82</v>
      </c>
      <c r="B30" s="40"/>
      <c r="C30" s="40"/>
      <c r="D30" s="15">
        <f>+D23+D28</f>
        <v>20</v>
      </c>
      <c r="E30" s="15"/>
      <c r="F30" s="15">
        <f>+F23+F28</f>
        <v>4</v>
      </c>
      <c r="G30" s="15"/>
      <c r="H30" s="15">
        <f>+H23+H28</f>
        <v>20</v>
      </c>
      <c r="I30" s="15"/>
      <c r="J30" s="15">
        <f>+J23+J28</f>
        <v>20</v>
      </c>
      <c r="K30" s="15"/>
      <c r="L30" s="15">
        <f>+L23+L28</f>
        <v>64</v>
      </c>
    </row>
    <row r="31" spans="1:12" ht="33.75" customHeight="1" x14ac:dyDescent="0.3">
      <c r="A31" s="39" t="s">
        <v>87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</row>
  </sheetData>
  <mergeCells count="16">
    <mergeCell ref="A28:C28"/>
    <mergeCell ref="A30:C30"/>
    <mergeCell ref="A31:L31"/>
    <mergeCell ref="F5:G5"/>
    <mergeCell ref="H5:I5"/>
    <mergeCell ref="J5:K5"/>
    <mergeCell ref="C24:I24"/>
    <mergeCell ref="A1:L1"/>
    <mergeCell ref="A2:L2"/>
    <mergeCell ref="A3:L3"/>
    <mergeCell ref="A4:B5"/>
    <mergeCell ref="D4:E4"/>
    <mergeCell ref="F4:G4"/>
    <mergeCell ref="H4:I4"/>
    <mergeCell ref="J4:K4"/>
    <mergeCell ref="D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zoomScale="70" zoomScaleNormal="70" workbookViewId="0">
      <selection sqref="A1:XFD1048576"/>
    </sheetView>
  </sheetViews>
  <sheetFormatPr defaultRowHeight="14.4" x14ac:dyDescent="0.3"/>
  <cols>
    <col min="3" max="3" width="12.33203125" customWidth="1"/>
    <col min="12" max="12" width="11.109375" customWidth="1"/>
  </cols>
  <sheetData>
    <row r="1" spans="1:12" ht="18" x14ac:dyDescent="0.3">
      <c r="A1" s="26" t="s">
        <v>35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</row>
    <row r="2" spans="1:12" ht="18" x14ac:dyDescent="0.3">
      <c r="A2" s="23" t="s">
        <v>28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5"/>
    </row>
    <row r="3" spans="1:12" ht="15.6" x14ac:dyDescent="0.3">
      <c r="A3" s="33" t="s">
        <v>29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ht="15.6" x14ac:dyDescent="0.3">
      <c r="A4" s="34" t="s">
        <v>34</v>
      </c>
      <c r="B4" s="35"/>
      <c r="C4" s="11" t="s">
        <v>74</v>
      </c>
      <c r="D4" s="29">
        <v>10</v>
      </c>
      <c r="E4" s="29"/>
      <c r="F4" s="29">
        <v>4</v>
      </c>
      <c r="G4" s="29"/>
      <c r="H4" s="29">
        <v>12</v>
      </c>
      <c r="I4" s="29"/>
      <c r="J4" s="29">
        <v>14</v>
      </c>
      <c r="K4" s="29"/>
      <c r="L4" s="3" t="s">
        <v>30</v>
      </c>
    </row>
    <row r="5" spans="1:12" ht="15.6" x14ac:dyDescent="0.3">
      <c r="A5" s="36"/>
      <c r="B5" s="37"/>
      <c r="C5" s="12"/>
      <c r="D5" s="38" t="s">
        <v>32</v>
      </c>
      <c r="E5" s="38"/>
      <c r="F5" s="38" t="s">
        <v>33</v>
      </c>
      <c r="G5" s="38"/>
      <c r="H5" s="38" t="s">
        <v>31</v>
      </c>
      <c r="I5" s="38"/>
      <c r="J5" s="38" t="s">
        <v>81</v>
      </c>
      <c r="K5" s="38"/>
      <c r="L5" s="3">
        <f t="shared" ref="L5" si="0">B4+D4+F4+H4+J4</f>
        <v>40</v>
      </c>
    </row>
    <row r="6" spans="1:12" x14ac:dyDescent="0.3">
      <c r="A6" s="15" t="s">
        <v>1</v>
      </c>
      <c r="B6" s="15" t="s">
        <v>2</v>
      </c>
      <c r="C6" s="15" t="s">
        <v>3</v>
      </c>
      <c r="D6" s="15" t="s">
        <v>0</v>
      </c>
      <c r="E6" s="15" t="s">
        <v>4</v>
      </c>
      <c r="F6" s="15" t="s">
        <v>0</v>
      </c>
      <c r="G6" s="15" t="s">
        <v>4</v>
      </c>
      <c r="H6" s="15" t="s">
        <v>0</v>
      </c>
      <c r="I6" s="15" t="s">
        <v>4</v>
      </c>
      <c r="J6" s="15" t="s">
        <v>0</v>
      </c>
      <c r="K6" s="15" t="s">
        <v>4</v>
      </c>
      <c r="L6" s="15" t="s">
        <v>0</v>
      </c>
    </row>
    <row r="7" spans="1:12" x14ac:dyDescent="0.3">
      <c r="A7" s="15" t="s">
        <v>5</v>
      </c>
      <c r="B7" s="7" t="s">
        <v>5</v>
      </c>
      <c r="C7" s="15" t="s">
        <v>6</v>
      </c>
      <c r="D7" s="15"/>
      <c r="E7" s="15"/>
      <c r="F7" s="15"/>
      <c r="G7" s="15"/>
      <c r="H7" s="15">
        <v>2</v>
      </c>
      <c r="I7" s="21" t="s">
        <v>70</v>
      </c>
      <c r="J7" s="15"/>
      <c r="K7" s="15"/>
      <c r="L7" s="15">
        <f>+D7+F7+H7+J7</f>
        <v>2</v>
      </c>
    </row>
    <row r="8" spans="1:12" x14ac:dyDescent="0.3">
      <c r="A8" s="15" t="s">
        <v>5</v>
      </c>
      <c r="B8" s="18" t="s">
        <v>78</v>
      </c>
      <c r="C8" s="15" t="s">
        <v>7</v>
      </c>
      <c r="D8" s="15">
        <v>2</v>
      </c>
      <c r="E8" s="21">
        <v>4</v>
      </c>
      <c r="F8" s="15"/>
      <c r="G8" s="15"/>
      <c r="H8" s="15"/>
      <c r="I8" s="21"/>
      <c r="J8" s="15"/>
      <c r="K8" s="15"/>
      <c r="L8" s="15">
        <f t="shared" ref="L8:L17" si="1">+D8+F8+H8+J8</f>
        <v>2</v>
      </c>
    </row>
    <row r="9" spans="1:12" x14ac:dyDescent="0.3">
      <c r="A9" s="15" t="s">
        <v>8</v>
      </c>
      <c r="B9" s="7" t="s">
        <v>8</v>
      </c>
      <c r="C9" s="15" t="s">
        <v>9</v>
      </c>
      <c r="D9" s="15"/>
      <c r="E9" s="21"/>
      <c r="F9" s="15"/>
      <c r="G9" s="15"/>
      <c r="H9" s="15">
        <v>2</v>
      </c>
      <c r="I9" s="21" t="s">
        <v>63</v>
      </c>
      <c r="J9" s="15"/>
      <c r="K9" s="15"/>
      <c r="L9" s="15">
        <f t="shared" si="1"/>
        <v>2</v>
      </c>
    </row>
    <row r="10" spans="1:12" x14ac:dyDescent="0.3">
      <c r="A10" s="15" t="s">
        <v>8</v>
      </c>
      <c r="B10" s="7" t="s">
        <v>8</v>
      </c>
      <c r="C10" s="15" t="s">
        <v>10</v>
      </c>
      <c r="D10" s="15"/>
      <c r="E10" s="21"/>
      <c r="F10" s="15"/>
      <c r="G10" s="15"/>
      <c r="H10" s="15">
        <v>2</v>
      </c>
      <c r="I10" s="21" t="s">
        <v>72</v>
      </c>
      <c r="J10" s="15">
        <v>2</v>
      </c>
      <c r="K10" s="21" t="s">
        <v>63</v>
      </c>
      <c r="L10" s="15">
        <f t="shared" si="1"/>
        <v>4</v>
      </c>
    </row>
    <row r="11" spans="1:12" x14ac:dyDescent="0.3">
      <c r="A11" s="15" t="s">
        <v>11</v>
      </c>
      <c r="B11" s="7" t="s">
        <v>11</v>
      </c>
      <c r="C11" s="15" t="s">
        <v>12</v>
      </c>
      <c r="D11" s="15">
        <v>2</v>
      </c>
      <c r="E11" s="21">
        <v>5</v>
      </c>
      <c r="F11" s="15"/>
      <c r="G11" s="15"/>
      <c r="H11" s="15"/>
      <c r="I11" s="21"/>
      <c r="J11" s="15">
        <v>2</v>
      </c>
      <c r="K11" s="21" t="s">
        <v>66</v>
      </c>
      <c r="L11" s="15">
        <f t="shared" si="1"/>
        <v>4</v>
      </c>
    </row>
    <row r="12" spans="1:12" x14ac:dyDescent="0.3">
      <c r="A12" s="15" t="s">
        <v>13</v>
      </c>
      <c r="B12" s="18" t="s">
        <v>79</v>
      </c>
      <c r="C12" s="15" t="s">
        <v>14</v>
      </c>
      <c r="D12" s="15"/>
      <c r="E12" s="21"/>
      <c r="F12" s="15"/>
      <c r="G12" s="15"/>
      <c r="H12" s="15">
        <v>2</v>
      </c>
      <c r="I12" s="21" t="s">
        <v>67</v>
      </c>
      <c r="J12" s="15">
        <v>2</v>
      </c>
      <c r="K12" s="21" t="s">
        <v>58</v>
      </c>
      <c r="L12" s="15">
        <f t="shared" si="1"/>
        <v>4</v>
      </c>
    </row>
    <row r="13" spans="1:12" x14ac:dyDescent="0.3">
      <c r="A13" s="15" t="s">
        <v>15</v>
      </c>
      <c r="B13" s="7" t="s">
        <v>15</v>
      </c>
      <c r="C13" s="15" t="s">
        <v>7</v>
      </c>
      <c r="D13" s="15">
        <v>2</v>
      </c>
      <c r="E13" s="21">
        <v>2</v>
      </c>
      <c r="F13" s="15"/>
      <c r="G13" s="15"/>
      <c r="H13" s="15"/>
      <c r="I13" s="21"/>
      <c r="J13" s="15">
        <v>2</v>
      </c>
      <c r="K13" s="21" t="s">
        <v>62</v>
      </c>
      <c r="L13" s="15">
        <f t="shared" si="1"/>
        <v>4</v>
      </c>
    </row>
    <row r="14" spans="1:12" x14ac:dyDescent="0.3">
      <c r="A14" s="15" t="s">
        <v>16</v>
      </c>
      <c r="B14" s="17" t="s">
        <v>80</v>
      </c>
      <c r="C14" s="15" t="s">
        <v>17</v>
      </c>
      <c r="D14" s="15">
        <v>2</v>
      </c>
      <c r="E14" s="21">
        <v>1</v>
      </c>
      <c r="F14" s="15"/>
      <c r="G14" s="15"/>
      <c r="H14" s="15"/>
      <c r="I14" s="21"/>
      <c r="J14" s="15">
        <v>2</v>
      </c>
      <c r="K14" s="21" t="s">
        <v>71</v>
      </c>
      <c r="L14" s="15">
        <f t="shared" si="1"/>
        <v>4</v>
      </c>
    </row>
    <row r="15" spans="1:12" x14ac:dyDescent="0.3">
      <c r="A15" s="15" t="s">
        <v>18</v>
      </c>
      <c r="B15" s="7" t="s">
        <v>18</v>
      </c>
      <c r="C15" s="15" t="s">
        <v>19</v>
      </c>
      <c r="D15" s="15"/>
      <c r="E15" s="21"/>
      <c r="F15" s="15"/>
      <c r="G15" s="15"/>
      <c r="H15" s="15">
        <v>2</v>
      </c>
      <c r="I15" s="21" t="s">
        <v>73</v>
      </c>
      <c r="J15" s="15">
        <v>2</v>
      </c>
      <c r="K15" s="21" t="s">
        <v>70</v>
      </c>
      <c r="L15" s="15">
        <f t="shared" si="1"/>
        <v>4</v>
      </c>
    </row>
    <row r="16" spans="1:12" x14ac:dyDescent="0.3">
      <c r="A16" s="15" t="s">
        <v>20</v>
      </c>
      <c r="B16" s="18" t="s">
        <v>75</v>
      </c>
      <c r="C16" s="15" t="s">
        <v>21</v>
      </c>
      <c r="D16" s="15">
        <v>2</v>
      </c>
      <c r="E16" s="21">
        <v>3</v>
      </c>
      <c r="F16" s="15"/>
      <c r="G16" s="15"/>
      <c r="H16" s="15"/>
      <c r="I16" s="21"/>
      <c r="J16" s="15">
        <v>2</v>
      </c>
      <c r="K16" s="21" t="s">
        <v>68</v>
      </c>
      <c r="L16" s="15">
        <f t="shared" si="1"/>
        <v>4</v>
      </c>
    </row>
    <row r="17" spans="1:12" x14ac:dyDescent="0.3">
      <c r="A17" s="15" t="s">
        <v>22</v>
      </c>
      <c r="B17" s="7" t="s">
        <v>22</v>
      </c>
      <c r="C17" s="15" t="s">
        <v>23</v>
      </c>
      <c r="D17" s="15"/>
      <c r="E17" s="15"/>
      <c r="F17" s="15"/>
      <c r="G17" s="15"/>
      <c r="H17" s="15">
        <v>2</v>
      </c>
      <c r="I17" s="21" t="s">
        <v>60</v>
      </c>
      <c r="J17" s="15"/>
      <c r="K17" s="15"/>
      <c r="L17" s="15">
        <f t="shared" si="1"/>
        <v>2</v>
      </c>
    </row>
    <row r="18" spans="1:12" x14ac:dyDescent="0.3">
      <c r="A18" s="41" t="s">
        <v>86</v>
      </c>
      <c r="B18" s="42"/>
      <c r="C18" s="43"/>
      <c r="D18" s="20">
        <f>SUM(D7:D17)</f>
        <v>10</v>
      </c>
      <c r="E18" s="20"/>
      <c r="F18" s="20">
        <f>SUM(F7:F17)</f>
        <v>0</v>
      </c>
      <c r="G18" s="20"/>
      <c r="H18" s="20">
        <f>SUM(H7:H17)</f>
        <v>12</v>
      </c>
      <c r="I18" s="20"/>
      <c r="J18" s="20">
        <f>SUM(J7:J17)</f>
        <v>14</v>
      </c>
      <c r="K18" s="20"/>
      <c r="L18" s="20">
        <f>SUM(L7:L17)</f>
        <v>36</v>
      </c>
    </row>
    <row r="19" spans="1:12" ht="21" x14ac:dyDescent="0.3">
      <c r="A19" s="15"/>
      <c r="B19" s="15"/>
      <c r="C19" s="30" t="s">
        <v>85</v>
      </c>
      <c r="D19" s="31"/>
      <c r="E19" s="31"/>
      <c r="F19" s="31"/>
      <c r="G19" s="31"/>
      <c r="H19" s="31"/>
      <c r="I19" s="32"/>
      <c r="J19" s="15"/>
      <c r="K19" s="15"/>
      <c r="L19" s="15"/>
    </row>
    <row r="20" spans="1:12" x14ac:dyDescent="0.3">
      <c r="A20" s="15" t="s">
        <v>24</v>
      </c>
      <c r="B20" s="15" t="s">
        <v>24</v>
      </c>
      <c r="C20" s="15" t="s">
        <v>25</v>
      </c>
      <c r="D20" s="15"/>
      <c r="E20" s="15"/>
      <c r="F20" s="15">
        <v>2</v>
      </c>
      <c r="G20" s="21">
        <v>1</v>
      </c>
      <c r="H20" s="15"/>
      <c r="I20" s="15"/>
      <c r="J20" s="15"/>
      <c r="K20" s="15"/>
      <c r="L20" s="15">
        <v>2</v>
      </c>
    </row>
    <row r="21" spans="1:12" x14ac:dyDescent="0.3">
      <c r="A21" s="15" t="s">
        <v>24</v>
      </c>
      <c r="B21" s="15" t="s">
        <v>24</v>
      </c>
      <c r="C21" s="15" t="s">
        <v>26</v>
      </c>
      <c r="D21" s="15"/>
      <c r="E21" s="15"/>
      <c r="F21" s="15">
        <v>2</v>
      </c>
      <c r="G21" s="21">
        <v>2</v>
      </c>
      <c r="H21" s="15"/>
      <c r="I21" s="15"/>
      <c r="J21" s="15"/>
      <c r="K21" s="15"/>
      <c r="L21" s="15">
        <v>2</v>
      </c>
    </row>
    <row r="22" spans="1:12" x14ac:dyDescent="0.3">
      <c r="A22" s="40" t="s">
        <v>83</v>
      </c>
      <c r="B22" s="40"/>
      <c r="C22" s="40"/>
      <c r="D22" s="16">
        <f>SUM(D20:D21)</f>
        <v>0</v>
      </c>
      <c r="E22" s="16"/>
      <c r="F22" s="16">
        <f>SUM(F20:F21)</f>
        <v>4</v>
      </c>
      <c r="G22" s="16"/>
      <c r="H22" s="16">
        <f>SUM(H20:H21)</f>
        <v>0</v>
      </c>
      <c r="I22" s="16"/>
      <c r="J22" s="16">
        <f>SUM(J20:J21)</f>
        <v>0</v>
      </c>
      <c r="K22" s="16"/>
      <c r="L22" s="16">
        <f>SUM(L20:L21)</f>
        <v>4</v>
      </c>
    </row>
    <row r="23" spans="1:12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x14ac:dyDescent="0.3">
      <c r="A24" s="40" t="s">
        <v>82</v>
      </c>
      <c r="B24" s="40"/>
      <c r="C24" s="40"/>
      <c r="D24" s="19">
        <f>+D18+D22</f>
        <v>10</v>
      </c>
      <c r="E24" s="19"/>
      <c r="F24" s="19">
        <f>+F18+F22</f>
        <v>4</v>
      </c>
      <c r="G24" s="19"/>
      <c r="H24" s="19">
        <f>+H18+H22</f>
        <v>12</v>
      </c>
      <c r="I24" s="19"/>
      <c r="J24" s="19">
        <f>+J18+J22</f>
        <v>14</v>
      </c>
      <c r="K24" s="19"/>
      <c r="L24" s="19">
        <f>+L18+L22</f>
        <v>40</v>
      </c>
    </row>
    <row r="25" spans="1:12" x14ac:dyDescent="0.3">
      <c r="A25" s="39" t="s">
        <v>87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</sheetData>
  <mergeCells count="17">
    <mergeCell ref="A25:L25"/>
    <mergeCell ref="A22:C22"/>
    <mergeCell ref="A24:C24"/>
    <mergeCell ref="A18:C18"/>
    <mergeCell ref="J5:K5"/>
    <mergeCell ref="A2:L2"/>
    <mergeCell ref="A1:L1"/>
    <mergeCell ref="J4:K4"/>
    <mergeCell ref="C19:I19"/>
    <mergeCell ref="A3:L3"/>
    <mergeCell ref="A4:B5"/>
    <mergeCell ref="D4:E4"/>
    <mergeCell ref="F4:G4"/>
    <mergeCell ref="D5:E5"/>
    <mergeCell ref="F5:G5"/>
    <mergeCell ref="H4:I4"/>
    <mergeCell ref="H5:I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2026-09-22T07:31:48Z</dcterms:modified>
</cp:coreProperties>
</file>
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948F5A6A-550E-47A8-BB6C-2EF042DF7E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H25" i="2"/>
  <c r="J25" i="2"/>
  <c r="D25" i="2"/>
  <c r="L24" i="2"/>
  <c r="L23" i="2"/>
  <c r="L20" i="2"/>
  <c r="L19" i="2"/>
  <c r="L18" i="2"/>
  <c r="L17" i="2"/>
  <c r="L16" i="2"/>
  <c r="L15" i="2"/>
  <c r="L14" i="2"/>
  <c r="L5" i="2"/>
  <c r="F31" i="1"/>
  <c r="H31" i="1"/>
  <c r="J31" i="1"/>
  <c r="D31" i="1"/>
  <c r="L30" i="1"/>
  <c r="L29" i="1"/>
  <c r="L28" i="1"/>
  <c r="L31" i="1" s="1"/>
  <c r="L27" i="1"/>
  <c r="L26" i="1"/>
  <c r="L25" i="1"/>
  <c r="L24" i="1"/>
  <c r="L15" i="1"/>
  <c r="L16" i="1"/>
  <c r="L17" i="1"/>
  <c r="L18" i="1"/>
  <c r="L19" i="1"/>
  <c r="L20" i="1"/>
  <c r="L21" i="1"/>
  <c r="L14" i="1"/>
  <c r="L5" i="1"/>
  <c r="L25" i="2" l="1"/>
  <c r="L22" i="1" l="1"/>
  <c r="L32" i="1" s="1"/>
  <c r="J22" i="1"/>
  <c r="J32" i="1" s="1"/>
  <c r="H22" i="1"/>
  <c r="H32" i="1" s="1"/>
  <c r="F22" i="1"/>
  <c r="F32" i="1" s="1"/>
  <c r="D22" i="1"/>
  <c r="D32" i="1" s="1"/>
  <c r="F21" i="2"/>
  <c r="F26" i="2" s="1"/>
  <c r="H21" i="2"/>
  <c r="H26" i="2" s="1"/>
  <c r="J21" i="2"/>
  <c r="J26" i="2" s="1"/>
  <c r="L21" i="2"/>
  <c r="D21" i="2"/>
  <c r="D26" i="2" l="1"/>
  <c r="L26" i="2"/>
</calcChain>
</file>

<file path=xl/sharedStrings.xml><?xml version="1.0" encoding="utf-8"?>
<sst xmlns="http://schemas.openxmlformats.org/spreadsheetml/2006/main" count="175" uniqueCount="75">
  <si>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</si>
  <si>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</si>
  <si>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</si>
  <si>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</si>
  <si>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</si>
  <si>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Castor</t>
  </si>
  <si>
    <t>Tur</t>
  </si>
  <si>
    <t>Cotton (I)</t>
  </si>
  <si>
    <t>Taluka</t>
  </si>
  <si>
    <t>Circle</t>
  </si>
  <si>
    <t>VILLAGE</t>
  </si>
  <si>
    <t>No. of Exp.</t>
  </si>
  <si>
    <t>OS</t>
  </si>
  <si>
    <t>Bavla</t>
  </si>
  <si>
    <t>Devdholera</t>
  </si>
  <si>
    <t>Dhandhuka</t>
  </si>
  <si>
    <t>Parabdi</t>
  </si>
  <si>
    <t>Mandal</t>
  </si>
  <si>
    <t>Kunpur</t>
  </si>
  <si>
    <t>Odaki</t>
  </si>
  <si>
    <t>Viramgam</t>
  </si>
  <si>
    <t>Dediyasan</t>
  </si>
  <si>
    <t>Jaksi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</si>
  <si>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</si>
  <si>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</si>
  <si>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</si>
  <si>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</si>
  <si>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</si>
  <si>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</si>
  <si>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Dabhoi</t>
  </si>
  <si>
    <t>Kothara</t>
  </si>
  <si>
    <t>Puniyad</t>
  </si>
  <si>
    <t>Karjan</t>
  </si>
  <si>
    <t>Sagdol</t>
  </si>
  <si>
    <t>Padra</t>
  </si>
  <si>
    <t>Gametha</t>
  </si>
  <si>
    <t>Nedra</t>
  </si>
  <si>
    <t>Savli</t>
  </si>
  <si>
    <t>Sherpura</t>
  </si>
  <si>
    <t>Vadodara Rural</t>
  </si>
  <si>
    <t>Maretha</t>
  </si>
  <si>
    <t>Vaghodia</t>
  </si>
  <si>
    <t>Kachhota</t>
  </si>
  <si>
    <t>District:Vadodara</t>
  </si>
  <si>
    <t>Desar</t>
  </si>
  <si>
    <t>Jalalpur</t>
  </si>
  <si>
    <t>Karkhadi</t>
  </si>
  <si>
    <t>Virpur</t>
  </si>
  <si>
    <t>Narpura</t>
  </si>
  <si>
    <t>Sultanpura</t>
  </si>
  <si>
    <t>Rajpura</t>
  </si>
  <si>
    <t>Thikariya</t>
  </si>
  <si>
    <t>Timbi</t>
  </si>
  <si>
    <t>Kahona</t>
  </si>
  <si>
    <t>Kambola</t>
  </si>
  <si>
    <t>Osalam</t>
  </si>
  <si>
    <t>Dhanora</t>
  </si>
  <si>
    <t>Khervadi</t>
  </si>
  <si>
    <t>Ghemalpura</t>
  </si>
  <si>
    <t>Sinor</t>
  </si>
  <si>
    <t>Kanjetha</t>
  </si>
  <si>
    <t>4A</t>
  </si>
  <si>
    <t>1B</t>
  </si>
  <si>
    <t>2B</t>
  </si>
  <si>
    <t>3B</t>
  </si>
  <si>
    <t>5B</t>
  </si>
  <si>
    <t>7B</t>
  </si>
  <si>
    <t>6B</t>
  </si>
  <si>
    <t>Bhilapur</t>
  </si>
  <si>
    <t>Mobha</t>
  </si>
  <si>
    <t>Vadodara-South</t>
  </si>
  <si>
    <t>DESAR</t>
  </si>
  <si>
    <t>Limdinu Muvadu</t>
  </si>
  <si>
    <t>Pandu</t>
  </si>
  <si>
    <t>PADRA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</si>
</sst>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1" xfId="0" applyFill="1" applyBorder="1"/>
    <xf numFmtId="0" fontId="0" fillId="4" borderId="1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2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A30" sqref="A30:B30"/>
    </sheetView>
  </sheetViews>
  <sheetFormatPr defaultRowHeight="15" x14ac:dyDescent="0.25"/>
  <cols>
    <col min="1" max="1" width="14.5703125" bestFit="1" customWidth="1"/>
    <col min="2" max="2" width="15.42578125" bestFit="1" customWidth="1"/>
    <col min="3" max="3" width="16.28515625" bestFit="1" customWidth="1"/>
  </cols>
  <sheetData>
    <row r="1" spans="1:12" ht="28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8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8.5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6" t="s">
        <v>43</v>
      </c>
      <c r="B4" s="17"/>
      <c r="C4" s="20" t="s">
        <v>28</v>
      </c>
      <c r="D4" s="22">
        <v>10</v>
      </c>
      <c r="E4" s="22"/>
      <c r="F4" s="22">
        <v>14</v>
      </c>
      <c r="G4" s="22"/>
      <c r="H4" s="22">
        <v>12</v>
      </c>
      <c r="I4" s="22"/>
      <c r="J4" s="22">
        <v>14</v>
      </c>
      <c r="K4" s="22"/>
      <c r="L4" s="2" t="s">
        <v>3</v>
      </c>
    </row>
    <row r="5" spans="1:12" ht="28.5" customHeight="1" x14ac:dyDescent="0.25">
      <c r="A5" s="18"/>
      <c r="B5" s="19"/>
      <c r="C5" s="21"/>
      <c r="D5" s="26" t="s">
        <v>4</v>
      </c>
      <c r="E5" s="26"/>
      <c r="F5" s="26" t="s">
        <v>5</v>
      </c>
      <c r="G5" s="26"/>
      <c r="H5" s="26" t="s">
        <v>6</v>
      </c>
      <c r="I5" s="26"/>
      <c r="J5" s="26" t="s">
        <v>7</v>
      </c>
      <c r="K5" s="26"/>
      <c r="L5" s="2">
        <f>SUM(D4:K4)</f>
        <v>50</v>
      </c>
    </row>
    <row r="6" spans="1:12" ht="28.5" customHeight="1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4"/>
    </row>
    <row r="7" spans="1:12" ht="28.5" hidden="1" customHeight="1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</row>
    <row r="8" spans="1:12" ht="28.5" hidden="1" customHeight="1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/>
    </row>
    <row r="9" spans="1:12" ht="28.5" hidden="1" customHeight="1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</row>
    <row r="10" spans="1:12" ht="28.5" hidden="1" customHeight="1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/>
    </row>
    <row r="11" spans="1:12" ht="28.5" hidden="1" customHeight="1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</row>
    <row r="12" spans="1:12" ht="28.5" hidden="1" customHeight="1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/>
    </row>
    <row r="13" spans="1:12" ht="28.5" hidden="1" customHeight="1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</row>
    <row r="14" spans="1:12" ht="28.5" customHeight="1" x14ac:dyDescent="0.25">
      <c r="A14" s="6" t="s">
        <v>29</v>
      </c>
      <c r="B14" s="12" t="s">
        <v>68</v>
      </c>
      <c r="C14" s="6" t="s">
        <v>30</v>
      </c>
      <c r="D14" s="6"/>
      <c r="E14" s="6"/>
      <c r="F14" s="6">
        <v>2</v>
      </c>
      <c r="G14" s="5">
        <v>1</v>
      </c>
      <c r="H14" s="6"/>
      <c r="I14" s="6"/>
      <c r="J14" s="6"/>
      <c r="K14" s="6"/>
      <c r="L14" s="4">
        <f>+D14+F14+H14+J14</f>
        <v>2</v>
      </c>
    </row>
    <row r="15" spans="1:12" ht="28.5" customHeight="1" x14ac:dyDescent="0.25">
      <c r="A15" s="6" t="s">
        <v>29</v>
      </c>
      <c r="B15" s="4" t="s">
        <v>29</v>
      </c>
      <c r="C15" s="6" t="s">
        <v>31</v>
      </c>
      <c r="D15" s="6"/>
      <c r="E15" s="6"/>
      <c r="F15" s="6">
        <v>2</v>
      </c>
      <c r="G15" s="5">
        <v>2</v>
      </c>
      <c r="H15" s="6"/>
      <c r="I15" s="6"/>
      <c r="J15" s="6"/>
      <c r="K15" s="6"/>
      <c r="L15" s="4">
        <f t="shared" ref="L15:L21" si="0">+D15+F15+H15+J15</f>
        <v>2</v>
      </c>
    </row>
    <row r="16" spans="1:12" ht="28.5" customHeight="1" x14ac:dyDescent="0.25">
      <c r="A16" s="6" t="s">
        <v>32</v>
      </c>
      <c r="B16" s="4" t="s">
        <v>32</v>
      </c>
      <c r="C16" s="6" t="s">
        <v>33</v>
      </c>
      <c r="D16" s="6"/>
      <c r="E16" s="6"/>
      <c r="F16" s="6">
        <v>2</v>
      </c>
      <c r="G16" s="5">
        <v>3</v>
      </c>
      <c r="H16" s="6">
        <v>2</v>
      </c>
      <c r="I16" s="5">
        <v>1</v>
      </c>
      <c r="J16" s="6"/>
      <c r="K16" s="6"/>
      <c r="L16" s="4">
        <f t="shared" si="0"/>
        <v>4</v>
      </c>
    </row>
    <row r="17" spans="1:12" ht="28.5" customHeight="1" x14ac:dyDescent="0.25">
      <c r="A17" s="6" t="s">
        <v>34</v>
      </c>
      <c r="B17" s="13" t="s">
        <v>69</v>
      </c>
      <c r="C17" s="6" t="s">
        <v>35</v>
      </c>
      <c r="D17" s="6">
        <v>2</v>
      </c>
      <c r="E17" s="5">
        <v>1</v>
      </c>
      <c r="F17" s="6"/>
      <c r="G17" s="5"/>
      <c r="H17" s="6">
        <v>2</v>
      </c>
      <c r="I17" s="5">
        <v>2</v>
      </c>
      <c r="J17" s="6">
        <v>2</v>
      </c>
      <c r="K17" s="5" t="s">
        <v>62</v>
      </c>
      <c r="L17" s="4">
        <f t="shared" si="0"/>
        <v>6</v>
      </c>
    </row>
    <row r="18" spans="1:12" ht="28.5" customHeight="1" x14ac:dyDescent="0.25">
      <c r="A18" s="6" t="s">
        <v>34</v>
      </c>
      <c r="B18" s="13" t="s">
        <v>69</v>
      </c>
      <c r="C18" s="6" t="s">
        <v>36</v>
      </c>
      <c r="D18" s="6"/>
      <c r="E18" s="6"/>
      <c r="F18" s="6"/>
      <c r="G18" s="5"/>
      <c r="H18" s="6">
        <v>2</v>
      </c>
      <c r="I18" s="5">
        <v>3</v>
      </c>
      <c r="J18" s="6">
        <v>2</v>
      </c>
      <c r="K18" s="5" t="s">
        <v>63</v>
      </c>
      <c r="L18" s="4">
        <f t="shared" si="0"/>
        <v>4</v>
      </c>
    </row>
    <row r="19" spans="1:12" ht="28.5" customHeight="1" x14ac:dyDescent="0.25">
      <c r="A19" s="6" t="s">
        <v>37</v>
      </c>
      <c r="B19" s="4" t="s">
        <v>37</v>
      </c>
      <c r="C19" s="6" t="s">
        <v>38</v>
      </c>
      <c r="D19" s="6"/>
      <c r="E19" s="6"/>
      <c r="F19" s="6">
        <v>2</v>
      </c>
      <c r="G19" s="5">
        <v>4</v>
      </c>
      <c r="H19" s="6">
        <v>2</v>
      </c>
      <c r="I19" s="5">
        <v>4</v>
      </c>
      <c r="J19" s="6">
        <v>2</v>
      </c>
      <c r="K19" s="5" t="s">
        <v>64</v>
      </c>
      <c r="L19" s="4">
        <f t="shared" si="0"/>
        <v>6</v>
      </c>
    </row>
    <row r="20" spans="1:12" ht="28.5" customHeight="1" x14ac:dyDescent="0.25">
      <c r="A20" s="6" t="s">
        <v>39</v>
      </c>
      <c r="B20" s="12" t="s">
        <v>70</v>
      </c>
      <c r="C20" s="6" t="s">
        <v>40</v>
      </c>
      <c r="D20" s="6"/>
      <c r="E20" s="6"/>
      <c r="F20" s="6"/>
      <c r="G20" s="5"/>
      <c r="H20" s="6">
        <v>2</v>
      </c>
      <c r="I20" s="5">
        <v>5</v>
      </c>
      <c r="J20" s="6">
        <v>2</v>
      </c>
      <c r="K20" s="5" t="s">
        <v>61</v>
      </c>
      <c r="L20" s="4">
        <f t="shared" si="0"/>
        <v>4</v>
      </c>
    </row>
    <row r="21" spans="1:12" ht="28.5" customHeight="1" x14ac:dyDescent="0.25">
      <c r="A21" s="6" t="s">
        <v>41</v>
      </c>
      <c r="B21" s="4" t="s">
        <v>41</v>
      </c>
      <c r="C21" s="6" t="s">
        <v>42</v>
      </c>
      <c r="D21" s="6"/>
      <c r="E21" s="6"/>
      <c r="F21" s="6">
        <v>2</v>
      </c>
      <c r="G21" s="5">
        <v>5</v>
      </c>
      <c r="H21" s="6">
        <v>2</v>
      </c>
      <c r="I21" s="5">
        <v>6</v>
      </c>
      <c r="J21" s="6">
        <v>2</v>
      </c>
      <c r="K21" s="5" t="s">
        <v>65</v>
      </c>
      <c r="L21" s="4">
        <f t="shared" si="0"/>
        <v>6</v>
      </c>
    </row>
    <row r="22" spans="1:12" ht="28.5" customHeight="1" x14ac:dyDescent="0.25">
      <c r="A22" s="22" t="s">
        <v>23</v>
      </c>
      <c r="B22" s="22"/>
      <c r="C22" s="22"/>
      <c r="D22" s="1">
        <f>SUM(D14:D21)</f>
        <v>2</v>
      </c>
      <c r="E22" s="1"/>
      <c r="F22" s="1">
        <f>SUM(F14:F21)</f>
        <v>10</v>
      </c>
      <c r="G22" s="1"/>
      <c r="H22" s="1">
        <f>SUM(H14:H21)</f>
        <v>12</v>
      </c>
      <c r="I22" s="1"/>
      <c r="J22" s="1">
        <f>SUM(J14:J21)</f>
        <v>10</v>
      </c>
      <c r="K22" s="1"/>
      <c r="L22" s="1">
        <f>SUM(L14:L21)</f>
        <v>34</v>
      </c>
    </row>
    <row r="23" spans="1:12" ht="28.5" customHeight="1" x14ac:dyDescent="0.25">
      <c r="A23" s="15" t="s">
        <v>24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28.5" customHeight="1" x14ac:dyDescent="0.25">
      <c r="A24" s="4" t="s">
        <v>71</v>
      </c>
      <c r="B24" s="27" t="s">
        <v>73</v>
      </c>
      <c r="C24" s="7" t="s">
        <v>72</v>
      </c>
      <c r="D24" s="4">
        <v>2</v>
      </c>
      <c r="E24" s="2">
        <v>5</v>
      </c>
      <c r="F24" s="4"/>
      <c r="G24" s="4"/>
      <c r="H24" s="4"/>
      <c r="I24" s="4"/>
      <c r="J24" s="4"/>
      <c r="K24" s="4"/>
      <c r="L24" s="4">
        <f t="shared" ref="L24:L30" si="1">+D24+F24+H24+J24</f>
        <v>2</v>
      </c>
    </row>
    <row r="25" spans="1:12" ht="28.5" customHeight="1" x14ac:dyDescent="0.25">
      <c r="A25" s="4" t="s">
        <v>74</v>
      </c>
      <c r="B25" s="27" t="s">
        <v>69</v>
      </c>
      <c r="C25" s="7" t="s">
        <v>45</v>
      </c>
      <c r="D25" s="4">
        <v>2</v>
      </c>
      <c r="E25" s="2">
        <v>4</v>
      </c>
      <c r="F25" s="4"/>
      <c r="G25" s="4"/>
      <c r="H25" s="4"/>
      <c r="I25" s="4"/>
      <c r="J25" s="4"/>
      <c r="K25" s="4"/>
      <c r="L25" s="4">
        <f t="shared" si="1"/>
        <v>2</v>
      </c>
    </row>
    <row r="26" spans="1:12" ht="28.5" customHeight="1" x14ac:dyDescent="0.25">
      <c r="A26" s="4" t="s">
        <v>34</v>
      </c>
      <c r="B26" s="27" t="s">
        <v>69</v>
      </c>
      <c r="C26" s="7" t="s">
        <v>46</v>
      </c>
      <c r="D26" s="4"/>
      <c r="E26" s="4"/>
      <c r="F26" s="4"/>
      <c r="G26" s="4"/>
      <c r="H26" s="4"/>
      <c r="I26" s="4"/>
      <c r="J26" s="4">
        <v>2</v>
      </c>
      <c r="K26" s="2" t="s">
        <v>66</v>
      </c>
      <c r="L26" s="4">
        <f t="shared" si="1"/>
        <v>2</v>
      </c>
    </row>
    <row r="27" spans="1:12" ht="28.5" customHeight="1" x14ac:dyDescent="0.25">
      <c r="A27" s="4" t="s">
        <v>34</v>
      </c>
      <c r="B27" s="4" t="s">
        <v>34</v>
      </c>
      <c r="C27" s="7" t="s">
        <v>47</v>
      </c>
      <c r="D27" s="4"/>
      <c r="E27" s="4"/>
      <c r="F27" s="4">
        <v>2</v>
      </c>
      <c r="G27" s="2">
        <v>6</v>
      </c>
      <c r="H27" s="4"/>
      <c r="I27" s="4"/>
      <c r="J27" s="4"/>
      <c r="K27" s="4"/>
      <c r="L27" s="4">
        <f t="shared" si="1"/>
        <v>2</v>
      </c>
    </row>
    <row r="28" spans="1:12" ht="28.5" customHeight="1" x14ac:dyDescent="0.25">
      <c r="A28" s="4" t="s">
        <v>37</v>
      </c>
      <c r="B28" s="27" t="s">
        <v>73</v>
      </c>
      <c r="C28" s="7" t="s">
        <v>48</v>
      </c>
      <c r="D28" s="4">
        <v>2</v>
      </c>
      <c r="E28" s="2">
        <v>2</v>
      </c>
      <c r="F28" s="4"/>
      <c r="G28" s="4"/>
      <c r="H28" s="4"/>
      <c r="I28" s="4"/>
      <c r="J28" s="4"/>
      <c r="K28" s="4"/>
      <c r="L28" s="4">
        <f t="shared" si="1"/>
        <v>2</v>
      </c>
    </row>
    <row r="29" spans="1:12" ht="28.5" customHeight="1" x14ac:dyDescent="0.25">
      <c r="A29" s="4" t="s">
        <v>39</v>
      </c>
      <c r="B29" s="27" t="s">
        <v>70</v>
      </c>
      <c r="C29" s="7" t="s">
        <v>49</v>
      </c>
      <c r="D29" s="4">
        <v>2</v>
      </c>
      <c r="E29" s="2">
        <v>3</v>
      </c>
      <c r="F29" s="4"/>
      <c r="G29" s="4"/>
      <c r="H29" s="4"/>
      <c r="I29" s="4"/>
      <c r="J29" s="4"/>
      <c r="K29" s="4"/>
      <c r="L29" s="4">
        <f t="shared" si="1"/>
        <v>2</v>
      </c>
    </row>
    <row r="30" spans="1:12" ht="28.5" customHeight="1" x14ac:dyDescent="0.25">
      <c r="A30" s="4" t="s">
        <v>41</v>
      </c>
      <c r="B30" s="4" t="s">
        <v>41</v>
      </c>
      <c r="C30" s="7" t="s">
        <v>50</v>
      </c>
      <c r="D30" s="4"/>
      <c r="E30" s="4"/>
      <c r="F30" s="4">
        <v>2</v>
      </c>
      <c r="G30" s="2">
        <v>7</v>
      </c>
      <c r="H30" s="4"/>
      <c r="I30" s="4"/>
      <c r="J30" s="4">
        <v>2</v>
      </c>
      <c r="K30" s="2" t="s">
        <v>67</v>
      </c>
      <c r="L30" s="4">
        <f t="shared" si="1"/>
        <v>4</v>
      </c>
    </row>
    <row r="31" spans="1:12" ht="28.5" customHeight="1" x14ac:dyDescent="0.25">
      <c r="A31" s="23" t="s">
        <v>25</v>
      </c>
      <c r="B31" s="24"/>
      <c r="C31" s="25"/>
      <c r="D31" s="1">
        <f>SUM(D24:D30)</f>
        <v>8</v>
      </c>
      <c r="E31" s="1"/>
      <c r="F31" s="1">
        <f t="shared" ref="F31" si="2">SUM(F24:F30)</f>
        <v>4</v>
      </c>
      <c r="G31" s="1"/>
      <c r="H31" s="1">
        <f t="shared" ref="H31" si="3">SUM(H24:H30)</f>
        <v>0</v>
      </c>
      <c r="I31" s="1"/>
      <c r="J31" s="1">
        <f t="shared" ref="J31" si="4">SUM(J24:J30)</f>
        <v>4</v>
      </c>
      <c r="K31" s="1"/>
      <c r="L31" s="1">
        <f t="shared" ref="L31" si="5">SUM(L24:L30)</f>
        <v>16</v>
      </c>
    </row>
    <row r="32" spans="1:12" ht="28.5" customHeight="1" x14ac:dyDescent="0.25">
      <c r="A32" s="23" t="s">
        <v>26</v>
      </c>
      <c r="B32" s="24"/>
      <c r="C32" s="25"/>
      <c r="D32" s="1">
        <f>+D22+D31</f>
        <v>10</v>
      </c>
      <c r="E32" s="1"/>
      <c r="F32" s="1">
        <f>+F22+F31</f>
        <v>14</v>
      </c>
      <c r="G32" s="1"/>
      <c r="H32" s="1">
        <f>+H22+H31</f>
        <v>12</v>
      </c>
      <c r="I32" s="1"/>
      <c r="J32" s="1">
        <f>+J22+J31</f>
        <v>14</v>
      </c>
      <c r="K32" s="1"/>
      <c r="L32" s="1">
        <f>+L22+L31</f>
        <v>50</v>
      </c>
    </row>
  </sheetData>
  <mergeCells count="17">
    <mergeCell ref="A32:C32"/>
    <mergeCell ref="A22:C22"/>
    <mergeCell ref="A23:L23"/>
    <mergeCell ref="A31:C31"/>
    <mergeCell ref="D5:E5"/>
    <mergeCell ref="F5:G5"/>
    <mergeCell ref="H5:I5"/>
    <mergeCell ref="J5:K5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workbookViewId="0">
      <selection activeCell="D28" sqref="D28"/>
    </sheetView>
  </sheetViews>
  <sheetFormatPr defaultRowHeight="15" x14ac:dyDescent="0.25"/>
  <cols>
    <col min="1" max="2" width="12.28515625" bestFit="1" customWidth="1"/>
    <col min="3" max="3" width="13.7109375" bestFit="1" customWidth="1"/>
  </cols>
  <sheetData>
    <row r="1" spans="1:12" ht="28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8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8.5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6" t="s">
        <v>43</v>
      </c>
      <c r="B4" s="17"/>
      <c r="C4" s="20" t="s">
        <v>28</v>
      </c>
      <c r="D4" s="22">
        <v>4</v>
      </c>
      <c r="E4" s="22"/>
      <c r="F4" s="22">
        <v>8</v>
      </c>
      <c r="G4" s="22"/>
      <c r="H4" s="22">
        <v>8</v>
      </c>
      <c r="I4" s="22"/>
      <c r="J4" s="22">
        <v>8</v>
      </c>
      <c r="K4" s="22"/>
      <c r="L4" s="2" t="s">
        <v>3</v>
      </c>
    </row>
    <row r="5" spans="1:12" ht="28.5" customHeight="1" x14ac:dyDescent="0.25">
      <c r="A5" s="18"/>
      <c r="B5" s="19"/>
      <c r="C5" s="21"/>
      <c r="D5" s="26" t="s">
        <v>4</v>
      </c>
      <c r="E5" s="26"/>
      <c r="F5" s="26" t="s">
        <v>5</v>
      </c>
      <c r="G5" s="26"/>
      <c r="H5" s="26" t="s">
        <v>6</v>
      </c>
      <c r="I5" s="26"/>
      <c r="J5" s="26" t="s">
        <v>7</v>
      </c>
      <c r="K5" s="26"/>
      <c r="L5" s="2">
        <f>SUM(D4:K4)</f>
        <v>28</v>
      </c>
    </row>
    <row r="6" spans="1:12" ht="28.5" customHeight="1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4"/>
    </row>
    <row r="7" spans="1:12" ht="28.5" hidden="1" customHeight="1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</row>
    <row r="8" spans="1:12" ht="28.5" hidden="1" customHeight="1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/>
    </row>
    <row r="9" spans="1:12" ht="28.5" hidden="1" customHeight="1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</row>
    <row r="10" spans="1:12" ht="28.5" hidden="1" customHeight="1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/>
    </row>
    <row r="11" spans="1:12" ht="28.5" hidden="1" customHeight="1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</row>
    <row r="12" spans="1:12" ht="28.5" hidden="1" customHeight="1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/>
    </row>
    <row r="13" spans="1:12" ht="28.5" hidden="1" customHeight="1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</row>
    <row r="14" spans="1:12" ht="28.5" customHeight="1" x14ac:dyDescent="0.3">
      <c r="A14" s="8" t="s">
        <v>29</v>
      </c>
      <c r="B14" s="13" t="s">
        <v>68</v>
      </c>
      <c r="C14" s="8" t="s">
        <v>51</v>
      </c>
      <c r="D14" s="8"/>
      <c r="E14" s="8"/>
      <c r="F14" s="8">
        <v>2</v>
      </c>
      <c r="G14" s="9">
        <v>1</v>
      </c>
      <c r="H14" s="8">
        <v>2</v>
      </c>
      <c r="I14" s="9">
        <v>1</v>
      </c>
      <c r="J14" s="8"/>
      <c r="K14" s="9"/>
      <c r="L14" s="4">
        <f t="shared" ref="L14:L20" si="0">+D14+F14+H14+J14</f>
        <v>4</v>
      </c>
    </row>
    <row r="15" spans="1:12" ht="28.5" customHeight="1" x14ac:dyDescent="0.3">
      <c r="A15" s="8" t="s">
        <v>29</v>
      </c>
      <c r="B15" s="12" t="s">
        <v>29</v>
      </c>
      <c r="C15" s="8" t="s">
        <v>52</v>
      </c>
      <c r="D15" s="10"/>
      <c r="E15" s="8"/>
      <c r="F15" s="8"/>
      <c r="G15" s="9"/>
      <c r="H15" s="8"/>
      <c r="I15" s="9"/>
      <c r="J15" s="8"/>
      <c r="K15" s="9"/>
      <c r="L15" s="4">
        <f t="shared" si="0"/>
        <v>0</v>
      </c>
    </row>
    <row r="16" spans="1:12" ht="28.5" customHeight="1" x14ac:dyDescent="0.3">
      <c r="A16" s="8" t="s">
        <v>32</v>
      </c>
      <c r="B16" s="8" t="s">
        <v>32</v>
      </c>
      <c r="C16" s="8" t="s">
        <v>53</v>
      </c>
      <c r="D16" s="8"/>
      <c r="E16" s="8"/>
      <c r="F16" s="8"/>
      <c r="G16" s="9"/>
      <c r="H16" s="8">
        <v>2</v>
      </c>
      <c r="I16" s="9">
        <v>2</v>
      </c>
      <c r="J16" s="8">
        <v>2</v>
      </c>
      <c r="K16" s="9" t="s">
        <v>62</v>
      </c>
      <c r="L16" s="4">
        <f t="shared" si="0"/>
        <v>4</v>
      </c>
    </row>
    <row r="17" spans="1:12" ht="28.5" customHeight="1" x14ac:dyDescent="0.3">
      <c r="A17" s="8" t="s">
        <v>32</v>
      </c>
      <c r="B17" s="8" t="s">
        <v>32</v>
      </c>
      <c r="C17" s="8" t="s">
        <v>54</v>
      </c>
      <c r="D17" s="8"/>
      <c r="E17" s="8"/>
      <c r="F17" s="8"/>
      <c r="G17" s="9"/>
      <c r="H17" s="8"/>
      <c r="I17" s="9"/>
      <c r="J17" s="8">
        <v>2</v>
      </c>
      <c r="K17" s="9" t="s">
        <v>63</v>
      </c>
      <c r="L17" s="4">
        <f t="shared" si="0"/>
        <v>2</v>
      </c>
    </row>
    <row r="18" spans="1:12" ht="28.5" customHeight="1" x14ac:dyDescent="0.3">
      <c r="A18" s="8" t="s">
        <v>32</v>
      </c>
      <c r="B18" s="8" t="s">
        <v>32</v>
      </c>
      <c r="C18" s="8" t="s">
        <v>55</v>
      </c>
      <c r="D18" s="8"/>
      <c r="E18" s="8"/>
      <c r="F18" s="8">
        <v>2</v>
      </c>
      <c r="G18" s="9">
        <v>2</v>
      </c>
      <c r="H18" s="8">
        <v>2</v>
      </c>
      <c r="I18" s="9">
        <v>3</v>
      </c>
      <c r="J18" s="8"/>
      <c r="K18" s="9"/>
      <c r="L18" s="4">
        <f t="shared" si="0"/>
        <v>4</v>
      </c>
    </row>
    <row r="19" spans="1:12" ht="28.5" customHeight="1" x14ac:dyDescent="0.3">
      <c r="A19" s="8" t="s">
        <v>37</v>
      </c>
      <c r="B19" s="8" t="s">
        <v>37</v>
      </c>
      <c r="C19" s="8" t="s">
        <v>56</v>
      </c>
      <c r="D19" s="8">
        <v>2</v>
      </c>
      <c r="E19" s="11">
        <v>1</v>
      </c>
      <c r="F19" s="8"/>
      <c r="G19" s="9"/>
      <c r="H19" s="8"/>
      <c r="I19" s="9"/>
      <c r="J19" s="8">
        <v>2</v>
      </c>
      <c r="K19" s="9" t="s">
        <v>64</v>
      </c>
      <c r="L19" s="4">
        <f t="shared" si="0"/>
        <v>4</v>
      </c>
    </row>
    <row r="20" spans="1:12" ht="28.5" customHeight="1" x14ac:dyDescent="0.3">
      <c r="A20" s="8" t="s">
        <v>41</v>
      </c>
      <c r="B20" s="8" t="s">
        <v>41</v>
      </c>
      <c r="C20" s="8" t="s">
        <v>57</v>
      </c>
      <c r="D20" s="8">
        <v>2</v>
      </c>
      <c r="E20" s="11">
        <v>2</v>
      </c>
      <c r="F20" s="8">
        <v>2</v>
      </c>
      <c r="G20" s="9">
        <v>3</v>
      </c>
      <c r="H20" s="8">
        <v>2</v>
      </c>
      <c r="I20" s="9">
        <v>4</v>
      </c>
      <c r="J20" s="8"/>
      <c r="K20" s="8"/>
      <c r="L20" s="4">
        <f t="shared" si="0"/>
        <v>6</v>
      </c>
    </row>
    <row r="21" spans="1:12" ht="28.5" customHeight="1" x14ac:dyDescent="0.25">
      <c r="A21" s="22" t="s">
        <v>23</v>
      </c>
      <c r="B21" s="22"/>
      <c r="C21" s="22"/>
      <c r="D21" s="1">
        <f>SUM(D14:D20)</f>
        <v>4</v>
      </c>
      <c r="E21" s="1"/>
      <c r="F21" s="1">
        <f>SUM(F14:F20)</f>
        <v>6</v>
      </c>
      <c r="G21" s="1"/>
      <c r="H21" s="1">
        <f>SUM(H14:H20)</f>
        <v>8</v>
      </c>
      <c r="I21" s="1"/>
      <c r="J21" s="1">
        <f>SUM(J14:J20)</f>
        <v>6</v>
      </c>
      <c r="K21" s="1"/>
      <c r="L21" s="1">
        <f>SUM(L14:L20)</f>
        <v>24</v>
      </c>
    </row>
    <row r="22" spans="1:12" ht="28.5" customHeight="1" x14ac:dyDescent="0.25">
      <c r="A22" s="15" t="s">
        <v>24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28.5" customHeight="1" x14ac:dyDescent="0.25">
      <c r="A23" s="4" t="s">
        <v>44</v>
      </c>
      <c r="B23" s="4" t="s">
        <v>44</v>
      </c>
      <c r="C23" s="4" t="s">
        <v>58</v>
      </c>
      <c r="D23" s="4"/>
      <c r="E23" s="4"/>
      <c r="F23" s="4"/>
      <c r="G23" s="4"/>
      <c r="H23" s="4"/>
      <c r="I23" s="4"/>
      <c r="J23" s="4">
        <v>2</v>
      </c>
      <c r="K23" s="2" t="s">
        <v>61</v>
      </c>
      <c r="L23" s="4">
        <f t="shared" ref="L23:L24" si="1">+D23+F23+H23+J23</f>
        <v>2</v>
      </c>
    </row>
    <row r="24" spans="1:12" ht="28.5" customHeight="1" x14ac:dyDescent="0.25">
      <c r="A24" s="4" t="s">
        <v>59</v>
      </c>
      <c r="B24" s="4" t="s">
        <v>59</v>
      </c>
      <c r="C24" s="4" t="s">
        <v>60</v>
      </c>
      <c r="D24" s="4"/>
      <c r="E24" s="4"/>
      <c r="F24" s="4">
        <v>2</v>
      </c>
      <c r="G24" s="2">
        <v>4</v>
      </c>
      <c r="H24" s="4"/>
      <c r="I24" s="4"/>
      <c r="J24" s="4"/>
      <c r="K24" s="4"/>
      <c r="L24" s="4">
        <f t="shared" si="1"/>
        <v>2</v>
      </c>
    </row>
    <row r="25" spans="1:12" ht="28.5" customHeight="1" x14ac:dyDescent="0.25">
      <c r="A25" s="23" t="s">
        <v>25</v>
      </c>
      <c r="B25" s="24"/>
      <c r="C25" s="25"/>
      <c r="D25" s="1">
        <f>SUM(D23:D24)</f>
        <v>0</v>
      </c>
      <c r="E25" s="1"/>
      <c r="F25" s="1">
        <f t="shared" ref="F25" si="2">SUM(F23:F24)</f>
        <v>2</v>
      </c>
      <c r="G25" s="1"/>
      <c r="H25" s="1">
        <f t="shared" ref="H25" si="3">SUM(H23:H24)</f>
        <v>0</v>
      </c>
      <c r="I25" s="1"/>
      <c r="J25" s="1">
        <f t="shared" ref="J25" si="4">SUM(J23:J24)</f>
        <v>2</v>
      </c>
      <c r="K25" s="1"/>
      <c r="L25" s="1">
        <f t="shared" ref="L25" si="5">SUM(L23:L24)</f>
        <v>4</v>
      </c>
    </row>
    <row r="26" spans="1:12" ht="28.5" customHeight="1" x14ac:dyDescent="0.25">
      <c r="A26" s="23" t="s">
        <v>26</v>
      </c>
      <c r="B26" s="24"/>
      <c r="C26" s="25"/>
      <c r="D26" s="1">
        <f>+D21+D25</f>
        <v>4</v>
      </c>
      <c r="E26" s="1"/>
      <c r="F26" s="1">
        <f>+F21+F25</f>
        <v>8</v>
      </c>
      <c r="G26" s="1"/>
      <c r="H26" s="1">
        <f>+H21+H25</f>
        <v>8</v>
      </c>
      <c r="I26" s="1"/>
      <c r="J26" s="1">
        <f>+J21+J25</f>
        <v>8</v>
      </c>
      <c r="K26" s="1"/>
      <c r="L26" s="1">
        <f>+L21+L25</f>
        <v>28</v>
      </c>
    </row>
  </sheetData>
  <mergeCells count="17">
    <mergeCell ref="A22:L22"/>
    <mergeCell ref="A25:C25"/>
    <mergeCell ref="A26:C26"/>
    <mergeCell ref="D5:E5"/>
    <mergeCell ref="F5:G5"/>
    <mergeCell ref="H5:I5"/>
    <mergeCell ref="J5:K5"/>
    <mergeCell ref="A21:C21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2026-09-21T13:29:10Z</dcterms:modified>
</cp:coreProperties>
</file>
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5230117E-75DB-4E6F-8EEB-AD4C5FA53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13" i="2"/>
  <c r="L12" i="2"/>
  <c r="L11" i="2"/>
  <c r="L10" i="2"/>
  <c r="L9" i="2"/>
  <c r="L8" i="2"/>
  <c r="L7" i="2"/>
  <c r="L19" i="1"/>
  <c r="L8" i="1"/>
  <c r="L9" i="1"/>
  <c r="L10" i="1"/>
  <c r="L11" i="1"/>
  <c r="L12" i="1"/>
  <c r="L13" i="1"/>
  <c r="L14" i="1"/>
  <c r="L15" i="1"/>
  <c r="L16" i="1"/>
  <c r="L7" i="1"/>
  <c r="F20" i="1"/>
  <c r="H20" i="1"/>
  <c r="J20" i="1"/>
  <c r="D20" i="1"/>
  <c r="L20" i="1" s="1"/>
  <c r="L5" i="1"/>
  <c r="L17" i="1" l="1"/>
  <c r="L21" i="1" s="1"/>
  <c r="J17" i="1"/>
  <c r="J21" i="1" s="1"/>
  <c r="H17" i="1"/>
  <c r="H21" i="1" s="1"/>
  <c r="F17" i="1"/>
  <c r="F21" i="1" s="1"/>
  <c r="D17" i="1"/>
  <c r="D21" i="1" s="1"/>
  <c r="F14" i="2"/>
  <c r="F18" i="2" s="1"/>
  <c r="H14" i="2"/>
  <c r="H18" i="2" s="1"/>
  <c r="J14" i="2"/>
  <c r="J18" i="2" s="1"/>
  <c r="L14" i="2"/>
  <c r="D14" i="2"/>
  <c r="D18" i="2" l="1"/>
  <c r="L18" i="2"/>
</calcChain>
</file>

<file path=xl/sharedStrings.xml><?xml version="1.0" encoding="utf-8"?>
<sst xmlns="http://schemas.openxmlformats.org/spreadsheetml/2006/main" count="113" uniqueCount="57">
  <si>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</si>
  <si>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</si>
  <si>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</si>
  <si>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</si>
  <si>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</si>
  <si>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Tur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</si>
  <si>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</si>
  <si>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</si>
  <si>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</si>
  <si>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</si>
  <si>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</si>
  <si>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</si>
  <si>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</si>
  <si>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</si>
  <si>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</si>
  <si>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</si>
  <si>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</si>
  <si>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GROUNDNUT</t>
  </si>
  <si>
    <t>District: JAMNAGAR</t>
  </si>
  <si>
    <t>Cotton (IR)</t>
  </si>
  <si>
    <t>Dhrol</t>
  </si>
  <si>
    <t>Roziya</t>
  </si>
  <si>
    <t>Jamjodhpur</t>
  </si>
  <si>
    <t>Methan</t>
  </si>
  <si>
    <t>Jamnagar Rural</t>
  </si>
  <si>
    <t>Hadmatiya</t>
  </si>
  <si>
    <t>Masitiya</t>
  </si>
  <si>
    <t>Jodiya</t>
  </si>
  <si>
    <t>Badanpar (Jodiya)</t>
  </si>
  <si>
    <t>Kalavad</t>
  </si>
  <si>
    <t>Dhedh Khijadiya</t>
  </si>
  <si>
    <t>Dudhala</t>
  </si>
  <si>
    <t>Laloi</t>
  </si>
  <si>
    <t>Lalpur</t>
  </si>
  <si>
    <t>Arablus</t>
  </si>
  <si>
    <t>Machhu Beraja</t>
  </si>
  <si>
    <t>Chiroda Muluji</t>
  </si>
  <si>
    <t>Nana Vagudad</t>
  </si>
  <si>
    <t>Pipartoda</t>
  </si>
  <si>
    <t>Sagaliya</t>
  </si>
  <si>
    <t>Ambardi Meghpar</t>
  </si>
  <si>
    <t>Jasapar</t>
  </si>
  <si>
    <t>Shekhpat</t>
  </si>
  <si>
    <t>Hansthal</t>
  </si>
  <si>
    <t>Sheth Vadla</t>
  </si>
  <si>
    <t>Alia</t>
  </si>
  <si>
    <t>Nikava</t>
  </si>
  <si>
    <t>Cotton (I)</t>
  </si>
  <si>
    <t>West Region</t>
  </si>
  <si>
    <t>1A</t>
  </si>
  <si>
    <t>5A</t>
  </si>
  <si>
    <t>3B</t>
  </si>
  <si>
    <t>4B</t>
  </si>
  <si>
    <t>6B</t>
  </si>
  <si>
    <t>2B</t>
  </si>
  <si>
    <t>2A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</si>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</sst>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1" xfId="0" applyFill="1" applyBorder="1"/>
    <xf numFmtId="0" fontId="0" fillId="4" borderId="11" xfId="0" applyFill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70" zoomScaleNormal="70" workbookViewId="0">
      <selection activeCell="O19" sqref="O19"/>
    </sheetView>
  </sheetViews>
  <sheetFormatPr defaultRowHeight="14.4" x14ac:dyDescent="0.3"/>
  <cols>
    <col min="1" max="1" width="20.88671875" customWidth="1"/>
    <col min="2" max="2" width="13.33203125" customWidth="1"/>
    <col min="3" max="3" width="18.5546875" customWidth="1"/>
  </cols>
  <sheetData>
    <row r="1" spans="1:12" ht="18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8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5.6" x14ac:dyDescent="0.3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ht="15.6" x14ac:dyDescent="0.3">
      <c r="A4" s="19" t="s">
        <v>18</v>
      </c>
      <c r="B4" s="20"/>
      <c r="C4" s="23" t="s">
        <v>16</v>
      </c>
      <c r="D4" s="15">
        <v>10</v>
      </c>
      <c r="E4" s="15"/>
      <c r="F4" s="15">
        <v>4</v>
      </c>
      <c r="G4" s="15"/>
      <c r="H4" s="15">
        <v>4</v>
      </c>
      <c r="I4" s="15"/>
      <c r="J4" s="15">
        <v>12</v>
      </c>
      <c r="K4" s="15"/>
      <c r="L4" s="1" t="s">
        <v>3</v>
      </c>
    </row>
    <row r="5" spans="1:12" ht="15.6" x14ac:dyDescent="0.3">
      <c r="A5" s="21"/>
      <c r="B5" s="22"/>
      <c r="C5" s="24"/>
      <c r="D5" s="17" t="s">
        <v>17</v>
      </c>
      <c r="E5" s="17"/>
      <c r="F5" s="17" t="s">
        <v>4</v>
      </c>
      <c r="G5" s="17"/>
      <c r="H5" s="17" t="s">
        <v>5</v>
      </c>
      <c r="I5" s="17"/>
      <c r="J5" s="17" t="s">
        <v>47</v>
      </c>
      <c r="K5" s="17"/>
      <c r="L5" s="1">
        <f>D4+F4+H4+J4</f>
        <v>30</v>
      </c>
    </row>
    <row r="6" spans="1:12" ht="31.2" x14ac:dyDescent="0.3">
      <c r="A6" s="1" t="s">
        <v>6</v>
      </c>
      <c r="B6" s="1" t="s">
        <v>7</v>
      </c>
      <c r="C6" s="1" t="s">
        <v>8</v>
      </c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  <c r="J6" s="2" t="s">
        <v>9</v>
      </c>
      <c r="K6" s="2" t="s">
        <v>10</v>
      </c>
      <c r="L6" s="3"/>
    </row>
    <row r="7" spans="1:12" ht="15.6" x14ac:dyDescent="0.3">
      <c r="A7" s="9" t="s">
        <v>20</v>
      </c>
      <c r="B7" s="9" t="s">
        <v>20</v>
      </c>
      <c r="C7" s="9" t="s">
        <v>21</v>
      </c>
      <c r="D7" s="9">
        <v>2</v>
      </c>
      <c r="E7" s="4">
        <v>5</v>
      </c>
      <c r="F7" s="9"/>
      <c r="G7" s="9"/>
      <c r="H7" s="9"/>
      <c r="I7" s="9"/>
      <c r="J7" s="9"/>
      <c r="K7" s="9"/>
      <c r="L7" s="3">
        <f>+D7+F7+H7+J7</f>
        <v>2</v>
      </c>
    </row>
    <row r="8" spans="1:12" ht="15.6" x14ac:dyDescent="0.3">
      <c r="A8" s="9" t="s">
        <v>22</v>
      </c>
      <c r="B8" s="10" t="s">
        <v>44</v>
      </c>
      <c r="C8" s="9" t="s">
        <v>23</v>
      </c>
      <c r="D8" s="9">
        <v>2</v>
      </c>
      <c r="E8" s="4">
        <v>1</v>
      </c>
      <c r="F8" s="9">
        <v>2</v>
      </c>
      <c r="G8" s="4">
        <v>1</v>
      </c>
      <c r="H8" s="9"/>
      <c r="I8" s="9"/>
      <c r="J8" s="9"/>
      <c r="K8" s="9"/>
      <c r="L8" s="3">
        <f t="shared" ref="L8:L16" si="0">+D8+F8+H8+J8</f>
        <v>4</v>
      </c>
    </row>
    <row r="9" spans="1:12" ht="18" x14ac:dyDescent="0.3">
      <c r="A9" s="9" t="s">
        <v>24</v>
      </c>
      <c r="B9" s="11" t="s">
        <v>45</v>
      </c>
      <c r="C9" s="9" t="s">
        <v>25</v>
      </c>
      <c r="D9" s="9"/>
      <c r="E9" s="4"/>
      <c r="F9" s="9"/>
      <c r="G9" s="9"/>
      <c r="H9" s="9"/>
      <c r="I9" s="9"/>
      <c r="J9" s="9">
        <v>2</v>
      </c>
      <c r="K9" s="8" t="s">
        <v>54</v>
      </c>
      <c r="L9" s="3">
        <f t="shared" si="0"/>
        <v>2</v>
      </c>
    </row>
    <row r="10" spans="1:12" ht="18" x14ac:dyDescent="0.3">
      <c r="A10" s="9" t="s">
        <v>24</v>
      </c>
      <c r="B10" s="3" t="s">
        <v>24</v>
      </c>
      <c r="C10" s="9" t="s">
        <v>26</v>
      </c>
      <c r="D10" s="9">
        <v>2</v>
      </c>
      <c r="E10" s="4">
        <v>3</v>
      </c>
      <c r="F10" s="9"/>
      <c r="G10" s="9"/>
      <c r="H10" s="9"/>
      <c r="I10" s="9"/>
      <c r="J10" s="9"/>
      <c r="K10" s="8"/>
      <c r="L10" s="3">
        <f t="shared" si="0"/>
        <v>2</v>
      </c>
    </row>
    <row r="11" spans="1:12" ht="18" x14ac:dyDescent="0.3">
      <c r="A11" s="9" t="s">
        <v>27</v>
      </c>
      <c r="B11" s="3" t="s">
        <v>27</v>
      </c>
      <c r="C11" s="9" t="s">
        <v>28</v>
      </c>
      <c r="D11" s="9">
        <v>2</v>
      </c>
      <c r="E11" s="4">
        <v>4</v>
      </c>
      <c r="F11" s="9"/>
      <c r="G11" s="9"/>
      <c r="H11" s="9"/>
      <c r="I11" s="9"/>
      <c r="J11" s="9">
        <v>2</v>
      </c>
      <c r="K11" s="8" t="s">
        <v>53</v>
      </c>
      <c r="L11" s="3">
        <f t="shared" si="0"/>
        <v>4</v>
      </c>
    </row>
    <row r="12" spans="1:12" ht="18" x14ac:dyDescent="0.3">
      <c r="A12" s="9" t="s">
        <v>29</v>
      </c>
      <c r="B12" s="11" t="s">
        <v>46</v>
      </c>
      <c r="C12" s="9" t="s">
        <v>30</v>
      </c>
      <c r="D12" s="9">
        <v>2</v>
      </c>
      <c r="E12" s="4">
        <v>2</v>
      </c>
      <c r="F12" s="9"/>
      <c r="G12" s="9"/>
      <c r="H12" s="9"/>
      <c r="I12" s="9"/>
      <c r="J12" s="9"/>
      <c r="K12" s="8"/>
      <c r="L12" s="3">
        <f t="shared" si="0"/>
        <v>2</v>
      </c>
    </row>
    <row r="13" spans="1:12" ht="18" x14ac:dyDescent="0.3">
      <c r="A13" s="9" t="s">
        <v>29</v>
      </c>
      <c r="B13" s="9" t="s">
        <v>29</v>
      </c>
      <c r="C13" s="9" t="s">
        <v>31</v>
      </c>
      <c r="D13" s="9"/>
      <c r="E13" s="9"/>
      <c r="F13" s="9"/>
      <c r="G13" s="9"/>
      <c r="H13" s="9">
        <v>2</v>
      </c>
      <c r="I13" s="4">
        <v>1</v>
      </c>
      <c r="J13" s="9">
        <v>2</v>
      </c>
      <c r="K13" s="8" t="s">
        <v>52</v>
      </c>
      <c r="L13" s="3">
        <f t="shared" si="0"/>
        <v>4</v>
      </c>
    </row>
    <row r="14" spans="1:12" ht="18" x14ac:dyDescent="0.3">
      <c r="A14" s="9" t="s">
        <v>29</v>
      </c>
      <c r="B14" s="9" t="s">
        <v>29</v>
      </c>
      <c r="C14" s="9" t="s">
        <v>32</v>
      </c>
      <c r="D14" s="9"/>
      <c r="E14" s="9"/>
      <c r="F14" s="9"/>
      <c r="G14" s="9"/>
      <c r="H14" s="9"/>
      <c r="I14" s="4"/>
      <c r="J14" s="9">
        <v>2</v>
      </c>
      <c r="K14" s="8" t="s">
        <v>51</v>
      </c>
      <c r="L14" s="3">
        <f t="shared" si="0"/>
        <v>2</v>
      </c>
    </row>
    <row r="15" spans="1:12" ht="18" x14ac:dyDescent="0.3">
      <c r="A15" s="9" t="s">
        <v>33</v>
      </c>
      <c r="B15" t="s">
        <v>48</v>
      </c>
      <c r="C15" s="9" t="s">
        <v>34</v>
      </c>
      <c r="D15" s="9"/>
      <c r="E15" s="9"/>
      <c r="F15" s="9"/>
      <c r="G15" s="9"/>
      <c r="H15" s="9">
        <v>2</v>
      </c>
      <c r="I15" s="4">
        <v>2</v>
      </c>
      <c r="J15" s="9">
        <v>2</v>
      </c>
      <c r="K15" s="8" t="s">
        <v>50</v>
      </c>
      <c r="L15" s="3">
        <f t="shared" si="0"/>
        <v>4</v>
      </c>
    </row>
    <row r="16" spans="1:12" ht="18" x14ac:dyDescent="0.3">
      <c r="A16" s="9" t="s">
        <v>33</v>
      </c>
      <c r="B16" t="s">
        <v>48</v>
      </c>
      <c r="C16" s="9" t="s">
        <v>35</v>
      </c>
      <c r="D16" s="9"/>
      <c r="E16" s="9"/>
      <c r="F16" s="9"/>
      <c r="G16" s="9"/>
      <c r="H16" s="9"/>
      <c r="I16" s="9"/>
      <c r="J16" s="9">
        <v>2</v>
      </c>
      <c r="K16" s="8" t="s">
        <v>49</v>
      </c>
      <c r="L16" s="3">
        <f t="shared" si="0"/>
        <v>2</v>
      </c>
    </row>
    <row r="17" spans="1:12" ht="15.6" x14ac:dyDescent="0.3">
      <c r="A17" s="15" t="s">
        <v>11</v>
      </c>
      <c r="B17" s="15"/>
      <c r="C17" s="15"/>
      <c r="D17" s="4">
        <f>SUM(D7:D16)</f>
        <v>10</v>
      </c>
      <c r="E17" s="4"/>
      <c r="F17" s="4">
        <f>SUM(F7:F16)</f>
        <v>2</v>
      </c>
      <c r="G17" s="4"/>
      <c r="H17" s="4">
        <f>SUM(H7:H16)</f>
        <v>4</v>
      </c>
      <c r="I17" s="4"/>
      <c r="J17" s="4">
        <f>SUM(J7:J16)</f>
        <v>12</v>
      </c>
      <c r="K17" s="4"/>
      <c r="L17" s="4">
        <f>SUM(L7:L16)</f>
        <v>28</v>
      </c>
    </row>
    <row r="18" spans="1:12" ht="15.6" x14ac:dyDescent="0.3">
      <c r="A18" s="16" t="s">
        <v>12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2" ht="18" x14ac:dyDescent="0.3">
      <c r="A19" s="9" t="s">
        <v>22</v>
      </c>
      <c r="B19" t="s">
        <v>44</v>
      </c>
      <c r="C19" s="9" t="s">
        <v>36</v>
      </c>
      <c r="D19" s="9"/>
      <c r="E19" s="9"/>
      <c r="F19" s="9">
        <v>2</v>
      </c>
      <c r="G19" s="8">
        <v>2</v>
      </c>
      <c r="H19" s="9"/>
      <c r="I19" s="9"/>
      <c r="J19" s="9"/>
      <c r="K19" s="9"/>
      <c r="L19" s="3">
        <f t="shared" ref="L19:L20" si="1">+D19+F19+H19+J19</f>
        <v>2</v>
      </c>
    </row>
    <row r="20" spans="1:12" ht="15.6" x14ac:dyDescent="0.3">
      <c r="A20" s="12" t="s">
        <v>13</v>
      </c>
      <c r="B20" s="13"/>
      <c r="C20" s="14"/>
      <c r="D20" s="4">
        <f>+D19</f>
        <v>0</v>
      </c>
      <c r="E20" s="4"/>
      <c r="F20" s="4">
        <f t="shared" ref="F20" si="2">+F19</f>
        <v>2</v>
      </c>
      <c r="G20" s="4"/>
      <c r="H20" s="4">
        <f t="shared" ref="H20" si="3">+H19</f>
        <v>0</v>
      </c>
      <c r="I20" s="4"/>
      <c r="J20" s="4">
        <f t="shared" ref="J20" si="4">+J19</f>
        <v>0</v>
      </c>
      <c r="K20" s="4"/>
      <c r="L20" s="3">
        <f t="shared" si="1"/>
        <v>2</v>
      </c>
    </row>
    <row r="21" spans="1:12" ht="15.6" x14ac:dyDescent="0.3">
      <c r="A21" s="12" t="s">
        <v>14</v>
      </c>
      <c r="B21" s="13"/>
      <c r="C21" s="14"/>
      <c r="D21" s="4">
        <f>+D17+D20</f>
        <v>10</v>
      </c>
      <c r="E21" s="4"/>
      <c r="F21" s="4">
        <f>+F17+F20</f>
        <v>4</v>
      </c>
      <c r="G21" s="4"/>
      <c r="H21" s="4">
        <f>+H17+H20</f>
        <v>4</v>
      </c>
      <c r="I21" s="4"/>
      <c r="J21" s="4">
        <f>+J17+J20</f>
        <v>12</v>
      </c>
      <c r="K21" s="4"/>
      <c r="L21" s="4">
        <f>+L17+L20</f>
        <v>30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21:C21"/>
    <mergeCell ref="A17:C17"/>
    <mergeCell ref="A18:L18"/>
    <mergeCell ref="A20:C20"/>
    <mergeCell ref="D5:E5"/>
    <mergeCell ref="F5:G5"/>
    <mergeCell ref="H5:I5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workbookViewId="0">
      <selection activeCell="G9" sqref="G9"/>
    </sheetView>
  </sheetViews>
  <sheetFormatPr defaultRowHeight="14.4" x14ac:dyDescent="0.3"/>
  <cols>
    <col min="1" max="2" width="14.44140625" bestFit="1" customWidth="1"/>
    <col min="3" max="3" width="17" bestFit="1" customWidth="1"/>
  </cols>
  <sheetData>
    <row r="1" spans="1:12" ht="28.5" customHeight="1" x14ac:dyDescent="0.3">
      <c r="A1" s="18" t="s">
        <v>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8.5" customHeight="1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8.5" customHeight="1" x14ac:dyDescent="0.3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ht="28.5" customHeight="1" x14ac:dyDescent="0.3">
      <c r="A4" s="19" t="s">
        <v>18</v>
      </c>
      <c r="B4" s="20"/>
      <c r="C4" s="23" t="s">
        <v>16</v>
      </c>
      <c r="D4" s="15">
        <v>6</v>
      </c>
      <c r="E4" s="15"/>
      <c r="F4" s="15">
        <v>4</v>
      </c>
      <c r="G4" s="15"/>
      <c r="H4" s="15">
        <v>0</v>
      </c>
      <c r="I4" s="15"/>
      <c r="J4" s="15">
        <v>6</v>
      </c>
      <c r="K4" s="15"/>
      <c r="L4" s="1" t="s">
        <v>3</v>
      </c>
    </row>
    <row r="5" spans="1:12" ht="28.5" customHeight="1" x14ac:dyDescent="0.3">
      <c r="A5" s="21"/>
      <c r="B5" s="22"/>
      <c r="C5" s="24"/>
      <c r="D5" s="17" t="s">
        <v>17</v>
      </c>
      <c r="E5" s="17"/>
      <c r="F5" s="17" t="s">
        <v>4</v>
      </c>
      <c r="G5" s="17"/>
      <c r="H5" s="17" t="s">
        <v>5</v>
      </c>
      <c r="I5" s="17"/>
      <c r="J5" s="17" t="s">
        <v>19</v>
      </c>
      <c r="K5" s="17"/>
      <c r="L5" s="1">
        <f>D4+F4+H4+J4</f>
        <v>16</v>
      </c>
    </row>
    <row r="6" spans="1:12" ht="28.5" customHeight="1" x14ac:dyDescent="0.3">
      <c r="A6" s="1" t="s">
        <v>6</v>
      </c>
      <c r="B6" s="1" t="s">
        <v>7</v>
      </c>
      <c r="C6" s="1" t="s">
        <v>8</v>
      </c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  <c r="J6" s="2" t="s">
        <v>9</v>
      </c>
      <c r="K6" s="2" t="s">
        <v>10</v>
      </c>
      <c r="L6" s="3"/>
    </row>
    <row r="7" spans="1:12" ht="28.5" customHeight="1" x14ac:dyDescent="0.3">
      <c r="A7" s="9" t="s">
        <v>20</v>
      </c>
      <c r="B7" s="9" t="s">
        <v>20</v>
      </c>
      <c r="C7" s="9" t="s">
        <v>37</v>
      </c>
      <c r="D7" s="9">
        <v>2</v>
      </c>
      <c r="E7" s="8">
        <v>3</v>
      </c>
      <c r="F7" s="9"/>
      <c r="G7" s="9"/>
      <c r="H7" s="9"/>
      <c r="I7" s="9"/>
      <c r="J7" s="9">
        <v>2</v>
      </c>
      <c r="K7" s="8" t="s">
        <v>51</v>
      </c>
      <c r="L7" s="3">
        <f t="shared" ref="L7:L13" si="0">+D7+F7+H7+J7</f>
        <v>4</v>
      </c>
    </row>
    <row r="8" spans="1:12" ht="28.5" customHeight="1" x14ac:dyDescent="0.3">
      <c r="A8" s="9" t="s">
        <v>20</v>
      </c>
      <c r="B8" s="9" t="s">
        <v>20</v>
      </c>
      <c r="C8" s="9" t="s">
        <v>38</v>
      </c>
      <c r="D8" s="9"/>
      <c r="E8" s="8"/>
      <c r="F8" s="9"/>
      <c r="G8" s="9"/>
      <c r="H8" s="9"/>
      <c r="I8" s="9"/>
      <c r="J8" s="9">
        <v>2</v>
      </c>
      <c r="K8" s="8" t="s">
        <v>56</v>
      </c>
      <c r="L8" s="3">
        <f t="shared" si="0"/>
        <v>2</v>
      </c>
    </row>
    <row r="9" spans="1:12" ht="28.5" customHeight="1" x14ac:dyDescent="0.3">
      <c r="A9" s="9" t="s">
        <v>20</v>
      </c>
      <c r="B9" s="9" t="s">
        <v>20</v>
      </c>
      <c r="C9" s="9" t="s">
        <v>39</v>
      </c>
      <c r="D9" s="9">
        <v>2</v>
      </c>
      <c r="E9" s="8">
        <v>2</v>
      </c>
      <c r="F9" s="9"/>
      <c r="G9" s="9"/>
      <c r="H9" s="9"/>
      <c r="I9" s="9"/>
      <c r="J9" s="9"/>
      <c r="K9" s="8"/>
      <c r="L9" s="3">
        <f t="shared" si="0"/>
        <v>2</v>
      </c>
    </row>
    <row r="10" spans="1:12" ht="28.5" customHeight="1" x14ac:dyDescent="0.3">
      <c r="A10" s="9" t="s">
        <v>22</v>
      </c>
      <c r="B10" s="10" t="s">
        <v>44</v>
      </c>
      <c r="C10" s="9" t="s">
        <v>40</v>
      </c>
      <c r="D10" s="9"/>
      <c r="E10" s="8"/>
      <c r="F10" s="9">
        <v>2</v>
      </c>
      <c r="G10" s="8">
        <v>1</v>
      </c>
      <c r="H10" s="9"/>
      <c r="I10" s="9"/>
      <c r="J10" s="9"/>
      <c r="K10" s="8"/>
      <c r="L10" s="3">
        <f t="shared" si="0"/>
        <v>2</v>
      </c>
    </row>
    <row r="11" spans="1:12" ht="28.5" customHeight="1" x14ac:dyDescent="0.3">
      <c r="A11" s="9" t="s">
        <v>22</v>
      </c>
      <c r="B11" s="10" t="s">
        <v>44</v>
      </c>
      <c r="C11" s="9" t="s">
        <v>41</v>
      </c>
      <c r="D11" s="9"/>
      <c r="E11" s="8"/>
      <c r="F11" s="9">
        <v>2</v>
      </c>
      <c r="G11" s="8">
        <v>2</v>
      </c>
      <c r="H11" s="9"/>
      <c r="I11" s="9"/>
      <c r="J11" s="9"/>
      <c r="K11" s="8"/>
      <c r="L11" s="3">
        <f t="shared" si="0"/>
        <v>2</v>
      </c>
    </row>
    <row r="12" spans="1:12" ht="28.5" customHeight="1" x14ac:dyDescent="0.3">
      <c r="A12" s="9" t="s">
        <v>24</v>
      </c>
      <c r="B12" s="9" t="s">
        <v>24</v>
      </c>
      <c r="C12" s="9" t="s">
        <v>42</v>
      </c>
      <c r="D12" s="9">
        <v>2</v>
      </c>
      <c r="E12" s="8">
        <v>1</v>
      </c>
      <c r="F12" s="9"/>
      <c r="G12" s="9"/>
      <c r="H12" s="9"/>
      <c r="I12" s="9"/>
      <c r="J12" s="9"/>
      <c r="K12" s="8"/>
      <c r="L12" s="3">
        <f t="shared" si="0"/>
        <v>2</v>
      </c>
    </row>
    <row r="13" spans="1:12" ht="28.5" customHeight="1" x14ac:dyDescent="0.3">
      <c r="A13" s="9" t="s">
        <v>29</v>
      </c>
      <c r="B13" s="9" t="s">
        <v>29</v>
      </c>
      <c r="C13" s="9" t="s">
        <v>43</v>
      </c>
      <c r="D13" s="9"/>
      <c r="E13" s="9"/>
      <c r="F13" s="9"/>
      <c r="G13" s="9"/>
      <c r="H13" s="9"/>
      <c r="I13" s="9"/>
      <c r="J13" s="9">
        <v>2</v>
      </c>
      <c r="K13" s="8" t="s">
        <v>55</v>
      </c>
      <c r="L13" s="3">
        <f t="shared" si="0"/>
        <v>2</v>
      </c>
    </row>
    <row r="14" spans="1:12" ht="28.5" customHeight="1" x14ac:dyDescent="0.3">
      <c r="A14" s="15" t="s">
        <v>11</v>
      </c>
      <c r="B14" s="15"/>
      <c r="C14" s="15"/>
      <c r="D14" s="4">
        <f>SUM(D7:D13)</f>
        <v>6</v>
      </c>
      <c r="E14" s="4"/>
      <c r="F14" s="4">
        <f>SUM(F7:F13)</f>
        <v>4</v>
      </c>
      <c r="G14" s="4"/>
      <c r="H14" s="4">
        <f>SUM(H7:H13)</f>
        <v>0</v>
      </c>
      <c r="I14" s="4"/>
      <c r="J14" s="4">
        <f>SUM(J7:J13)</f>
        <v>6</v>
      </c>
      <c r="K14" s="4"/>
      <c r="L14" s="4">
        <f>SUM(L7:L13)</f>
        <v>16</v>
      </c>
    </row>
    <row r="15" spans="1:12" ht="28.5" customHeight="1" x14ac:dyDescent="0.3">
      <c r="A15" s="16" t="s">
        <v>12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2" ht="28.5" customHeight="1" x14ac:dyDescent="0.3">
      <c r="A16" s="5"/>
      <c r="B16" s="6"/>
      <c r="C16" s="7"/>
      <c r="D16" s="4"/>
      <c r="E16" s="4"/>
      <c r="F16" s="4"/>
      <c r="G16" s="4"/>
      <c r="H16" s="4"/>
      <c r="I16" s="4"/>
      <c r="J16" s="4"/>
      <c r="K16" s="4"/>
      <c r="L16" s="4"/>
    </row>
    <row r="17" spans="1:12" ht="28.5" customHeight="1" x14ac:dyDescent="0.3">
      <c r="A17" s="12" t="s">
        <v>13</v>
      </c>
      <c r="B17" s="13"/>
      <c r="C17" s="14"/>
      <c r="D17" s="4">
        <v>0</v>
      </c>
      <c r="E17" s="4"/>
      <c r="F17" s="4">
        <v>0</v>
      </c>
      <c r="G17" s="4"/>
      <c r="H17" s="4">
        <v>0</v>
      </c>
      <c r="I17" s="4"/>
      <c r="J17" s="4">
        <v>0</v>
      </c>
      <c r="K17" s="4"/>
      <c r="L17" s="4">
        <v>0</v>
      </c>
    </row>
    <row r="18" spans="1:12" ht="28.5" customHeight="1" x14ac:dyDescent="0.3">
      <c r="A18" s="12" t="s">
        <v>14</v>
      </c>
      <c r="B18" s="13"/>
      <c r="C18" s="14"/>
      <c r="D18" s="4">
        <f>+D14+D17</f>
        <v>6</v>
      </c>
      <c r="E18" s="4"/>
      <c r="F18" s="4">
        <f>+F14+F17</f>
        <v>4</v>
      </c>
      <c r="G18" s="4"/>
      <c r="H18" s="4">
        <f>+H14+H17</f>
        <v>0</v>
      </c>
      <c r="I18" s="4"/>
      <c r="J18" s="4">
        <f>+J14+J17</f>
        <v>6</v>
      </c>
      <c r="K18" s="4"/>
      <c r="L18" s="4">
        <f>+L14+L17</f>
        <v>16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15:L15"/>
    <mergeCell ref="A17:C17"/>
    <mergeCell ref="A18:C18"/>
    <mergeCell ref="D5:E5"/>
    <mergeCell ref="F5:G5"/>
    <mergeCell ref="H5:I5"/>
    <mergeCell ref="J5:K5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2026-09-23T06:19:13Z</dcterms:modified>
</cp:coreProperties>
</file>
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940A1DCC-253B-44D7-97C9-3F7AF7A0B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J20" i="2"/>
  <c r="L20" i="2"/>
  <c r="N20" i="2"/>
  <c r="F20" i="2"/>
  <c r="D20" i="2"/>
  <c r="H34" i="1" l="1"/>
  <c r="J34" i="1"/>
  <c r="L34" i="1"/>
  <c r="N34" i="1"/>
  <c r="F21" i="1"/>
  <c r="F36" i="1" s="1"/>
  <c r="H21" i="1"/>
  <c r="H36" i="1" s="1"/>
  <c r="J21" i="1"/>
  <c r="J36" i="1" s="1"/>
  <c r="L21" i="1"/>
  <c r="L36" i="1" s="1"/>
  <c r="N21" i="1"/>
  <c r="N36" i="1" s="1"/>
  <c r="D21" i="1"/>
  <c r="P21" i="1" s="1"/>
  <c r="F34" i="1"/>
  <c r="P5" i="2" l="1"/>
  <c r="P5" i="1"/>
  <c r="F23" i="2" l="1"/>
  <c r="J23" i="2"/>
  <c r="L23" i="2"/>
  <c r="D36" i="1" l="1"/>
  <c r="P36" i="1" s="1"/>
  <c r="D23" i="2"/>
  <c r="N23" i="2" l="1"/>
  <c r="P20" i="2"/>
  <c r="P23" i="2" s="1"/>
</calcChain>
</file>

<file path=xl/sharedStrings.xml><?xml version="1.0" encoding="utf-8"?>
<sst xmlns="http://schemas.openxmlformats.org/spreadsheetml/2006/main" count="200" uniqueCount="90">
  <si>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</si>
  <si>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</si>
  <si>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</si>
  <si>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</si>
  <si>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</si>
  <si>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</si>
  <si>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</si>
  <si>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</si>
  <si>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</si>
  <si>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</si>
  <si>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</si>
  <si>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</si>
  <si>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</si>
  <si>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</si>
  <si>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</si>
  <si>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</si>
  <si>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Year-2026-27</t>
  </si>
  <si>
    <t>GROUDNUT</t>
  </si>
  <si>
    <t>SEASMUM</t>
  </si>
  <si>
    <t>BAJARA</t>
  </si>
  <si>
    <t>Bhavanipar</t>
  </si>
  <si>
    <t>Chavadaka</t>
  </si>
  <si>
    <t>Budharmora</t>
  </si>
  <si>
    <t>Lakhapar</t>
  </si>
  <si>
    <t>Maniara</t>
  </si>
  <si>
    <t>Sherdi</t>
  </si>
  <si>
    <t>Vandh</t>
  </si>
  <si>
    <t>Nana Kapaya</t>
  </si>
  <si>
    <t>3B</t>
  </si>
  <si>
    <t>Lifri</t>
  </si>
  <si>
    <t>Versalpar</t>
  </si>
  <si>
    <t>Dedarva</t>
  </si>
  <si>
    <t>Lakda Vandh</t>
  </si>
  <si>
    <t>Nanda</t>
  </si>
  <si>
    <t>Padampar</t>
  </si>
  <si>
    <t>4B</t>
  </si>
  <si>
    <t>Mindiyala</t>
  </si>
  <si>
    <t>May</t>
  </si>
  <si>
    <t>Bandhara Mota</t>
  </si>
  <si>
    <t>Junagiya</t>
  </si>
  <si>
    <t>Mapar</t>
  </si>
  <si>
    <t>Bocha</t>
  </si>
  <si>
    <t>Khakhar Moti</t>
  </si>
  <si>
    <t>Beru</t>
  </si>
  <si>
    <t>Hamirpar Nani</t>
  </si>
  <si>
    <t>Versara</t>
  </si>
  <si>
    <t>District: Kachchh</t>
  </si>
  <si>
    <t>2A</t>
  </si>
  <si>
    <t>1B</t>
  </si>
  <si>
    <t>Abdasa</t>
  </si>
  <si>
    <t>Mundra</t>
  </si>
  <si>
    <t>Anjar</t>
  </si>
  <si>
    <t>Bhachau</t>
  </si>
  <si>
    <t>Bhuj</t>
  </si>
  <si>
    <t>Lakhpat</t>
  </si>
  <si>
    <t>Mandvi</t>
  </si>
  <si>
    <t>Nakhatrana</t>
  </si>
  <si>
    <t>Rapar</t>
  </si>
  <si>
    <t>Dayapar</t>
  </si>
  <si>
    <t>Nakhatrana Mot</t>
  </si>
  <si>
    <t>Fatehgadh</t>
  </si>
  <si>
    <t>Bita</t>
  </si>
  <si>
    <t>Dudhai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</si>
  <si>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</si>
  <si>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/>
  </si>
  <si>
    <t>Balachod Moti</t>
  </si>
  <si>
    <t>Kandhay</t>
  </si>
  <si>
    <t>Chher Moti</t>
  </si>
  <si>
    <t>Kaiyari</t>
  </si>
  <si>
    <t>Kharai</t>
  </si>
  <si>
    <t>Deshalpar</t>
  </si>
  <si>
    <t>Ratadiya</t>
  </si>
  <si>
    <t>Rampar (Roha)</t>
  </si>
  <si>
    <t>Varamseda</t>
  </si>
  <si>
    <t>Vithon</t>
  </si>
  <si>
    <t>Pandhro</t>
  </si>
  <si>
    <t>Pragpar-1</t>
  </si>
  <si>
    <t>1A</t>
  </si>
  <si>
    <t>2B</t>
  </si>
  <si>
    <t>6B</t>
  </si>
  <si>
    <t>5A</t>
  </si>
  <si>
    <t>8B</t>
  </si>
  <si>
    <t>7B</t>
  </si>
  <si>
    <t>Mathak</t>
  </si>
  <si>
    <t>Vondh</t>
  </si>
  <si>
    <t>Mangadh</t>
  </si>
  <si>
    <t>BALADIYA</t>
  </si>
  <si>
    <t>DAYAPAR</t>
  </si>
  <si>
    <t>Nakhatrana MOTI</t>
  </si>
  <si>
    <t>FATEHGADH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</si>
</sst>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</cellXfs>
  <cellStyles count="2">
    <cellStyle name="Normal" xfId="0" builtinId="0"/>
    <cellStyle name="Normal 2" xfId="1" xr:uid="{2EA2F9FD-9AF2-4D72-9F02-07991FBEE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A23" sqref="A23:C33"/>
    </sheetView>
  </sheetViews>
  <sheetFormatPr defaultRowHeight="15" x14ac:dyDescent="0.25"/>
  <cols>
    <col min="1" max="1" width="12.42578125" style="4" bestFit="1" customWidth="1"/>
    <col min="2" max="2" width="12.42578125" bestFit="1" customWidth="1"/>
    <col min="3" max="3" width="13.7109375" bestFit="1" customWidth="1"/>
  </cols>
  <sheetData>
    <row r="1" spans="1:16" ht="28.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8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8.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28.5" customHeight="1" x14ac:dyDescent="0.25">
      <c r="A4" s="10" t="s">
        <v>46</v>
      </c>
      <c r="B4" s="10"/>
      <c r="C4" s="11" t="s">
        <v>16</v>
      </c>
      <c r="D4" s="12">
        <v>16</v>
      </c>
      <c r="E4" s="12"/>
      <c r="F4" s="12">
        <v>20</v>
      </c>
      <c r="G4" s="12"/>
      <c r="H4" s="12">
        <v>6</v>
      </c>
      <c r="I4" s="12"/>
      <c r="J4" s="12">
        <v>16</v>
      </c>
      <c r="K4" s="12"/>
      <c r="L4" s="12">
        <v>16</v>
      </c>
      <c r="M4" s="12"/>
      <c r="N4" s="12">
        <v>4</v>
      </c>
      <c r="O4" s="12"/>
      <c r="P4" s="1" t="s">
        <v>3</v>
      </c>
    </row>
    <row r="5" spans="1:16" ht="28.5" customHeight="1" x14ac:dyDescent="0.25">
      <c r="A5" s="10"/>
      <c r="B5" s="10"/>
      <c r="C5" s="11"/>
      <c r="D5" s="14" t="s">
        <v>17</v>
      </c>
      <c r="E5" s="14"/>
      <c r="F5" s="14" t="s">
        <v>18</v>
      </c>
      <c r="G5" s="14"/>
      <c r="H5" s="14" t="s">
        <v>19</v>
      </c>
      <c r="I5" s="14"/>
      <c r="J5" s="14" t="s">
        <v>4</v>
      </c>
      <c r="K5" s="14"/>
      <c r="L5" s="14" t="s">
        <v>5</v>
      </c>
      <c r="M5" s="14"/>
      <c r="N5" s="14" t="s">
        <v>6</v>
      </c>
      <c r="O5" s="14"/>
      <c r="P5" s="8">
        <f>SUM(D4:O4)</f>
        <v>78</v>
      </c>
    </row>
    <row r="6" spans="1:16" ht="28.5" customHeight="1" x14ac:dyDescent="0.25">
      <c r="A6" s="2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16" ht="28.5" customHeight="1" x14ac:dyDescent="0.25">
      <c r="A7" s="28" t="s">
        <v>49</v>
      </c>
      <c r="B7" s="29" t="s">
        <v>61</v>
      </c>
      <c r="C7" s="28" t="s">
        <v>20</v>
      </c>
      <c r="D7" s="9">
        <v>2</v>
      </c>
      <c r="E7" s="6">
        <v>1</v>
      </c>
      <c r="F7" s="9"/>
      <c r="G7" s="6"/>
      <c r="H7" s="9"/>
      <c r="I7" s="9"/>
      <c r="J7" s="9">
        <v>2</v>
      </c>
      <c r="K7" s="5">
        <v>7</v>
      </c>
      <c r="L7" s="9">
        <v>2</v>
      </c>
      <c r="M7" s="6" t="s">
        <v>77</v>
      </c>
      <c r="N7" s="9"/>
      <c r="O7" s="9"/>
      <c r="P7" s="8"/>
    </row>
    <row r="8" spans="1:16" ht="28.5" customHeight="1" x14ac:dyDescent="0.25">
      <c r="A8" s="28" t="s">
        <v>49</v>
      </c>
      <c r="B8" s="29" t="s">
        <v>61</v>
      </c>
      <c r="C8" s="28" t="s">
        <v>21</v>
      </c>
      <c r="D8" s="9"/>
      <c r="E8" s="6" t="s">
        <v>64</v>
      </c>
      <c r="F8" s="9"/>
      <c r="G8" s="6"/>
      <c r="H8" s="9"/>
      <c r="I8" s="9"/>
      <c r="J8" s="9">
        <v>2</v>
      </c>
      <c r="K8" s="5">
        <v>5</v>
      </c>
      <c r="L8" s="9"/>
      <c r="M8" s="6"/>
      <c r="N8" s="9"/>
      <c r="O8" s="9"/>
      <c r="P8" s="8"/>
    </row>
    <row r="9" spans="1:16" ht="28.5" customHeight="1" x14ac:dyDescent="0.25">
      <c r="A9" s="28" t="s">
        <v>51</v>
      </c>
      <c r="B9" s="29" t="s">
        <v>62</v>
      </c>
      <c r="C9" s="28" t="s">
        <v>22</v>
      </c>
      <c r="D9" s="9">
        <v>2</v>
      </c>
      <c r="E9" s="6">
        <v>2</v>
      </c>
      <c r="F9" s="9">
        <v>2</v>
      </c>
      <c r="G9" s="6">
        <v>1</v>
      </c>
      <c r="H9" s="9"/>
      <c r="I9" s="9"/>
      <c r="J9" s="9"/>
      <c r="K9" s="5"/>
      <c r="L9" s="9"/>
      <c r="M9" s="6"/>
      <c r="N9" s="9"/>
      <c r="O9" s="9"/>
      <c r="P9" s="8"/>
    </row>
    <row r="10" spans="1:16" ht="28.5" customHeight="1" x14ac:dyDescent="0.25">
      <c r="A10" s="28" t="s">
        <v>52</v>
      </c>
      <c r="B10" s="28" t="s">
        <v>52</v>
      </c>
      <c r="C10" s="28" t="s">
        <v>23</v>
      </c>
      <c r="D10" s="9"/>
      <c r="E10" s="6" t="s">
        <v>64</v>
      </c>
      <c r="F10" s="9"/>
      <c r="G10" s="6" t="s">
        <v>64</v>
      </c>
      <c r="H10" s="9"/>
      <c r="I10" s="9"/>
      <c r="J10" s="9">
        <v>2</v>
      </c>
      <c r="K10" s="5">
        <v>1</v>
      </c>
      <c r="L10" s="9"/>
      <c r="M10" s="6"/>
      <c r="N10" s="9">
        <v>2</v>
      </c>
      <c r="O10" s="6" t="s">
        <v>77</v>
      </c>
      <c r="P10" s="8"/>
    </row>
    <row r="11" spans="1:16" ht="28.5" customHeight="1" x14ac:dyDescent="0.25">
      <c r="A11" s="28" t="s">
        <v>54</v>
      </c>
      <c r="B11" s="29" t="s">
        <v>58</v>
      </c>
      <c r="C11" s="28" t="s">
        <v>24</v>
      </c>
      <c r="D11" s="9"/>
      <c r="E11" s="6" t="s">
        <v>64</v>
      </c>
      <c r="F11" s="9"/>
      <c r="G11" s="6" t="s">
        <v>64</v>
      </c>
      <c r="H11" s="9"/>
      <c r="I11" s="9"/>
      <c r="J11" s="9">
        <v>2</v>
      </c>
      <c r="K11" s="5">
        <v>8</v>
      </c>
      <c r="L11" s="9"/>
      <c r="M11" s="6"/>
      <c r="N11" s="9"/>
      <c r="O11" s="6"/>
      <c r="P11" s="8"/>
    </row>
    <row r="12" spans="1:16" ht="28.5" customHeight="1" x14ac:dyDescent="0.25">
      <c r="A12" s="28" t="s">
        <v>55</v>
      </c>
      <c r="B12" s="28" t="s">
        <v>55</v>
      </c>
      <c r="C12" s="28" t="s">
        <v>25</v>
      </c>
      <c r="D12" s="9">
        <v>2</v>
      </c>
      <c r="E12" s="6">
        <v>3</v>
      </c>
      <c r="F12" s="9">
        <v>2</v>
      </c>
      <c r="G12" s="6">
        <v>2</v>
      </c>
      <c r="H12" s="9"/>
      <c r="I12" s="9"/>
      <c r="J12" s="9"/>
      <c r="K12" s="5"/>
      <c r="L12" s="9"/>
      <c r="M12" s="6"/>
      <c r="N12" s="9"/>
      <c r="O12" s="6"/>
      <c r="P12" s="8"/>
    </row>
    <row r="13" spans="1:16" ht="28.5" customHeight="1" x14ac:dyDescent="0.25">
      <c r="A13" s="28" t="s">
        <v>55</v>
      </c>
      <c r="B13" s="28" t="s">
        <v>55</v>
      </c>
      <c r="C13" s="28" t="s">
        <v>26</v>
      </c>
      <c r="D13" s="9">
        <v>2</v>
      </c>
      <c r="E13" s="6">
        <v>4</v>
      </c>
      <c r="F13" s="9"/>
      <c r="G13" s="6" t="s">
        <v>64</v>
      </c>
      <c r="H13" s="9"/>
      <c r="I13" s="9"/>
      <c r="J13" s="9"/>
      <c r="K13" s="5"/>
      <c r="L13" s="9">
        <v>2</v>
      </c>
      <c r="M13" s="6" t="s">
        <v>78</v>
      </c>
      <c r="N13" s="9"/>
      <c r="O13" s="6"/>
      <c r="P13" s="8"/>
    </row>
    <row r="14" spans="1:16" ht="28.5" customHeight="1" x14ac:dyDescent="0.25">
      <c r="A14" s="28" t="s">
        <v>50</v>
      </c>
      <c r="B14" s="28" t="s">
        <v>50</v>
      </c>
      <c r="C14" s="28" t="s">
        <v>27</v>
      </c>
      <c r="D14" s="9"/>
      <c r="E14" s="6" t="s">
        <v>64</v>
      </c>
      <c r="F14" s="9"/>
      <c r="G14" s="6" t="s">
        <v>64</v>
      </c>
      <c r="H14" s="9"/>
      <c r="I14" s="9"/>
      <c r="J14" s="9">
        <v>2</v>
      </c>
      <c r="K14" s="5">
        <v>3</v>
      </c>
      <c r="L14" s="9">
        <v>2</v>
      </c>
      <c r="M14" s="6" t="s">
        <v>28</v>
      </c>
      <c r="N14" s="9"/>
      <c r="O14" s="6"/>
      <c r="P14" s="8"/>
    </row>
    <row r="15" spans="1:16" ht="28.5" customHeight="1" x14ac:dyDescent="0.25">
      <c r="A15" s="28" t="s">
        <v>56</v>
      </c>
      <c r="B15" s="28" t="s">
        <v>56</v>
      </c>
      <c r="C15" s="28" t="s">
        <v>29</v>
      </c>
      <c r="D15" s="9"/>
      <c r="E15" s="6" t="s">
        <v>64</v>
      </c>
      <c r="F15" s="9">
        <v>2</v>
      </c>
      <c r="G15" s="6">
        <v>3</v>
      </c>
      <c r="H15" s="9"/>
      <c r="I15" s="9"/>
      <c r="J15" s="9"/>
      <c r="K15" s="5"/>
      <c r="L15" s="9"/>
      <c r="M15" s="9"/>
      <c r="N15" s="9"/>
      <c r="O15" s="6"/>
      <c r="P15" s="8"/>
    </row>
    <row r="16" spans="1:16" ht="28.5" customHeight="1" x14ac:dyDescent="0.25">
      <c r="A16" s="28" t="s">
        <v>56</v>
      </c>
      <c r="B16" s="29" t="s">
        <v>74</v>
      </c>
      <c r="C16" s="28" t="s">
        <v>30</v>
      </c>
      <c r="D16" s="9">
        <v>2</v>
      </c>
      <c r="E16" s="6">
        <v>5</v>
      </c>
      <c r="F16" s="9"/>
      <c r="G16" s="6" t="s">
        <v>64</v>
      </c>
      <c r="H16" s="9"/>
      <c r="I16" s="9"/>
      <c r="J16" s="9">
        <v>2</v>
      </c>
      <c r="K16" s="5">
        <v>4</v>
      </c>
      <c r="L16" s="9"/>
      <c r="M16" s="9"/>
      <c r="N16" s="9"/>
      <c r="O16" s="6"/>
      <c r="P16" s="8"/>
    </row>
    <row r="17" spans="1:16" ht="28.5" customHeight="1" x14ac:dyDescent="0.25">
      <c r="A17" s="28" t="s">
        <v>57</v>
      </c>
      <c r="B17" s="28" t="s">
        <v>57</v>
      </c>
      <c r="C17" s="28" t="s">
        <v>31</v>
      </c>
      <c r="D17" s="9">
        <v>2</v>
      </c>
      <c r="E17" s="6">
        <v>6</v>
      </c>
      <c r="F17" s="9"/>
      <c r="G17" s="6" t="s">
        <v>64</v>
      </c>
      <c r="H17" s="9"/>
      <c r="I17" s="9"/>
      <c r="J17" s="9"/>
      <c r="K17" s="5"/>
      <c r="L17" s="9"/>
      <c r="M17" s="9"/>
      <c r="N17" s="9"/>
      <c r="O17" s="6"/>
      <c r="P17" s="8"/>
    </row>
    <row r="18" spans="1:16" ht="28.5" customHeight="1" x14ac:dyDescent="0.25">
      <c r="A18" s="28" t="s">
        <v>57</v>
      </c>
      <c r="B18" s="28" t="s">
        <v>57</v>
      </c>
      <c r="C18" s="28" t="s">
        <v>32</v>
      </c>
      <c r="D18" s="9">
        <v>2</v>
      </c>
      <c r="E18" s="6">
        <v>7</v>
      </c>
      <c r="F18" s="9">
        <v>2</v>
      </c>
      <c r="G18" s="6">
        <v>4</v>
      </c>
      <c r="H18" s="9"/>
      <c r="I18" s="9"/>
      <c r="J18" s="9"/>
      <c r="K18" s="5"/>
      <c r="L18" s="9"/>
      <c r="M18" s="9"/>
      <c r="N18" s="9"/>
      <c r="O18" s="6"/>
      <c r="P18" s="8"/>
    </row>
    <row r="19" spans="1:16" ht="28.5" customHeight="1" x14ac:dyDescent="0.25">
      <c r="A19" s="28" t="s">
        <v>57</v>
      </c>
      <c r="B19" s="29" t="s">
        <v>60</v>
      </c>
      <c r="C19" s="28" t="s">
        <v>33</v>
      </c>
      <c r="D19" s="9"/>
      <c r="E19" s="6" t="s">
        <v>64</v>
      </c>
      <c r="F19" s="9">
        <v>2</v>
      </c>
      <c r="G19" s="6">
        <v>5</v>
      </c>
      <c r="H19" s="9">
        <v>2</v>
      </c>
      <c r="I19" s="6">
        <v>1</v>
      </c>
      <c r="J19" s="9">
        <v>2</v>
      </c>
      <c r="K19" s="5">
        <v>2</v>
      </c>
      <c r="L19" s="9"/>
      <c r="M19" s="9"/>
      <c r="N19" s="9">
        <v>2</v>
      </c>
      <c r="O19" s="6" t="s">
        <v>78</v>
      </c>
      <c r="P19" s="8"/>
    </row>
    <row r="20" spans="1:16" ht="28.5" customHeight="1" x14ac:dyDescent="0.25">
      <c r="A20" s="28" t="s">
        <v>57</v>
      </c>
      <c r="B20" s="29" t="s">
        <v>60</v>
      </c>
      <c r="C20" s="28" t="s">
        <v>34</v>
      </c>
      <c r="D20" s="9">
        <v>2</v>
      </c>
      <c r="E20" s="6">
        <v>8</v>
      </c>
      <c r="F20" s="9"/>
      <c r="G20" s="6"/>
      <c r="H20" s="9">
        <v>2</v>
      </c>
      <c r="I20" s="6">
        <v>2</v>
      </c>
      <c r="J20" s="9">
        <v>2</v>
      </c>
      <c r="K20" s="5">
        <v>6</v>
      </c>
      <c r="L20" s="9"/>
      <c r="M20" s="9"/>
      <c r="N20" s="9"/>
      <c r="O20" s="9"/>
      <c r="P20" s="8"/>
    </row>
    <row r="21" spans="1:16" ht="28.5" customHeight="1" x14ac:dyDescent="0.25">
      <c r="A21" s="13" t="s">
        <v>12</v>
      </c>
      <c r="B21" s="13"/>
      <c r="C21" s="13"/>
      <c r="D21" s="5">
        <f>SUM(D7:D20)</f>
        <v>16</v>
      </c>
      <c r="E21" s="5"/>
      <c r="F21" s="5">
        <f>SUM(F7:F20)</f>
        <v>10</v>
      </c>
      <c r="G21" s="5"/>
      <c r="H21" s="5">
        <f>SUM(H7:H20)</f>
        <v>4</v>
      </c>
      <c r="I21" s="5"/>
      <c r="J21" s="5">
        <f>SUM(J7:J20)</f>
        <v>16</v>
      </c>
      <c r="K21" s="5"/>
      <c r="L21" s="5">
        <f>SUM(L7:L20)</f>
        <v>6</v>
      </c>
      <c r="M21" s="5"/>
      <c r="N21" s="5">
        <f>SUM(N7:N20)</f>
        <v>4</v>
      </c>
      <c r="O21" s="5"/>
      <c r="P21" s="5">
        <f>SUM(D21:N21)</f>
        <v>56</v>
      </c>
    </row>
    <row r="22" spans="1:16" ht="28.5" customHeight="1" x14ac:dyDescent="0.25">
      <c r="A22" s="11" t="s">
        <v>13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28.5" customHeight="1" x14ac:dyDescent="0.25">
      <c r="A23" s="7" t="s">
        <v>49</v>
      </c>
      <c r="B23" s="30" t="s">
        <v>61</v>
      </c>
      <c r="C23" s="7" t="s">
        <v>65</v>
      </c>
      <c r="D23" s="3"/>
      <c r="E23" s="3"/>
      <c r="F23" s="3"/>
      <c r="G23" s="3"/>
      <c r="H23" s="3"/>
      <c r="I23" s="3"/>
      <c r="J23" s="3"/>
      <c r="K23" s="3"/>
      <c r="L23" s="3">
        <v>2</v>
      </c>
      <c r="M23" s="8" t="s">
        <v>79</v>
      </c>
      <c r="N23" s="3"/>
      <c r="O23" s="3"/>
      <c r="P23" s="3"/>
    </row>
    <row r="24" spans="1:16" ht="28.5" customHeight="1" x14ac:dyDescent="0.25">
      <c r="A24" s="7" t="s">
        <v>49</v>
      </c>
      <c r="B24" s="30" t="s">
        <v>61</v>
      </c>
      <c r="C24" s="7" t="s">
        <v>66</v>
      </c>
      <c r="D24" s="3"/>
      <c r="E24" s="3"/>
      <c r="F24" s="3"/>
      <c r="G24" s="3"/>
      <c r="H24" s="3"/>
      <c r="I24" s="3"/>
      <c r="J24" s="3"/>
      <c r="K24" s="3"/>
      <c r="L24" s="3">
        <v>2</v>
      </c>
      <c r="M24" s="8" t="s">
        <v>80</v>
      </c>
      <c r="N24" s="3"/>
      <c r="O24" s="3"/>
      <c r="P24" s="3"/>
    </row>
    <row r="25" spans="1:16" ht="28.5" customHeight="1" x14ac:dyDescent="0.25">
      <c r="A25" s="7" t="s">
        <v>54</v>
      </c>
      <c r="B25" s="31" t="s">
        <v>58</v>
      </c>
      <c r="C25" s="7" t="s">
        <v>67</v>
      </c>
      <c r="D25" s="3"/>
      <c r="E25" s="3"/>
      <c r="F25" s="3">
        <v>2</v>
      </c>
      <c r="G25" s="8">
        <v>10</v>
      </c>
      <c r="H25" s="3"/>
      <c r="I25" s="3"/>
      <c r="J25" s="3"/>
      <c r="K25" s="3"/>
      <c r="L25" s="3"/>
      <c r="M25" s="3"/>
      <c r="N25" s="3"/>
      <c r="O25" s="3"/>
      <c r="P25" s="3"/>
    </row>
    <row r="26" spans="1:16" ht="28.5" customHeight="1" x14ac:dyDescent="0.25">
      <c r="A26" s="7" t="s">
        <v>54</v>
      </c>
      <c r="B26" s="31" t="s">
        <v>58</v>
      </c>
      <c r="C26" s="7" t="s">
        <v>68</v>
      </c>
      <c r="D26" s="3"/>
      <c r="E26" s="3"/>
      <c r="F26" s="3">
        <v>2</v>
      </c>
      <c r="G26" s="8">
        <v>8</v>
      </c>
      <c r="H26" s="3"/>
      <c r="I26" s="3"/>
      <c r="J26" s="3"/>
      <c r="K26" s="3"/>
      <c r="L26" s="3"/>
      <c r="M26" s="3"/>
      <c r="N26" s="3"/>
      <c r="O26" s="3"/>
      <c r="P26" s="3"/>
    </row>
    <row r="27" spans="1:16" ht="28.5" customHeight="1" x14ac:dyDescent="0.25">
      <c r="A27" s="7" t="s">
        <v>54</v>
      </c>
      <c r="B27" s="31" t="s">
        <v>58</v>
      </c>
      <c r="C27" s="7" t="s">
        <v>69</v>
      </c>
      <c r="D27" s="3"/>
      <c r="E27" s="3"/>
      <c r="F27" s="3">
        <v>2</v>
      </c>
      <c r="G27" s="8">
        <v>6</v>
      </c>
      <c r="H27" s="3"/>
      <c r="I27" s="3"/>
      <c r="J27" s="3"/>
      <c r="K27" s="3"/>
      <c r="L27" s="3"/>
      <c r="M27" s="3"/>
      <c r="N27" s="3"/>
      <c r="O27" s="3"/>
      <c r="P27" s="3"/>
    </row>
    <row r="28" spans="1:16" ht="28.5" customHeight="1" x14ac:dyDescent="0.25">
      <c r="A28" s="7" t="s">
        <v>54</v>
      </c>
      <c r="B28" s="31" t="s">
        <v>58</v>
      </c>
      <c r="C28" s="7" t="s">
        <v>75</v>
      </c>
      <c r="D28" s="3"/>
      <c r="E28" s="3"/>
      <c r="F28" s="3"/>
      <c r="G28" s="3"/>
      <c r="H28" s="3"/>
      <c r="I28" s="3"/>
      <c r="J28" s="3"/>
      <c r="K28" s="3"/>
      <c r="L28" s="3">
        <v>2</v>
      </c>
      <c r="M28" s="8" t="s">
        <v>81</v>
      </c>
      <c r="N28" s="3"/>
      <c r="O28" s="3"/>
      <c r="P28" s="3"/>
    </row>
    <row r="29" spans="1:16" ht="28.5" customHeight="1" x14ac:dyDescent="0.25">
      <c r="A29" s="7" t="s">
        <v>50</v>
      </c>
      <c r="B29" s="7" t="s">
        <v>50</v>
      </c>
      <c r="C29" s="7" t="s">
        <v>70</v>
      </c>
      <c r="D29" s="3"/>
      <c r="E29" s="3"/>
      <c r="F29" s="3"/>
      <c r="G29" s="3"/>
      <c r="H29" s="3">
        <v>2</v>
      </c>
      <c r="I29" s="8">
        <v>3</v>
      </c>
      <c r="J29" s="3"/>
      <c r="K29" s="3"/>
      <c r="L29" s="3"/>
      <c r="M29" s="8"/>
      <c r="N29" s="3"/>
      <c r="O29" s="3"/>
      <c r="P29" s="3"/>
    </row>
    <row r="30" spans="1:16" ht="28.5" customHeight="1" x14ac:dyDescent="0.25">
      <c r="A30" s="7" t="s">
        <v>50</v>
      </c>
      <c r="B30" s="7" t="s">
        <v>50</v>
      </c>
      <c r="C30" s="7" t="s">
        <v>76</v>
      </c>
      <c r="D30" s="3"/>
      <c r="E30" s="3"/>
      <c r="F30" s="3"/>
      <c r="G30" s="3"/>
      <c r="H30" s="3"/>
      <c r="I30" s="3"/>
      <c r="J30" s="3"/>
      <c r="K30" s="3"/>
      <c r="L30" s="3">
        <v>2</v>
      </c>
      <c r="M30" s="8" t="s">
        <v>35</v>
      </c>
      <c r="N30" s="3"/>
      <c r="O30" s="3"/>
      <c r="P30" s="3"/>
    </row>
    <row r="31" spans="1:16" ht="28.5" customHeight="1" x14ac:dyDescent="0.25">
      <c r="A31" s="7" t="s">
        <v>50</v>
      </c>
      <c r="B31" s="7" t="s">
        <v>50</v>
      </c>
      <c r="C31" s="7" t="s">
        <v>71</v>
      </c>
      <c r="D31" s="3"/>
      <c r="E31" s="3"/>
      <c r="F31" s="3">
        <v>2</v>
      </c>
      <c r="G31" s="8">
        <v>9</v>
      </c>
      <c r="H31" s="3"/>
      <c r="I31" s="3"/>
      <c r="J31" s="3"/>
      <c r="K31" s="3"/>
      <c r="L31" s="3"/>
      <c r="M31" s="3"/>
      <c r="N31" s="3"/>
      <c r="O31" s="3"/>
      <c r="P31" s="3"/>
    </row>
    <row r="32" spans="1:16" ht="28.5" customHeight="1" x14ac:dyDescent="0.25">
      <c r="A32" s="7" t="s">
        <v>56</v>
      </c>
      <c r="B32" s="31" t="s">
        <v>59</v>
      </c>
      <c r="C32" s="7" t="s">
        <v>72</v>
      </c>
      <c r="D32" s="3"/>
      <c r="E32" s="3"/>
      <c r="F32" s="3"/>
      <c r="G32" s="3"/>
      <c r="H32" s="3"/>
      <c r="I32" s="3"/>
      <c r="J32" s="3"/>
      <c r="K32" s="8"/>
      <c r="L32" s="3">
        <v>2</v>
      </c>
      <c r="M32" s="8" t="s">
        <v>82</v>
      </c>
      <c r="N32" s="3"/>
      <c r="O32" s="3"/>
      <c r="P32" s="3"/>
    </row>
    <row r="33" spans="1:16" ht="18.75" x14ac:dyDescent="0.25">
      <c r="A33" s="7" t="s">
        <v>56</v>
      </c>
      <c r="B33" s="31" t="s">
        <v>74</v>
      </c>
      <c r="C33" s="7" t="s">
        <v>73</v>
      </c>
      <c r="D33" s="3"/>
      <c r="E33" s="3"/>
      <c r="F33" s="3">
        <v>2</v>
      </c>
      <c r="G33" s="8">
        <v>7</v>
      </c>
      <c r="H33" s="3"/>
      <c r="I33" s="3"/>
      <c r="J33" s="3"/>
      <c r="K33" s="3"/>
      <c r="L33" s="3"/>
      <c r="M33" s="3"/>
      <c r="N33" s="3"/>
      <c r="O33" s="3"/>
      <c r="P33" s="3"/>
    </row>
    <row r="34" spans="1:16" ht="28.5" customHeight="1" x14ac:dyDescent="0.25">
      <c r="A34" s="15" t="s">
        <v>14</v>
      </c>
      <c r="B34" s="16"/>
      <c r="C34" s="17"/>
      <c r="D34" s="5">
        <v>0</v>
      </c>
      <c r="E34" s="5"/>
      <c r="F34" s="5">
        <f t="shared" ref="F34" si="0">SUM(F23:F33)</f>
        <v>10</v>
      </c>
      <c r="G34" s="5"/>
      <c r="H34" s="5">
        <f t="shared" ref="H34" si="1">SUM(H23:H33)</f>
        <v>2</v>
      </c>
      <c r="I34" s="5"/>
      <c r="J34" s="5">
        <f t="shared" ref="J34" si="2">SUM(J23:J33)</f>
        <v>0</v>
      </c>
      <c r="K34" s="5"/>
      <c r="L34" s="5">
        <f t="shared" ref="L34" si="3">SUM(L23:L33)</f>
        <v>10</v>
      </c>
      <c r="M34" s="5"/>
      <c r="N34" s="5">
        <f t="shared" ref="N34" si="4">SUM(N23:N33)</f>
        <v>0</v>
      </c>
      <c r="O34" s="5"/>
      <c r="P34" s="5">
        <v>26</v>
      </c>
    </row>
    <row r="35" spans="1:16" ht="18.75" x14ac:dyDescent="0.25">
      <c r="A35" s="3"/>
      <c r="B35" s="3"/>
      <c r="C35" s="3"/>
      <c r="D35" s="3"/>
      <c r="E35" s="3"/>
      <c r="F35" s="3"/>
      <c r="G35" s="8"/>
      <c r="H35" s="3"/>
      <c r="I35" s="3"/>
      <c r="J35" s="3"/>
      <c r="K35" s="3"/>
      <c r="L35" s="3"/>
      <c r="M35" s="3"/>
      <c r="N35" s="3"/>
      <c r="O35" s="3"/>
      <c r="P35" s="3"/>
    </row>
    <row r="36" spans="1:16" ht="18.75" x14ac:dyDescent="0.25">
      <c r="A36" s="11" t="s">
        <v>15</v>
      </c>
      <c r="B36" s="11"/>
      <c r="C36" s="11"/>
      <c r="D36" s="5">
        <f>+D21+D33</f>
        <v>16</v>
      </c>
      <c r="E36" s="5"/>
      <c r="F36" s="5">
        <f>+F21+F34</f>
        <v>20</v>
      </c>
      <c r="G36" s="5"/>
      <c r="H36" s="5">
        <f t="shared" ref="H36" si="5">+H21+H34</f>
        <v>6</v>
      </c>
      <c r="I36" s="5"/>
      <c r="J36" s="5">
        <f t="shared" ref="J36" si="6">+J21+J34</f>
        <v>16</v>
      </c>
      <c r="K36" s="5"/>
      <c r="L36" s="5">
        <f t="shared" ref="L36" si="7">+L21+L34</f>
        <v>16</v>
      </c>
      <c r="M36" s="5"/>
      <c r="N36" s="5">
        <f t="shared" ref="N36" si="8">+N21+N34</f>
        <v>4</v>
      </c>
      <c r="O36" s="5"/>
      <c r="P36" s="5">
        <f>N36+L36+J36+H36+F36+D36</f>
        <v>78</v>
      </c>
    </row>
  </sheetData>
  <mergeCells count="21">
    <mergeCell ref="A36:C36"/>
    <mergeCell ref="A21:C21"/>
    <mergeCell ref="A22:P22"/>
    <mergeCell ref="D5:E5"/>
    <mergeCell ref="F5:G5"/>
    <mergeCell ref="J5:K5"/>
    <mergeCell ref="L5:M5"/>
    <mergeCell ref="N5:O5"/>
    <mergeCell ref="H5:I5"/>
    <mergeCell ref="A34:C34"/>
    <mergeCell ref="A1:P1"/>
    <mergeCell ref="A2:P2"/>
    <mergeCell ref="A3:P3"/>
    <mergeCell ref="A4:B5"/>
    <mergeCell ref="C4:C5"/>
    <mergeCell ref="D4:E4"/>
    <mergeCell ref="F4:G4"/>
    <mergeCell ref="J4:K4"/>
    <mergeCell ref="L4:M4"/>
    <mergeCell ref="N4:O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A12" workbookViewId="0">
      <selection activeCell="M16" sqref="M16"/>
    </sheetView>
  </sheetViews>
  <sheetFormatPr defaultRowHeight="15" x14ac:dyDescent="0.25"/>
  <cols>
    <col min="2" max="2" width="14.5703125" customWidth="1"/>
    <col min="3" max="3" width="14.42578125" style="4" bestFit="1" customWidth="1"/>
  </cols>
  <sheetData>
    <row r="1" spans="1:16" ht="28.5" customHeight="1" x14ac:dyDescent="0.25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8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8.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28.5" customHeight="1" x14ac:dyDescent="0.25">
      <c r="A4" s="18" t="s">
        <v>46</v>
      </c>
      <c r="B4" s="19"/>
      <c r="C4" s="22" t="s">
        <v>16</v>
      </c>
      <c r="D4" s="12">
        <v>10</v>
      </c>
      <c r="E4" s="12"/>
      <c r="F4" s="12">
        <v>14</v>
      </c>
      <c r="G4" s="12"/>
      <c r="H4" s="24">
        <v>4</v>
      </c>
      <c r="I4" s="25"/>
      <c r="J4" s="12">
        <v>8</v>
      </c>
      <c r="K4" s="12"/>
      <c r="L4" s="12">
        <v>8</v>
      </c>
      <c r="M4" s="12"/>
      <c r="N4" s="12">
        <v>0</v>
      </c>
      <c r="O4" s="12"/>
      <c r="P4" s="1" t="s">
        <v>3</v>
      </c>
    </row>
    <row r="5" spans="1:16" ht="28.5" customHeight="1" x14ac:dyDescent="0.25">
      <c r="A5" s="20"/>
      <c r="B5" s="21"/>
      <c r="C5" s="23"/>
      <c r="D5" s="14" t="s">
        <v>17</v>
      </c>
      <c r="E5" s="14"/>
      <c r="F5" s="14" t="s">
        <v>18</v>
      </c>
      <c r="G5" s="14"/>
      <c r="H5" s="26" t="s">
        <v>19</v>
      </c>
      <c r="I5" s="27"/>
      <c r="J5" s="14" t="s">
        <v>4</v>
      </c>
      <c r="K5" s="14"/>
      <c r="L5" s="14" t="s">
        <v>5</v>
      </c>
      <c r="M5" s="14"/>
      <c r="N5" s="14" t="s">
        <v>6</v>
      </c>
      <c r="O5" s="14"/>
      <c r="P5" s="1">
        <f>SUM(D4:O4)</f>
        <v>44</v>
      </c>
    </row>
    <row r="6" spans="1:16" ht="28.5" customHeight="1" x14ac:dyDescent="0.25">
      <c r="A6" s="1" t="s">
        <v>7</v>
      </c>
      <c r="B6" s="1" t="s">
        <v>8</v>
      </c>
      <c r="C6" s="2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/>
      <c r="I6" s="2"/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16" ht="28.5" customHeight="1" x14ac:dyDescent="0.25">
      <c r="A7" s="9" t="s">
        <v>51</v>
      </c>
      <c r="B7" s="9" t="s">
        <v>51</v>
      </c>
      <c r="C7" s="9" t="s">
        <v>83</v>
      </c>
      <c r="D7" s="9"/>
      <c r="E7" s="5"/>
      <c r="F7" s="9">
        <v>2</v>
      </c>
      <c r="G7" s="6">
        <v>3</v>
      </c>
      <c r="H7" s="9"/>
      <c r="I7" s="9"/>
      <c r="J7" s="9">
        <v>2</v>
      </c>
      <c r="K7" s="1">
        <v>4</v>
      </c>
      <c r="L7" s="9"/>
      <c r="M7" s="9"/>
      <c r="N7" s="9"/>
      <c r="O7" s="9"/>
      <c r="P7" s="8"/>
    </row>
    <row r="8" spans="1:16" ht="28.5" customHeight="1" x14ac:dyDescent="0.25">
      <c r="A8" s="9" t="s">
        <v>51</v>
      </c>
      <c r="B8" s="9" t="s">
        <v>51</v>
      </c>
      <c r="C8" s="9" t="s">
        <v>36</v>
      </c>
      <c r="D8" s="9">
        <v>2</v>
      </c>
      <c r="E8" s="5">
        <v>3</v>
      </c>
      <c r="F8" s="9">
        <v>2</v>
      </c>
      <c r="G8" s="5">
        <v>2</v>
      </c>
      <c r="H8" s="9"/>
      <c r="I8" s="9"/>
      <c r="J8" s="9">
        <v>2</v>
      </c>
      <c r="K8" s="1">
        <v>2</v>
      </c>
      <c r="L8" s="9"/>
      <c r="M8" s="9"/>
      <c r="N8" s="9"/>
      <c r="O8" s="9"/>
      <c r="P8" s="8"/>
    </row>
    <row r="9" spans="1:16" ht="28.5" customHeight="1" x14ac:dyDescent="0.25">
      <c r="A9" s="9" t="s">
        <v>52</v>
      </c>
      <c r="B9" s="9" t="s">
        <v>52</v>
      </c>
      <c r="C9" s="9" t="s">
        <v>37</v>
      </c>
      <c r="D9" s="9">
        <v>2</v>
      </c>
      <c r="E9" s="5">
        <v>2</v>
      </c>
      <c r="F9" s="9"/>
      <c r="G9" s="5"/>
      <c r="H9" s="9"/>
      <c r="I9" s="9"/>
      <c r="J9" s="9"/>
      <c r="K9" s="1"/>
      <c r="L9" s="9"/>
      <c r="M9" s="9"/>
      <c r="N9" s="9"/>
      <c r="O9" s="9"/>
      <c r="P9" s="8"/>
    </row>
    <row r="10" spans="1:16" ht="28.5" customHeight="1" x14ac:dyDescent="0.25">
      <c r="A10" s="9" t="s">
        <v>52</v>
      </c>
      <c r="B10" s="9" t="s">
        <v>52</v>
      </c>
      <c r="C10" s="9" t="s">
        <v>84</v>
      </c>
      <c r="D10" s="9">
        <v>2</v>
      </c>
      <c r="E10" s="5">
        <v>4</v>
      </c>
      <c r="F10" s="9">
        <v>2</v>
      </c>
      <c r="G10" s="5">
        <v>7</v>
      </c>
      <c r="H10" s="9"/>
      <c r="I10" s="9"/>
      <c r="J10" s="9"/>
      <c r="K10" s="1"/>
      <c r="L10" s="9"/>
      <c r="M10" s="9"/>
      <c r="N10" s="9"/>
      <c r="O10" s="9"/>
      <c r="P10" s="8"/>
    </row>
    <row r="11" spans="1:16" ht="28.5" customHeight="1" x14ac:dyDescent="0.25">
      <c r="A11" s="9" t="s">
        <v>53</v>
      </c>
      <c r="B11" s="9" t="s">
        <v>86</v>
      </c>
      <c r="C11" s="9" t="s">
        <v>38</v>
      </c>
      <c r="D11" s="9"/>
      <c r="E11" s="5"/>
      <c r="F11" s="9">
        <v>2</v>
      </c>
      <c r="G11" s="5">
        <v>4</v>
      </c>
      <c r="H11" s="9"/>
      <c r="I11" s="5"/>
      <c r="J11" s="9"/>
      <c r="K11" s="1"/>
      <c r="L11" s="9">
        <v>2</v>
      </c>
      <c r="M11" s="6" t="s">
        <v>28</v>
      </c>
      <c r="N11" s="9"/>
      <c r="O11" s="9"/>
      <c r="P11" s="8"/>
    </row>
    <row r="12" spans="1:16" ht="28.5" customHeight="1" x14ac:dyDescent="0.25">
      <c r="A12" s="9" t="s">
        <v>54</v>
      </c>
      <c r="B12" s="9" t="s">
        <v>87</v>
      </c>
      <c r="C12" s="9" t="s">
        <v>39</v>
      </c>
      <c r="D12" s="9"/>
      <c r="E12" s="5"/>
      <c r="F12" s="9">
        <v>2</v>
      </c>
      <c r="G12" s="5">
        <v>5</v>
      </c>
      <c r="H12" s="9"/>
      <c r="I12" s="5"/>
      <c r="J12" s="9"/>
      <c r="K12" s="1"/>
      <c r="L12" s="9"/>
      <c r="M12" s="6"/>
      <c r="N12" s="9"/>
      <c r="O12" s="9"/>
      <c r="P12" s="8"/>
    </row>
    <row r="13" spans="1:16" ht="28.5" customHeight="1" x14ac:dyDescent="0.25">
      <c r="A13" s="9" t="s">
        <v>55</v>
      </c>
      <c r="B13" s="9" t="s">
        <v>55</v>
      </c>
      <c r="C13" s="9" t="s">
        <v>40</v>
      </c>
      <c r="D13" s="9"/>
      <c r="E13" s="5"/>
      <c r="F13" s="9"/>
      <c r="G13" s="5"/>
      <c r="H13" s="9"/>
      <c r="I13" s="5"/>
      <c r="J13" s="9">
        <v>2</v>
      </c>
      <c r="K13" s="1">
        <v>1</v>
      </c>
      <c r="L13" s="9"/>
      <c r="M13" s="6"/>
      <c r="N13" s="9"/>
      <c r="O13" s="9"/>
      <c r="P13" s="8"/>
    </row>
    <row r="14" spans="1:16" ht="28.5" customHeight="1" x14ac:dyDescent="0.25">
      <c r="A14" s="9" t="s">
        <v>50</v>
      </c>
      <c r="B14" s="9" t="s">
        <v>50</v>
      </c>
      <c r="C14" s="9" t="s">
        <v>41</v>
      </c>
      <c r="D14" s="9"/>
      <c r="E14" s="5"/>
      <c r="F14" s="9"/>
      <c r="G14" s="5"/>
      <c r="H14" s="9"/>
      <c r="I14" s="5"/>
      <c r="J14" s="9"/>
      <c r="K14" s="1"/>
      <c r="L14" s="9">
        <v>2</v>
      </c>
      <c r="M14" s="6" t="s">
        <v>48</v>
      </c>
      <c r="N14" s="9"/>
      <c r="O14" s="9"/>
      <c r="P14" s="8"/>
    </row>
    <row r="15" spans="1:16" ht="28.5" customHeight="1" x14ac:dyDescent="0.25">
      <c r="A15" s="9" t="s">
        <v>50</v>
      </c>
      <c r="B15" s="9" t="s">
        <v>50</v>
      </c>
      <c r="C15" s="9" t="s">
        <v>42</v>
      </c>
      <c r="D15" s="9">
        <v>2</v>
      </c>
      <c r="E15" s="5">
        <v>5</v>
      </c>
      <c r="F15" s="9">
        <v>2</v>
      </c>
      <c r="G15" s="5">
        <v>6</v>
      </c>
      <c r="H15" s="9"/>
      <c r="I15" s="5"/>
      <c r="J15" s="9"/>
      <c r="K15" s="1"/>
      <c r="L15" s="9">
        <v>2</v>
      </c>
      <c r="M15" s="6" t="s">
        <v>35</v>
      </c>
      <c r="N15" s="9"/>
      <c r="O15" s="9"/>
      <c r="P15" s="8"/>
    </row>
    <row r="16" spans="1:16" ht="28.5" customHeight="1" x14ac:dyDescent="0.25">
      <c r="A16" s="9" t="s">
        <v>56</v>
      </c>
      <c r="B16" s="9" t="s">
        <v>88</v>
      </c>
      <c r="C16" s="9" t="s">
        <v>43</v>
      </c>
      <c r="D16" s="9">
        <v>2</v>
      </c>
      <c r="E16" s="5">
        <v>1</v>
      </c>
      <c r="F16" s="9"/>
      <c r="G16" s="5"/>
      <c r="H16" s="9"/>
      <c r="I16" s="5"/>
      <c r="J16" s="9">
        <v>2</v>
      </c>
      <c r="K16" s="1">
        <v>3</v>
      </c>
      <c r="L16" s="9">
        <v>2</v>
      </c>
      <c r="M16" s="6" t="s">
        <v>47</v>
      </c>
      <c r="N16" s="9"/>
      <c r="O16" s="9"/>
      <c r="P16" s="8"/>
    </row>
    <row r="17" spans="1:16" ht="28.5" customHeight="1" x14ac:dyDescent="0.25">
      <c r="A17" s="9" t="s">
        <v>57</v>
      </c>
      <c r="B17" s="9" t="s">
        <v>89</v>
      </c>
      <c r="C17" s="9" t="s">
        <v>44</v>
      </c>
      <c r="D17" s="9"/>
      <c r="E17" s="5"/>
      <c r="F17" s="9">
        <v>2</v>
      </c>
      <c r="G17" s="5">
        <v>1</v>
      </c>
      <c r="H17" s="9"/>
      <c r="I17" s="5"/>
      <c r="J17" s="9"/>
      <c r="K17" s="3"/>
      <c r="L17" s="9"/>
      <c r="M17" s="3"/>
      <c r="N17" s="9"/>
      <c r="O17" s="9"/>
      <c r="P17" s="8"/>
    </row>
    <row r="18" spans="1:16" ht="28.5" customHeight="1" x14ac:dyDescent="0.25">
      <c r="A18" s="9" t="s">
        <v>57</v>
      </c>
      <c r="B18" s="9" t="s">
        <v>89</v>
      </c>
      <c r="C18" s="9" t="s">
        <v>85</v>
      </c>
      <c r="D18" s="9"/>
      <c r="E18" s="5"/>
      <c r="F18" s="9"/>
      <c r="G18" s="9"/>
      <c r="H18" s="9">
        <v>2</v>
      </c>
      <c r="I18" s="5">
        <v>2</v>
      </c>
      <c r="J18" s="9"/>
      <c r="K18" s="9"/>
      <c r="L18" s="9"/>
      <c r="M18" s="9"/>
      <c r="N18" s="9"/>
      <c r="O18" s="9"/>
      <c r="P18" s="8"/>
    </row>
    <row r="19" spans="1:16" ht="28.5" customHeight="1" x14ac:dyDescent="0.25">
      <c r="A19" s="9" t="s">
        <v>57</v>
      </c>
      <c r="B19" s="9" t="s">
        <v>89</v>
      </c>
      <c r="C19" s="9" t="s">
        <v>45</v>
      </c>
      <c r="D19" s="9"/>
      <c r="E19" s="5"/>
      <c r="F19" s="9"/>
      <c r="G19" s="9"/>
      <c r="H19" s="9">
        <v>2</v>
      </c>
      <c r="I19" s="5">
        <v>1</v>
      </c>
      <c r="J19" s="9"/>
      <c r="K19" s="9"/>
      <c r="L19" s="9"/>
      <c r="M19" s="9"/>
      <c r="N19" s="9"/>
      <c r="O19" s="9"/>
      <c r="P19" s="8"/>
    </row>
    <row r="20" spans="1:16" ht="28.5" customHeight="1" x14ac:dyDescent="0.25">
      <c r="A20" s="13" t="s">
        <v>12</v>
      </c>
      <c r="B20" s="13"/>
      <c r="C20" s="13"/>
      <c r="D20" s="5">
        <f>SUM(D7:D19)</f>
        <v>10</v>
      </c>
      <c r="E20" s="5"/>
      <c r="F20" s="5">
        <f>SUM(F7:F19)</f>
        <v>14</v>
      </c>
      <c r="G20" s="5"/>
      <c r="H20" s="5">
        <f>SUM(H7:H19)</f>
        <v>4</v>
      </c>
      <c r="I20" s="5"/>
      <c r="J20" s="5">
        <f>SUM(J7:J19)</f>
        <v>8</v>
      </c>
      <c r="K20" s="5"/>
      <c r="L20" s="5">
        <f>SUM(L7:L19)</f>
        <v>8</v>
      </c>
      <c r="M20" s="5"/>
      <c r="N20" s="5">
        <f>SUM(N7:N19)</f>
        <v>0</v>
      </c>
      <c r="O20" s="5"/>
      <c r="P20" s="5">
        <f>D20+F20+H20+J20+L20</f>
        <v>44</v>
      </c>
    </row>
    <row r="21" spans="1:16" ht="28.5" customHeight="1" x14ac:dyDescent="0.25">
      <c r="A21" s="11" t="s">
        <v>13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28.5" customHeight="1" x14ac:dyDescent="0.25">
      <c r="A22" s="15" t="s">
        <v>14</v>
      </c>
      <c r="B22" s="16"/>
      <c r="C22" s="17"/>
      <c r="D22" s="5">
        <v>0</v>
      </c>
      <c r="E22" s="5"/>
      <c r="F22" s="5">
        <v>0</v>
      </c>
      <c r="G22" s="5"/>
      <c r="H22" s="5"/>
      <c r="I22" s="5"/>
      <c r="J22" s="5">
        <v>0</v>
      </c>
      <c r="K22" s="5"/>
      <c r="L22" s="5">
        <v>0</v>
      </c>
      <c r="M22" s="5"/>
      <c r="N22" s="5">
        <v>0</v>
      </c>
      <c r="O22" s="5"/>
      <c r="P22" s="5">
        <v>0</v>
      </c>
    </row>
    <row r="23" spans="1:16" ht="28.5" customHeight="1" x14ac:dyDescent="0.25">
      <c r="A23" s="15" t="s">
        <v>15</v>
      </c>
      <c r="B23" s="16"/>
      <c r="C23" s="17"/>
      <c r="D23" s="5">
        <f>+D20+D22</f>
        <v>10</v>
      </c>
      <c r="E23" s="5"/>
      <c r="F23" s="5">
        <f>+F20+F22</f>
        <v>14</v>
      </c>
      <c r="G23" s="5"/>
      <c r="H23" s="5">
        <v>4</v>
      </c>
      <c r="I23" s="5"/>
      <c r="J23" s="5">
        <f>+J20+J22</f>
        <v>8</v>
      </c>
      <c r="K23" s="5"/>
      <c r="L23" s="5">
        <f>+L20+L22</f>
        <v>8</v>
      </c>
      <c r="M23" s="5"/>
      <c r="N23" s="5">
        <f>+N20+N22</f>
        <v>0</v>
      </c>
      <c r="O23" s="5"/>
      <c r="P23" s="5">
        <f>+P20+P22</f>
        <v>44</v>
      </c>
    </row>
  </sheetData>
  <mergeCells count="21">
    <mergeCell ref="A21:P21"/>
    <mergeCell ref="A22:C22"/>
    <mergeCell ref="A23:C23"/>
    <mergeCell ref="D5:E5"/>
    <mergeCell ref="F5:G5"/>
    <mergeCell ref="J5:K5"/>
    <mergeCell ref="L5:M5"/>
    <mergeCell ref="N5:O5"/>
    <mergeCell ref="A20:C20"/>
    <mergeCell ref="H5:I5"/>
    <mergeCell ref="A1:P1"/>
    <mergeCell ref="A2:P2"/>
    <mergeCell ref="A3:P3"/>
    <mergeCell ref="A4:B5"/>
    <mergeCell ref="C4:C5"/>
    <mergeCell ref="D4:E4"/>
    <mergeCell ref="F4:G4"/>
    <mergeCell ref="J4:K4"/>
    <mergeCell ref="L4:M4"/>
    <mergeCell ref="N4:O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2026-09-21T10:25:22Z</dcterms:modified>
</cp:coreProperties>
</file>